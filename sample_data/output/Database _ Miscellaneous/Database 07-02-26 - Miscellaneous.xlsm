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dia\Repositories\customer-invoice-analysis-automation\sample_data\output\Database _ Miscellaneous\"/>
    </mc:Choice>
  </mc:AlternateContent>
  <xr:revisionPtr revIDLastSave="0" documentId="13_ncr:1_{88D12A9F-A52A-4869-97CC-E865C24993EE}" xr6:coauthVersionLast="47" xr6:coauthVersionMax="47" xr10:uidLastSave="{00000000-0000-0000-0000-000000000000}"/>
  <bookViews>
    <workbookView xWindow="-108" yWindow="-108" windowWidth="23256" windowHeight="12456" xr2:uid="{3EB4DC37-8A17-4B63-8DA5-862B3E1D2C54}"/>
  </bookViews>
  <sheets>
    <sheet name="Sheet1" sheetId="3" r:id="rId1"/>
    <sheet name="One Line" sheetId="4" r:id="rId2"/>
    <sheet name="Mult Line" sheetId="5" r:id="rId3"/>
    <sheet name="TLA" sheetId="6" r:id="rId4"/>
  </sheets>
  <definedNames>
    <definedName name="_xlnm._FilterDatabase" localSheetId="2" hidden="1">'Mult Line'!$A$1:$AE$2</definedName>
    <definedName name="_xlnm._FilterDatabase" localSheetId="1" hidden="1">'One Line'!$A$1:$AD$2</definedName>
    <definedName name="_xlnm._FilterDatabase" localSheetId="0" hidden="1">Sheet1!$A$1:$AE$132</definedName>
    <definedName name="_xlnm._FilterDatabase" localSheetId="3" hidden="1">TLA!$A$1:$AD$1</definedName>
    <definedName name="_xleta.COUNTIF" hidden="1" xlm="1">#NAME?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E3" i="5" l="1"/>
  <c r="AD3" i="5"/>
  <c r="W3" i="5"/>
  <c r="T3" i="5"/>
  <c r="O3" i="5"/>
  <c r="AE2" i="5"/>
  <c r="AD2" i="5"/>
  <c r="W2" i="5"/>
  <c r="T2" i="5"/>
  <c r="O2" i="5"/>
  <c r="AC2" i="4"/>
  <c r="W2" i="4"/>
  <c r="R2" i="4"/>
  <c r="AE2" i="4" s="1"/>
  <c r="O2" i="4"/>
  <c r="O2" i="3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R97" i="3" s="1"/>
  <c r="AD97" i="3" s="1"/>
  <c r="O99" i="3"/>
  <c r="O100" i="3"/>
  <c r="O101" i="3"/>
  <c r="O102" i="3"/>
  <c r="O103" i="3"/>
  <c r="O104" i="3"/>
  <c r="O105" i="3"/>
  <c r="O106" i="3"/>
  <c r="O107" i="3"/>
  <c r="O108" i="3"/>
  <c r="O109" i="3"/>
  <c r="O110" i="3"/>
  <c r="R110" i="3" s="1"/>
  <c r="AE110" i="3" s="1"/>
  <c r="O111" i="3"/>
  <c r="O112" i="3"/>
  <c r="O113" i="3"/>
  <c r="O114" i="3"/>
  <c r="O115" i="3"/>
  <c r="O116" i="3"/>
  <c r="R115" i="3" s="1"/>
  <c r="AE115" i="3" s="1"/>
  <c r="O117" i="3"/>
  <c r="O118" i="3"/>
  <c r="R117" i="3" s="1"/>
  <c r="O119" i="3"/>
  <c r="O120" i="3"/>
  <c r="O121" i="3"/>
  <c r="O122" i="3"/>
  <c r="O123" i="3"/>
  <c r="O124" i="3"/>
  <c r="O125" i="3"/>
  <c r="O126" i="3"/>
  <c r="O127" i="3"/>
  <c r="O128" i="3"/>
  <c r="O129" i="3"/>
  <c r="O130" i="3"/>
  <c r="O131" i="3"/>
  <c r="O132" i="3"/>
  <c r="W2" i="3"/>
  <c r="W3" i="3"/>
  <c r="W4" i="3"/>
  <c r="W5" i="3"/>
  <c r="W6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AD5" i="3"/>
  <c r="AD6" i="3"/>
  <c r="AD7" i="3"/>
  <c r="AD8" i="3"/>
  <c r="AE5" i="3"/>
  <c r="AE6" i="3"/>
  <c r="AE7" i="3"/>
  <c r="AE8" i="3"/>
  <c r="R132" i="3"/>
  <c r="AD132" i="3" s="1"/>
  <c r="R130" i="3"/>
  <c r="AE130" i="3" s="1"/>
  <c r="R129" i="3"/>
  <c r="AD129" i="3" s="1"/>
  <c r="R128" i="3"/>
  <c r="AD128" i="3" s="1"/>
  <c r="R126" i="3"/>
  <c r="R124" i="3"/>
  <c r="AE124" i="3" s="1"/>
  <c r="R123" i="3"/>
  <c r="AD123" i="3" s="1"/>
  <c r="R122" i="3"/>
  <c r="AE122" i="3" s="1"/>
  <c r="R121" i="3"/>
  <c r="R120" i="3"/>
  <c r="AD120" i="3" s="1"/>
  <c r="R118" i="3"/>
  <c r="AD118" i="3" s="1"/>
  <c r="R116" i="3"/>
  <c r="AE116" i="3" s="1"/>
  <c r="R114" i="3"/>
  <c r="AD114" i="3" s="1"/>
  <c r="R113" i="3"/>
  <c r="AE113" i="3" s="1"/>
  <c r="R112" i="3"/>
  <c r="AE112" i="3" s="1"/>
  <c r="R111" i="3"/>
  <c r="AD111" i="3" s="1"/>
  <c r="R109" i="3"/>
  <c r="R108" i="3"/>
  <c r="AD108" i="3" s="1"/>
  <c r="R107" i="3"/>
  <c r="R106" i="3"/>
  <c r="AD106" i="3" s="1"/>
  <c r="R105" i="3"/>
  <c r="AD105" i="3" s="1"/>
  <c r="R104" i="3"/>
  <c r="AD104" i="3" s="1"/>
  <c r="R103" i="3"/>
  <c r="AD103" i="3" s="1"/>
  <c r="R102" i="3"/>
  <c r="AD102" i="3" s="1"/>
  <c r="R100" i="3"/>
  <c r="AE100" i="3" s="1"/>
  <c r="R98" i="3"/>
  <c r="AD98" i="3" s="1"/>
  <c r="R96" i="3"/>
  <c r="AE96" i="3" s="1"/>
  <c r="R95" i="3"/>
  <c r="AD95" i="3" s="1"/>
  <c r="T95" i="3" s="1"/>
  <c r="R94" i="3"/>
  <c r="AD94" i="3" s="1"/>
  <c r="R93" i="3"/>
  <c r="AD93" i="3" s="1"/>
  <c r="R92" i="3"/>
  <c r="AE92" i="3" s="1"/>
  <c r="R91" i="3"/>
  <c r="AD91" i="3" s="1"/>
  <c r="T92" i="3" s="1"/>
  <c r="R90" i="3"/>
  <c r="AE90" i="3" s="1"/>
  <c r="R89" i="3"/>
  <c r="AD89" i="3" s="1"/>
  <c r="R88" i="3"/>
  <c r="R87" i="3"/>
  <c r="R86" i="3"/>
  <c r="R85" i="3"/>
  <c r="AD85" i="3" s="1"/>
  <c r="R84" i="3"/>
  <c r="R83" i="3"/>
  <c r="AE83" i="3" s="1"/>
  <c r="R81" i="3"/>
  <c r="AD81" i="3" s="1"/>
  <c r="R80" i="3"/>
  <c r="AD80" i="3" s="1"/>
  <c r="R79" i="3"/>
  <c r="AD79" i="3" s="1"/>
  <c r="R78" i="3"/>
  <c r="AD78" i="3" s="1"/>
  <c r="T78" i="3" s="1"/>
  <c r="R77" i="3"/>
  <c r="AD77" i="3" s="1"/>
  <c r="R76" i="3"/>
  <c r="AD76" i="3" s="1"/>
  <c r="R75" i="3"/>
  <c r="AE75" i="3" s="1"/>
  <c r="R74" i="3"/>
  <c r="AD74" i="3" s="1"/>
  <c r="R73" i="3"/>
  <c r="AD73" i="3" s="1"/>
  <c r="T75" i="3" s="1"/>
  <c r="R72" i="3"/>
  <c r="AE72" i="3" s="1"/>
  <c r="R71" i="3"/>
  <c r="AD71" i="3" s="1"/>
  <c r="R70" i="3"/>
  <c r="AD70" i="3" s="1"/>
  <c r="R69" i="3"/>
  <c r="AD69" i="3" s="1"/>
  <c r="R67" i="3"/>
  <c r="AD67" i="3" s="1"/>
  <c r="R66" i="3"/>
  <c r="R65" i="3"/>
  <c r="AD65" i="3" s="1"/>
  <c r="R64" i="3"/>
  <c r="AD64" i="3" s="1"/>
  <c r="R62" i="3"/>
  <c r="AD62" i="3" s="1"/>
  <c r="R61" i="3"/>
  <c r="AD61" i="3" s="1"/>
  <c r="R60" i="3"/>
  <c r="AD60" i="3" s="1"/>
  <c r="R59" i="3"/>
  <c r="AD59" i="3" s="1"/>
  <c r="R58" i="3"/>
  <c r="AD58" i="3" s="1"/>
  <c r="R56" i="3"/>
  <c r="AD56" i="3" s="1"/>
  <c r="R57" i="3"/>
  <c r="AD57" i="3" s="1"/>
  <c r="R55" i="3"/>
  <c r="AD55" i="3" s="1"/>
  <c r="R54" i="3"/>
  <c r="AD54" i="3" s="1"/>
  <c r="T54" i="3" s="1"/>
  <c r="R53" i="3"/>
  <c r="AD53" i="3" s="1"/>
  <c r="R52" i="3"/>
  <c r="AD52" i="3" s="1"/>
  <c r="R51" i="3"/>
  <c r="AD51" i="3" s="1"/>
  <c r="R50" i="3"/>
  <c r="R49" i="3"/>
  <c r="R48" i="3"/>
  <c r="AD48" i="3" s="1"/>
  <c r="R47" i="3"/>
  <c r="AD47" i="3" s="1"/>
  <c r="R46" i="3"/>
  <c r="AD46" i="3" s="1"/>
  <c r="R45" i="3"/>
  <c r="R44" i="3"/>
  <c r="AD44" i="3" s="1"/>
  <c r="R43" i="3"/>
  <c r="R41" i="3"/>
  <c r="R40" i="3"/>
  <c r="R39" i="3"/>
  <c r="AD39" i="3" s="1"/>
  <c r="R38" i="3"/>
  <c r="AD38" i="3" s="1"/>
  <c r="R37" i="3"/>
  <c r="AD37" i="3" s="1"/>
  <c r="R36" i="3"/>
  <c r="AD36" i="3" s="1"/>
  <c r="R35" i="3"/>
  <c r="AD35" i="3" s="1"/>
  <c r="R34" i="3"/>
  <c r="AD34" i="3" s="1"/>
  <c r="R33" i="3"/>
  <c r="AD33" i="3" s="1"/>
  <c r="R32" i="3"/>
  <c r="AD32" i="3" s="1"/>
  <c r="R31" i="3"/>
  <c r="R30" i="3"/>
  <c r="AD30" i="3" s="1"/>
  <c r="R29" i="3"/>
  <c r="AD29" i="3" s="1"/>
  <c r="R28" i="3"/>
  <c r="AD28" i="3" s="1"/>
  <c r="R27" i="3"/>
  <c r="R25" i="3"/>
  <c r="R24" i="3"/>
  <c r="AD24" i="3" s="1"/>
  <c r="R23" i="3"/>
  <c r="AD23" i="3" s="1"/>
  <c r="R22" i="3"/>
  <c r="AD22" i="3" s="1"/>
  <c r="T22" i="3" s="1"/>
  <c r="R21" i="3"/>
  <c r="AD21" i="3" s="1"/>
  <c r="R20" i="3"/>
  <c r="AD20" i="3" s="1"/>
  <c r="R19" i="3"/>
  <c r="AD19" i="3" s="1"/>
  <c r="R18" i="3"/>
  <c r="AD18" i="3" s="1"/>
  <c r="T19" i="3" s="1"/>
  <c r="R17" i="3"/>
  <c r="AD17" i="3" s="1"/>
  <c r="R16" i="3"/>
  <c r="AD16" i="3" s="1"/>
  <c r="R15" i="3"/>
  <c r="AD15" i="3" s="1"/>
  <c r="R14" i="3"/>
  <c r="AD14" i="3" s="1"/>
  <c r="R13" i="3"/>
  <c r="R12" i="3"/>
  <c r="R10" i="3"/>
  <c r="R9" i="3"/>
  <c r="AD9" i="3" s="1"/>
  <c r="AC4" i="3"/>
  <c r="AC3" i="3"/>
  <c r="AC2" i="3"/>
  <c r="AD2" i="4" l="1"/>
  <c r="T2" i="4" s="1"/>
  <c r="R101" i="3"/>
  <c r="AD101" i="3" s="1"/>
  <c r="T102" i="3" s="1"/>
  <c r="AE94" i="3"/>
  <c r="R127" i="3"/>
  <c r="AE127" i="3" s="1"/>
  <c r="AE132" i="3"/>
  <c r="AD130" i="3"/>
  <c r="AD115" i="3"/>
  <c r="T115" i="3" s="1"/>
  <c r="AE12" i="3"/>
  <c r="AD12" i="3"/>
  <c r="AE10" i="3"/>
  <c r="AD10" i="3"/>
  <c r="AE13" i="3"/>
  <c r="AD13" i="3"/>
  <c r="AE40" i="3"/>
  <c r="AD40" i="3"/>
  <c r="T41" i="3" s="1"/>
  <c r="AE49" i="3"/>
  <c r="AD49" i="3"/>
  <c r="AE41" i="3"/>
  <c r="AD41" i="3"/>
  <c r="T58" i="3"/>
  <c r="T56" i="3"/>
  <c r="AE25" i="3"/>
  <c r="AD25" i="3"/>
  <c r="AE45" i="3"/>
  <c r="AD45" i="3"/>
  <c r="AE27" i="3"/>
  <c r="AD27" i="3"/>
  <c r="AE43" i="3"/>
  <c r="AD43" i="3"/>
  <c r="AE31" i="3"/>
  <c r="AD31" i="3"/>
  <c r="AE120" i="3"/>
  <c r="AD116" i="3"/>
  <c r="AD83" i="3"/>
  <c r="AE86" i="3"/>
  <c r="AD86" i="3"/>
  <c r="T87" i="3" s="1"/>
  <c r="AD90" i="3"/>
  <c r="AE87" i="3"/>
  <c r="AD87" i="3"/>
  <c r="AE126" i="3"/>
  <c r="AD126" i="3"/>
  <c r="AE111" i="3"/>
  <c r="AE88" i="3"/>
  <c r="AD88" i="3"/>
  <c r="AE50" i="3"/>
  <c r="AD50" i="3"/>
  <c r="T50" i="3" s="1"/>
  <c r="T72" i="3"/>
  <c r="T71" i="3"/>
  <c r="AE84" i="3"/>
  <c r="AD84" i="3"/>
  <c r="T84" i="3" s="1"/>
  <c r="AD117" i="3"/>
  <c r="T117" i="3" s="1"/>
  <c r="AE117" i="3"/>
  <c r="AE121" i="3"/>
  <c r="AD121" i="3"/>
  <c r="AE129" i="3"/>
  <c r="AE118" i="3"/>
  <c r="AD112" i="3"/>
  <c r="AD75" i="3"/>
  <c r="AE128" i="3"/>
  <c r="AE114" i="3"/>
  <c r="AD100" i="3"/>
  <c r="AD96" i="3"/>
  <c r="T109" i="3"/>
  <c r="T108" i="3"/>
  <c r="AE105" i="3"/>
  <c r="AD124" i="3"/>
  <c r="AD110" i="3"/>
  <c r="T112" i="3" s="1"/>
  <c r="AD92" i="3"/>
  <c r="AD72" i="3"/>
  <c r="AD109" i="3"/>
  <c r="AE109" i="3"/>
  <c r="AE104" i="3"/>
  <c r="AD122" i="3"/>
  <c r="AE66" i="3"/>
  <c r="AD66" i="3"/>
  <c r="T76" i="3"/>
  <c r="T77" i="3"/>
  <c r="AD107" i="3"/>
  <c r="AE107" i="3"/>
  <c r="AE123" i="3"/>
  <c r="AD113" i="3"/>
  <c r="T93" i="3"/>
  <c r="T94" i="3"/>
  <c r="T36" i="3"/>
  <c r="T37" i="3"/>
  <c r="T30" i="3"/>
  <c r="T31" i="3"/>
  <c r="T16" i="3"/>
  <c r="T17" i="3"/>
  <c r="T18" i="3"/>
  <c r="T40" i="3"/>
  <c r="T105" i="3"/>
  <c r="T103" i="3"/>
  <c r="T104" i="3"/>
  <c r="T47" i="3"/>
  <c r="T46" i="3"/>
  <c r="T88" i="3"/>
  <c r="T74" i="3"/>
  <c r="T73" i="3"/>
  <c r="T29" i="3"/>
  <c r="T28" i="3"/>
  <c r="T21" i="3"/>
  <c r="T20" i="3"/>
  <c r="T10" i="3"/>
  <c r="T9" i="3"/>
  <c r="T25" i="3"/>
  <c r="T24" i="3"/>
  <c r="T15" i="3"/>
  <c r="T14" i="3"/>
  <c r="T80" i="3"/>
  <c r="T81" i="3"/>
  <c r="T61" i="3"/>
  <c r="T62" i="3"/>
  <c r="T106" i="3"/>
  <c r="T107" i="3"/>
  <c r="T89" i="3"/>
  <c r="T90" i="3"/>
  <c r="T33" i="3"/>
  <c r="T32" i="3"/>
  <c r="T67" i="3"/>
  <c r="T66" i="3"/>
  <c r="T65" i="3"/>
  <c r="T97" i="3"/>
  <c r="T98" i="3"/>
  <c r="T55" i="3"/>
  <c r="T44" i="3"/>
  <c r="T45" i="3"/>
  <c r="T38" i="3"/>
  <c r="T39" i="3"/>
  <c r="T49" i="3"/>
  <c r="T48" i="3"/>
  <c r="T34" i="3"/>
  <c r="T35" i="3"/>
  <c r="T79" i="3"/>
  <c r="T96" i="3"/>
  <c r="T91" i="3"/>
  <c r="T57" i="3"/>
  <c r="T59" i="3"/>
  <c r="T60" i="3"/>
  <c r="T52" i="3"/>
  <c r="T53" i="3"/>
  <c r="T23" i="3"/>
  <c r="AE16" i="3"/>
  <c r="AE9" i="3"/>
  <c r="AE20" i="3"/>
  <c r="AE14" i="3"/>
  <c r="AE18" i="3"/>
  <c r="AE21" i="3"/>
  <c r="AE15" i="3"/>
  <c r="AE22" i="3"/>
  <c r="AE30" i="3"/>
  <c r="AE24" i="3"/>
  <c r="AE19" i="3"/>
  <c r="AE28" i="3"/>
  <c r="AE32" i="3"/>
  <c r="AE34" i="3"/>
  <c r="R11" i="3"/>
  <c r="AD11" i="3" s="1"/>
  <c r="T11" i="3" s="1"/>
  <c r="AE36" i="3"/>
  <c r="AE38" i="3"/>
  <c r="AE35" i="3"/>
  <c r="R26" i="3"/>
  <c r="AD26" i="3" s="1"/>
  <c r="T26" i="3" s="1"/>
  <c r="AE33" i="3"/>
  <c r="AE37" i="3"/>
  <c r="AE39" i="3"/>
  <c r="R42" i="3"/>
  <c r="AD42" i="3" s="1"/>
  <c r="T42" i="3" s="1"/>
  <c r="AE17" i="3"/>
  <c r="AE44" i="3"/>
  <c r="AE51" i="3"/>
  <c r="AE48" i="3"/>
  <c r="AE29" i="3"/>
  <c r="AE56" i="3"/>
  <c r="AE61" i="3"/>
  <c r="AE23" i="3"/>
  <c r="AE46" i="3"/>
  <c r="AE53" i="3"/>
  <c r="AE59" i="3"/>
  <c r="AE55" i="3"/>
  <c r="AE57" i="3"/>
  <c r="AE47" i="3"/>
  <c r="AE52" i="3"/>
  <c r="AE78" i="3"/>
  <c r="AE54" i="3"/>
  <c r="AE73" i="3"/>
  <c r="AE60" i="3"/>
  <c r="AE67" i="3"/>
  <c r="AE85" i="3"/>
  <c r="AE65" i="3"/>
  <c r="AE80" i="3"/>
  <c r="R63" i="3"/>
  <c r="AD63" i="3" s="1"/>
  <c r="T63" i="3" s="1"/>
  <c r="AE71" i="3"/>
  <c r="AE76" i="3"/>
  <c r="AE69" i="3"/>
  <c r="AE95" i="3"/>
  <c r="AE58" i="3"/>
  <c r="AE74" i="3"/>
  <c r="R82" i="3"/>
  <c r="AD82" i="3" s="1"/>
  <c r="AE93" i="3"/>
  <c r="AE103" i="3"/>
  <c r="AE62" i="3"/>
  <c r="AE77" i="3"/>
  <c r="AE64" i="3"/>
  <c r="AE91" i="3"/>
  <c r="AE89" i="3"/>
  <c r="R68" i="3"/>
  <c r="AD68" i="3" s="1"/>
  <c r="T68" i="3" s="1"/>
  <c r="AE70" i="3"/>
  <c r="AE97" i="3"/>
  <c r="AE106" i="3"/>
  <c r="AE81" i="3"/>
  <c r="AE98" i="3"/>
  <c r="AE79" i="3"/>
  <c r="AE108" i="3"/>
  <c r="AE102" i="3"/>
  <c r="R99" i="3"/>
  <c r="AD99" i="3" s="1"/>
  <c r="T99" i="3" s="1"/>
  <c r="R131" i="3"/>
  <c r="AD131" i="3" s="1"/>
  <c r="R125" i="3"/>
  <c r="AD125" i="3" s="1"/>
  <c r="R119" i="3"/>
  <c r="AD119" i="3" s="1"/>
  <c r="T101" i="3" l="1"/>
  <c r="AD127" i="3"/>
  <c r="T118" i="3"/>
  <c r="AE101" i="3"/>
  <c r="T111" i="3"/>
  <c r="T110" i="3"/>
  <c r="T51" i="3"/>
  <c r="T116" i="3"/>
  <c r="T83" i="3"/>
  <c r="T82" i="3"/>
  <c r="T100" i="3"/>
  <c r="T27" i="3"/>
  <c r="T86" i="3"/>
  <c r="T120" i="3"/>
  <c r="T121" i="3"/>
  <c r="T122" i="3"/>
  <c r="T124" i="3"/>
  <c r="T119" i="3"/>
  <c r="T123" i="3"/>
  <c r="T64" i="3"/>
  <c r="T126" i="3"/>
  <c r="T125" i="3"/>
  <c r="T85" i="3"/>
  <c r="T132" i="3"/>
  <c r="T131" i="3"/>
  <c r="T12" i="3"/>
  <c r="T13" i="3"/>
  <c r="T43" i="3"/>
  <c r="T69" i="3"/>
  <c r="T70" i="3"/>
  <c r="T113" i="3"/>
  <c r="T114" i="3"/>
  <c r="AE63" i="3"/>
  <c r="AE125" i="3"/>
  <c r="AE99" i="3"/>
  <c r="AE82" i="3"/>
  <c r="AE119" i="3"/>
  <c r="AE26" i="3"/>
  <c r="AE11" i="3"/>
  <c r="AE131" i="3"/>
  <c r="AE42" i="3"/>
  <c r="AE68" i="3"/>
  <c r="R3" i="3"/>
  <c r="AD3" i="3" s="1"/>
  <c r="T3" i="3" s="1"/>
  <c r="R2" i="3"/>
  <c r="AD2" i="3" s="1"/>
  <c r="T2" i="3" s="1"/>
  <c r="T130" i="3" l="1"/>
  <c r="T127" i="3"/>
  <c r="T129" i="3"/>
  <c r="T128" i="3"/>
  <c r="R4" i="3"/>
  <c r="AE4" i="3" l="1"/>
  <c r="AD4" i="3"/>
  <c r="T4" i="3" s="1"/>
  <c r="AE3" i="3"/>
  <c r="AE2" i="3"/>
  <c r="T5" i="3" l="1"/>
  <c r="T6" i="3"/>
  <c r="T8" i="3"/>
  <c r="T7" i="3"/>
</calcChain>
</file>

<file path=xl/sharedStrings.xml><?xml version="1.0" encoding="utf-8"?>
<sst xmlns="http://schemas.openxmlformats.org/spreadsheetml/2006/main" count="1952" uniqueCount="459">
  <si>
    <t>Days</t>
  </si>
  <si>
    <t>Cause Desc</t>
  </si>
  <si>
    <t>Dispute</t>
  </si>
  <si>
    <t>PO</t>
  </si>
  <si>
    <t>Sales Order</t>
  </si>
  <si>
    <t>DN</t>
  </si>
  <si>
    <t>Invoice</t>
  </si>
  <si>
    <t>MFG</t>
  </si>
  <si>
    <t>MPN</t>
  </si>
  <si>
    <t>Qty</t>
  </si>
  <si>
    <t>Billed Price</t>
  </si>
  <si>
    <t>Inv Date</t>
  </si>
  <si>
    <t>Disputed Amount</t>
  </si>
  <si>
    <t>Manager name</t>
  </si>
  <si>
    <t>Processor</t>
  </si>
  <si>
    <t>Customer Number</t>
  </si>
  <si>
    <t xml:space="preserve">Customer Name </t>
  </si>
  <si>
    <t>RMA Number Needed</t>
  </si>
  <si>
    <t>Pricing Error</t>
  </si>
  <si>
    <t>No Receiver</t>
  </si>
  <si>
    <t>Resolve with Buyer</t>
  </si>
  <si>
    <t>Discount</t>
  </si>
  <si>
    <t>Cancelled Order</t>
  </si>
  <si>
    <t>Short Shipment</t>
  </si>
  <si>
    <t>Unknown Deduction</t>
  </si>
  <si>
    <t>Sales Team</t>
  </si>
  <si>
    <t>Tax Team</t>
  </si>
  <si>
    <t>Subtotal</t>
  </si>
  <si>
    <t>Taxes</t>
  </si>
  <si>
    <t>Tariff</t>
  </si>
  <si>
    <t>Total Billed</t>
  </si>
  <si>
    <t>UDM Notes</t>
  </si>
  <si>
    <t>AOR</t>
  </si>
  <si>
    <t>Dif</t>
  </si>
  <si>
    <t>Total ZREPRINT</t>
  </si>
  <si>
    <t>Miscellaneous</t>
  </si>
  <si>
    <t>Credit Team</t>
  </si>
  <si>
    <t>Owner</t>
  </si>
  <si>
    <t>Processor Name</t>
  </si>
  <si>
    <t>Count</t>
  </si>
  <si>
    <t>Lack of Response</t>
  </si>
  <si>
    <t>Deducted Tax</t>
  </si>
  <si>
    <t>Paid?</t>
  </si>
  <si>
    <t>Filter</t>
  </si>
  <si>
    <t>Dif Inv</t>
  </si>
  <si>
    <t>PO4417768270</t>
  </si>
  <si>
    <t>SO91137868270</t>
  </si>
  <si>
    <t>PO3014160612</t>
  </si>
  <si>
    <t>SO91160460612</t>
  </si>
  <si>
    <t>BAE  1333</t>
  </si>
  <si>
    <t>PS E 3277</t>
  </si>
  <si>
    <t>CELE 0254</t>
  </si>
  <si>
    <t>Materials Team</t>
  </si>
  <si>
    <t>Jessica Bonus</t>
  </si>
  <si>
    <t>Katherine Miles</t>
  </si>
  <si>
    <t>John Patrickson</t>
  </si>
  <si>
    <t>Robert Gomez</t>
  </si>
  <si>
    <t>Mateo Silva</t>
  </si>
  <si>
    <t>Kyle Chandler</t>
  </si>
  <si>
    <t>Caleb Thornton</t>
  </si>
  <si>
    <t>Nicole Walters</t>
  </si>
  <si>
    <t>Emma Lawson</t>
  </si>
  <si>
    <t>Dylan Hughes</t>
  </si>
  <si>
    <t>Zachary Morris</t>
  </si>
  <si>
    <t>Thomas Richardson</t>
  </si>
  <si>
    <t>Evelyn Barnes</t>
  </si>
  <si>
    <t>Joel Manning</t>
  </si>
  <si>
    <t>Isaac Newton</t>
  </si>
  <si>
    <t>Description -  This Req has been handled by Materials Team and this is related to Short Shipment</t>
  </si>
  <si>
    <t>Description -  This Req has been handled by Sales Team and this is related to Resolve with Buyer</t>
  </si>
  <si>
    <t>Description -  This Req has been handled by Credit Team and this is related to Unknown Deduction</t>
  </si>
  <si>
    <t>Description -  This Req has been handled by Sales Team and this is related to Pricing Error</t>
  </si>
  <si>
    <t>Description -  This Req has been handled by Sales Team and this is related to No Receiver</t>
  </si>
  <si>
    <t>Description -  This Req has been handled by Materials Team and this is related to RMA Number Needed</t>
  </si>
  <si>
    <t>VETE 3202</t>
  </si>
  <si>
    <t>CORE 2128</t>
  </si>
  <si>
    <t>SALC 3071</t>
  </si>
  <si>
    <t>GENE 1094</t>
  </si>
  <si>
    <t>ROSE 2662</t>
  </si>
  <si>
    <t>INCA 7349</t>
  </si>
  <si>
    <t>SOLU 0725</t>
  </si>
  <si>
    <t>FLEX 4072</t>
  </si>
  <si>
    <t>EXAC 1708</t>
  </si>
  <si>
    <t>MSA  0749</t>
  </si>
  <si>
    <t>NI M 9479</t>
  </si>
  <si>
    <t>VALK 8266</t>
  </si>
  <si>
    <t>CARI 3242</t>
  </si>
  <si>
    <t>OTIS 8943</t>
  </si>
  <si>
    <t>ARCX 8191</t>
  </si>
  <si>
    <t>BAE  5048</t>
  </si>
  <si>
    <t>CONT 1684</t>
  </si>
  <si>
    <t>PO3006036546</t>
  </si>
  <si>
    <t>SO91113536546</t>
  </si>
  <si>
    <t>POC221165591</t>
  </si>
  <si>
    <t>SO91134565591</t>
  </si>
  <si>
    <t>POPO25436652</t>
  </si>
  <si>
    <t>SO91138536652</t>
  </si>
  <si>
    <t>POPO25477881</t>
  </si>
  <si>
    <t>SO91138677881</t>
  </si>
  <si>
    <t>POPO25419110</t>
  </si>
  <si>
    <t>SO91138419110</t>
  </si>
  <si>
    <t>PO1845960339</t>
  </si>
  <si>
    <t>SO90115160339</t>
  </si>
  <si>
    <t>PO4418948942</t>
  </si>
  <si>
    <t>SO91137048942</t>
  </si>
  <si>
    <t>SO90115326148</t>
  </si>
  <si>
    <t>PO4418291064</t>
  </si>
  <si>
    <t>SO91136791064</t>
  </si>
  <si>
    <t>PO4417790277</t>
  </si>
  <si>
    <t>SO91140090277</t>
  </si>
  <si>
    <t>PO4418655299</t>
  </si>
  <si>
    <t>SO91141255299</t>
  </si>
  <si>
    <t>PO4419521108</t>
  </si>
  <si>
    <t>SO91143021108</t>
  </si>
  <si>
    <t>SO90115968482</t>
  </si>
  <si>
    <t>PO4419998420</t>
  </si>
  <si>
    <t>SO91146898420</t>
  </si>
  <si>
    <t>PO4416704565</t>
  </si>
  <si>
    <t>SO91146804565</t>
  </si>
  <si>
    <t>PO4418506351</t>
  </si>
  <si>
    <t>SO91147806351</t>
  </si>
  <si>
    <t>PO4420254724</t>
  </si>
  <si>
    <t>SO91149854724</t>
  </si>
  <si>
    <t>PO4420243327</t>
  </si>
  <si>
    <t>SO91150343327</t>
  </si>
  <si>
    <t>PO39P0267907</t>
  </si>
  <si>
    <t>SO91153867907</t>
  </si>
  <si>
    <t>PO39P0209136</t>
  </si>
  <si>
    <t>SO91153809136</t>
  </si>
  <si>
    <t>PO39P0274052</t>
  </si>
  <si>
    <t>SO91153874052</t>
  </si>
  <si>
    <t>PO4433940073</t>
  </si>
  <si>
    <t>SO91156540073</t>
  </si>
  <si>
    <t>PO4433933928</t>
  </si>
  <si>
    <t>SO91156533928</t>
  </si>
  <si>
    <t>PO4433957615</t>
  </si>
  <si>
    <t>SO91156157615</t>
  </si>
  <si>
    <t>PO4433898844</t>
  </si>
  <si>
    <t>SO91156298844</t>
  </si>
  <si>
    <t>PO4433881302</t>
  </si>
  <si>
    <t>SO91155481302</t>
  </si>
  <si>
    <t>PO4433863760</t>
  </si>
  <si>
    <t>SO91155363760</t>
  </si>
  <si>
    <t>PO4433804989</t>
  </si>
  <si>
    <t>SO91155704989</t>
  </si>
  <si>
    <t>PO4420617279</t>
  </si>
  <si>
    <t>SO91153917279</t>
  </si>
  <si>
    <t>PO4420144538</t>
  </si>
  <si>
    <t>SO91155444538</t>
  </si>
  <si>
    <t>SO90117291912</t>
  </si>
  <si>
    <t>PO4420233141</t>
  </si>
  <si>
    <t>SO91149733141</t>
  </si>
  <si>
    <t>PO4420653362</t>
  </si>
  <si>
    <t>SO91153553362</t>
  </si>
  <si>
    <t>PO4420635820</t>
  </si>
  <si>
    <t>SO91153535820</t>
  </si>
  <si>
    <t>PO4420677049</t>
  </si>
  <si>
    <t>SO91153677049</t>
  </si>
  <si>
    <t>PO4420815705</t>
  </si>
  <si>
    <t>SO91156315705</t>
  </si>
  <si>
    <t>PO4416999056</t>
  </si>
  <si>
    <t>SO91139899056</t>
  </si>
  <si>
    <t>PO4500013132</t>
  </si>
  <si>
    <t>SO91154213132</t>
  </si>
  <si>
    <t>PO3014323848</t>
  </si>
  <si>
    <t>SO91161923848</t>
  </si>
  <si>
    <t>PO4502056359</t>
  </si>
  <si>
    <t>SO91160456359</t>
  </si>
  <si>
    <t>PO4291000267</t>
  </si>
  <si>
    <t>SO91161500267</t>
  </si>
  <si>
    <t>PO4513704838</t>
  </si>
  <si>
    <t>SO91163104838</t>
  </si>
  <si>
    <t>PO2100346960</t>
  </si>
  <si>
    <t>SO91164046960</t>
  </si>
  <si>
    <t>PO4520235775</t>
  </si>
  <si>
    <t>SO91164535775</t>
  </si>
  <si>
    <t>PO2000002477</t>
  </si>
  <si>
    <t>SO91163702477</t>
  </si>
  <si>
    <t>PO3019201568</t>
  </si>
  <si>
    <t>SO90115201568</t>
  </si>
  <si>
    <t>PO3019226149</t>
  </si>
  <si>
    <t>PO4417567377</t>
  </si>
  <si>
    <t>SO91137367377</t>
  </si>
  <si>
    <t>PO4417127041</t>
  </si>
  <si>
    <t>SO91137827041</t>
  </si>
  <si>
    <t>POW227150940</t>
  </si>
  <si>
    <t>PO4417248579</t>
  </si>
  <si>
    <t>SO91150048579</t>
  </si>
  <si>
    <t>PO4419900736</t>
  </si>
  <si>
    <t>SO91153400736</t>
  </si>
  <si>
    <t>PO4420694591</t>
  </si>
  <si>
    <t>SO91153694591</t>
  </si>
  <si>
    <t>PO4419759507</t>
  </si>
  <si>
    <t>SO91156159507</t>
  </si>
  <si>
    <t>PO4420618278</t>
  </si>
  <si>
    <t>SO91153618278</t>
  </si>
  <si>
    <t>PO2713991913</t>
  </si>
  <si>
    <t>PO4421178941</t>
  </si>
  <si>
    <t>SO91157278941</t>
  </si>
  <si>
    <t>POPO89334246</t>
  </si>
  <si>
    <t>SO91157551788</t>
  </si>
  <si>
    <t>PO4433893910</t>
  </si>
  <si>
    <t>SO91154193910</t>
  </si>
  <si>
    <t>Description -  This Req has been handled by Sales Team and this is related to Cancelled Order</t>
  </si>
  <si>
    <t>Description -  This Req has been handled by Credit Team and this is related to Discount</t>
  </si>
  <si>
    <t>Description -  This Req has been handled by Sales Team and this is related to Lack of Response</t>
  </si>
  <si>
    <t>Description -  This Req has been handled by Tax Team and this is related to Deducted Tax</t>
  </si>
  <si>
    <t>Jack Crawford</t>
  </si>
  <si>
    <t>Ethan Bryant</t>
  </si>
  <si>
    <t>Evelyn Richardson</t>
  </si>
  <si>
    <t>Dylan Armstrong</t>
  </si>
  <si>
    <t>Stella Donovan</t>
  </si>
  <si>
    <t>Hannah Palmer</t>
  </si>
  <si>
    <t>Whitney Palmer</t>
  </si>
  <si>
    <t>Natalie Parker</t>
  </si>
  <si>
    <t>Joseph Bennett</t>
  </si>
  <si>
    <t>Bella Grant</t>
  </si>
  <si>
    <t>George Lawson</t>
  </si>
  <si>
    <t>DN20022801</t>
  </si>
  <si>
    <t>AVN7</t>
  </si>
  <si>
    <t>DN77499801</t>
  </si>
  <si>
    <t>ON 9</t>
  </si>
  <si>
    <t>DN28044801</t>
  </si>
  <si>
    <t>AVX0</t>
  </si>
  <si>
    <t>DN30266801</t>
  </si>
  <si>
    <t>DN29188801</t>
  </si>
  <si>
    <t>SOUS1G121XCE-L01SOU4</t>
  </si>
  <si>
    <t>SOU4</t>
  </si>
  <si>
    <t>DN50999801</t>
  </si>
  <si>
    <t>DN69699801</t>
  </si>
  <si>
    <t>AVNS1ABI-H168793AVN7</t>
  </si>
  <si>
    <t>MIC0</t>
  </si>
  <si>
    <t>DN24422800</t>
  </si>
  <si>
    <t>DN16866801</t>
  </si>
  <si>
    <t>DN01200801</t>
  </si>
  <si>
    <t>DN93966801</t>
  </si>
  <si>
    <t>TE 6</t>
  </si>
  <si>
    <t>TAI1</t>
  </si>
  <si>
    <t>DN86800801</t>
  </si>
  <si>
    <t>VIS7</t>
  </si>
  <si>
    <t>ON S1NOICPSEVRICA-GCCON 9</t>
  </si>
  <si>
    <t>EVES111-22/R8G6C-A30/2TEVE1</t>
  </si>
  <si>
    <t>EVE1</t>
  </si>
  <si>
    <t>DN16555801</t>
  </si>
  <si>
    <t>DN36077801</t>
  </si>
  <si>
    <t>DN61299801</t>
  </si>
  <si>
    <t>MIC4</t>
  </si>
  <si>
    <t>KEM5</t>
  </si>
  <si>
    <t>AVXS108055A4R7BAT2AAVX0</t>
  </si>
  <si>
    <t>DN58777801</t>
  </si>
  <si>
    <t>CTS9</t>
  </si>
  <si>
    <t>DN88633801</t>
  </si>
  <si>
    <t>DN32899801</t>
  </si>
  <si>
    <t>DN45699801</t>
  </si>
  <si>
    <t>DN13399801</t>
  </si>
  <si>
    <t>ISS3</t>
  </si>
  <si>
    <t>DN32888801</t>
  </si>
  <si>
    <t>MOL9</t>
  </si>
  <si>
    <t>TE 4</t>
  </si>
  <si>
    <t>DN09477801</t>
  </si>
  <si>
    <t>DN07766801</t>
  </si>
  <si>
    <t>DN83511801</t>
  </si>
  <si>
    <t>INF9</t>
  </si>
  <si>
    <t>GOL2</t>
  </si>
  <si>
    <t>DN24388801</t>
  </si>
  <si>
    <t>DN25155801</t>
  </si>
  <si>
    <t>DN13833801</t>
  </si>
  <si>
    <t>DN56899801</t>
  </si>
  <si>
    <t>DN36144801</t>
  </si>
  <si>
    <t>BOUS1RTR22DP502MBOU5</t>
  </si>
  <si>
    <t>BOU5</t>
  </si>
  <si>
    <t>DN18433801</t>
  </si>
  <si>
    <t>DN96899801</t>
  </si>
  <si>
    <t>VIS9</t>
  </si>
  <si>
    <t>MIC7</t>
  </si>
  <si>
    <t>DN66055801</t>
  </si>
  <si>
    <t>DN78400801</t>
  </si>
  <si>
    <t>DN68500801</t>
  </si>
  <si>
    <t>DN19311801</t>
  </si>
  <si>
    <t>DN15266801</t>
  </si>
  <si>
    <t>AVNS1FREIGHT CHARGESAVN7</t>
  </si>
  <si>
    <t>DN32699801</t>
  </si>
  <si>
    <t>DN91155801</t>
  </si>
  <si>
    <t>DN16933801</t>
  </si>
  <si>
    <t>NXP0</t>
  </si>
  <si>
    <t>MICS1UMSH-8252MD-TMIC8</t>
  </si>
  <si>
    <t>MIC8</t>
  </si>
  <si>
    <t>DN86099801</t>
  </si>
  <si>
    <t>DN18444801</t>
  </si>
  <si>
    <t>DN18422801</t>
  </si>
  <si>
    <t>DN44500801</t>
  </si>
  <si>
    <t>DIO1</t>
  </si>
  <si>
    <t>STM6</t>
  </si>
  <si>
    <t>MUR8</t>
  </si>
  <si>
    <t>STMS1STD35P6LLF6STM6</t>
  </si>
  <si>
    <t>DN66700801</t>
  </si>
  <si>
    <t>MICS1ATTINY45-20SURMIC0</t>
  </si>
  <si>
    <t>ROH7</t>
  </si>
  <si>
    <t>DN99544801</t>
  </si>
  <si>
    <t>NEX4</t>
  </si>
  <si>
    <t>DN38900801</t>
  </si>
  <si>
    <t>DN08688801</t>
  </si>
  <si>
    <t>DN32944801</t>
  </si>
  <si>
    <t>DN54033801</t>
  </si>
  <si>
    <t>SCH7</t>
  </si>
  <si>
    <t>NXPS1MPC5554MZP132NXP0</t>
  </si>
  <si>
    <t>DN65977801</t>
  </si>
  <si>
    <t>DN60055801</t>
  </si>
  <si>
    <t>DN45100800</t>
  </si>
  <si>
    <t>DN32711801</t>
  </si>
  <si>
    <t>DN57666801</t>
  </si>
  <si>
    <t>DN97933801</t>
  </si>
  <si>
    <t>DN44433801</t>
  </si>
  <si>
    <t>DN96888801</t>
  </si>
  <si>
    <t>DN84899801</t>
  </si>
  <si>
    <t>DN93744801</t>
  </si>
  <si>
    <t>CTSS1219-4LPSTRFCTS9</t>
  </si>
  <si>
    <t>MICS1AT91SAM7S64C-AUMIC0</t>
  </si>
  <si>
    <t>NXPS1MKL28Z512VLL7RNXP0</t>
  </si>
  <si>
    <t>DN56922801</t>
  </si>
  <si>
    <t>ON S1NTGS3441T1GON 9</t>
  </si>
  <si>
    <t>MURS1BLM15HG102SN1DMUR8</t>
  </si>
  <si>
    <t>DN07833801</t>
  </si>
  <si>
    <t>DN84800801</t>
  </si>
  <si>
    <t>LITS1LTV-217-GLIT5</t>
  </si>
  <si>
    <t>LIT5</t>
  </si>
  <si>
    <t>AVA6</t>
  </si>
  <si>
    <t>DN43299801</t>
  </si>
  <si>
    <t>DN36355801</t>
  </si>
  <si>
    <t>SAMS1CL21B106KPQNNNESAM0</t>
  </si>
  <si>
    <t>SAM0</t>
  </si>
  <si>
    <t>DN71377801</t>
  </si>
  <si>
    <t>DN28166801</t>
  </si>
  <si>
    <t>OSR4</t>
  </si>
  <si>
    <t>DN11088801</t>
  </si>
  <si>
    <t>DN02399801</t>
  </si>
  <si>
    <t>XIL5</t>
  </si>
  <si>
    <t>DN76855801</t>
  </si>
  <si>
    <t>DN32922801</t>
  </si>
  <si>
    <t>CENS1CMR1-10 TR13 PBFREECEN3</t>
  </si>
  <si>
    <t>CEN3</t>
  </si>
  <si>
    <t>DN32911801</t>
  </si>
  <si>
    <t>DN72911801</t>
  </si>
  <si>
    <t>DN88033801</t>
  </si>
  <si>
    <t>VISS1CRCW0805100RFKEAHPVIS7</t>
  </si>
  <si>
    <t>AVAS1BCM53101EKMLGAVA6</t>
  </si>
  <si>
    <t>ROHS1RB751SM-40T2RROH7</t>
  </si>
  <si>
    <t>DN33566801</t>
  </si>
  <si>
    <t>OMR6</t>
  </si>
  <si>
    <t>RAD1</t>
  </si>
  <si>
    <t>REN4</t>
  </si>
  <si>
    <t>GOLS1179739-0001/KGOL2</t>
  </si>
  <si>
    <t>MOLS134792-2081MOL9</t>
  </si>
  <si>
    <t>CTSS1405I35E25M00000CTS9</t>
  </si>
  <si>
    <t>OSRS1SFH 7781-1/2/3OSR4</t>
  </si>
  <si>
    <t>TAIS1EMK212B7225KG-TTAI1</t>
  </si>
  <si>
    <t>GSIS1GS82564Z18GD-333IGSI6</t>
  </si>
  <si>
    <t>GSI6</t>
  </si>
  <si>
    <t>MICS1HRDS-JANTXV_DATA_PACKAGEMIC7</t>
  </si>
  <si>
    <t>KEMS1C1206C103K5RACTUKEM5</t>
  </si>
  <si>
    <t>REN8</t>
  </si>
  <si>
    <t>AVNS1MC68332GCEH25AVN7</t>
  </si>
  <si>
    <t>SOUS1FMATSP-S2AA1-M1TVSOU4</t>
  </si>
  <si>
    <t>MSCS1SM2S-AL-01 HSP-001 /1137476MSC9</t>
  </si>
  <si>
    <t>MSC9</t>
  </si>
  <si>
    <t>MSCS190108MSC9</t>
  </si>
  <si>
    <t>RENS1X9313ZSZT1REN8</t>
  </si>
  <si>
    <t>SCHS1SRT2200XLASCH7</t>
  </si>
  <si>
    <t>TAIS1LBC3225T101MRTAI1</t>
  </si>
  <si>
    <t>MICS1GC42107-04MIC4</t>
  </si>
  <si>
    <t>INF3</t>
  </si>
  <si>
    <t>SOUS1GSS-VAR-PERSOU4</t>
  </si>
  <si>
    <t>BOUS12300LL-220-V-RCBOU9</t>
  </si>
  <si>
    <t>BOU9</t>
  </si>
  <si>
    <t>ECSS1ECS-.327-CDX-2216ECS2</t>
  </si>
  <si>
    <t>ECS2</t>
  </si>
  <si>
    <t>NXPS1NT3H2211W0FHKHNXP0</t>
  </si>
  <si>
    <t>SOUS1EOLQ-161HG-40-L7DLSOU4</t>
  </si>
  <si>
    <t>OMRS1B3FS-1012POMR6</t>
  </si>
  <si>
    <t>OSRS1BPW 34 FS-ZOSR4</t>
  </si>
  <si>
    <t>MURS1BLM18KG601SN1DMUR8</t>
  </si>
  <si>
    <t>ISSS1IS62WV1288BLL-55TLIISS3</t>
  </si>
  <si>
    <t>VIS1</t>
  </si>
  <si>
    <t>XILS1EF-VIVADO-ENTER-NLXIL5</t>
  </si>
  <si>
    <t>DIOS1S1M-13-FDIO1</t>
  </si>
  <si>
    <t>RADS17010-1511-042RAD1</t>
  </si>
  <si>
    <t>INFS188Q5151-D0-DGH2A000-P123/SAMPLEINF9</t>
  </si>
  <si>
    <t>AVNS1WAREHOUSE LABOR - OVERTIMEAVN7</t>
  </si>
  <si>
    <t>GOLS1A17237-001GOL2</t>
  </si>
  <si>
    <t>ON S1MBR0520LT1GON 9</t>
  </si>
  <si>
    <t>ON S1SBRS8340T3GON 9</t>
  </si>
  <si>
    <t>AVXS10603YC104KAT2AAVX0</t>
  </si>
  <si>
    <t>GOLS1179739-0001/K QA175GOL2</t>
  </si>
  <si>
    <t>VISS110004-18KSVIS9</t>
  </si>
  <si>
    <t>KEMS100871-2106-1700 FAIKEM5</t>
  </si>
  <si>
    <t>KEMS100871-2106-1700 REV CKEM5</t>
  </si>
  <si>
    <t>KEMS100871-2106-0800 FAIKEM5</t>
  </si>
  <si>
    <t>KEMS100871-2106-0800 REV CKEM5</t>
  </si>
  <si>
    <t>KEMS100871-2106-1100 FAIKEM5</t>
  </si>
  <si>
    <t>KEMS100871-2106-1100 REV CKEM5</t>
  </si>
  <si>
    <t>KEMS100871-2106-0900 FAIKEM5</t>
  </si>
  <si>
    <t>KEMS100871-2106-0900 REV CKEM5</t>
  </si>
  <si>
    <t>ON S1NOICPSEVG4SA-GCCON 9</t>
  </si>
  <si>
    <t>KEMS100871-2106-1900 FAIKEM5</t>
  </si>
  <si>
    <t>KEMS100871-2106-1900 REV CKEM5</t>
  </si>
  <si>
    <t>KEMS100871-2106-0700 FAIKEM5</t>
  </si>
  <si>
    <t>KEMS100871-2106-0700 REV CKEM5</t>
  </si>
  <si>
    <t>MURS1GRM188R61A226ME15DMUR8</t>
  </si>
  <si>
    <t>TE S1643071-4TE 6</t>
  </si>
  <si>
    <t>RENS174FCT3807AQG8REN4</t>
  </si>
  <si>
    <t>VISS1CDR33BX104AKWSAJ-HSVIS1</t>
  </si>
  <si>
    <t>KEMS100871-2106-4900 FAIKEM5</t>
  </si>
  <si>
    <t>KEMS100871-2106-4900 REV BKEM5</t>
  </si>
  <si>
    <t>TOS6</t>
  </si>
  <si>
    <t>TEL6</t>
  </si>
  <si>
    <t>AVXS1AS0814N7GTRAVX0</t>
  </si>
  <si>
    <t>INFS1IGLT65R110B2AUMA1INF9</t>
  </si>
  <si>
    <t>TOSS1TLP383(D4BLLTL,ETOS6</t>
  </si>
  <si>
    <t>TELS1ER412DYM-12BTEL6</t>
  </si>
  <si>
    <t>ON S1BAV70LT1GON 9</t>
  </si>
  <si>
    <t>KEMS100871-2106-2100 FAIKEM5</t>
  </si>
  <si>
    <t>KEMS100871-2106-2100 REV CKEM5</t>
  </si>
  <si>
    <t>BOUS1CHV1206-FX-1004ELFBOU5</t>
  </si>
  <si>
    <t>BOUS1GDT25-75-S1-RPBOU5</t>
  </si>
  <si>
    <t>MICS1JANTX1N6761UR-1/TRMIC7</t>
  </si>
  <si>
    <t>INFS1IRFR6215TRLPBFINF9</t>
  </si>
  <si>
    <t>MOLS190130-3208MOL9</t>
  </si>
  <si>
    <t>TE S1WCP2400SQ1-17UFLTE 4</t>
  </si>
  <si>
    <t>NXPS1PCA9515AD,118NXP0</t>
  </si>
  <si>
    <t>TE S12-1445094-3TE 6</t>
  </si>
  <si>
    <t>TE S13-794682-6TE 6</t>
  </si>
  <si>
    <t>GOLS1AS3093 TR FEEGOL2</t>
  </si>
  <si>
    <t>GOLS1AS3093GOL2</t>
  </si>
  <si>
    <t>INFS1CY62167EV30LL-45BVXIINF3</t>
  </si>
  <si>
    <t>MARS1EXPEDITE FEE AUTOMOTIVEMAR0</t>
  </si>
  <si>
    <t>RADS1312061-003 REV MRAD1</t>
  </si>
  <si>
    <t>RADS1GROUP A&amp;B TEST CHARGERAD1</t>
  </si>
  <si>
    <t>PO4951204157</t>
  </si>
  <si>
    <t>SO91161804157</t>
  </si>
  <si>
    <t>NEXS1BAS321JXNEX4</t>
  </si>
  <si>
    <t>NEXS1PESD2ETH1G-TRNEX4</t>
  </si>
  <si>
    <t>STMS1L9305EP-TRSTM6</t>
  </si>
  <si>
    <t>STMS1TSX3704IYPTSTM6</t>
  </si>
  <si>
    <t>STMS1VN9D30Q100FTRSTM6</t>
  </si>
  <si>
    <t>STMS1VN9D5D20FNTRSTM6</t>
  </si>
  <si>
    <t>ON S1MBRS3100T3GON 9</t>
  </si>
  <si>
    <t>INFS1IPD600N25N3GATMA1INF9</t>
  </si>
  <si>
    <t>INFS1IPT60R016CM8XTMA1INF9</t>
  </si>
  <si>
    <t>ON S1NTMFS6H801NT1GON 9</t>
  </si>
  <si>
    <t>GOLS1330408-002/K GRP A TESTGOL2</t>
  </si>
  <si>
    <t>GOLS1330408-002/KGOL2</t>
  </si>
  <si>
    <t>DN S 9221</t>
  </si>
  <si>
    <t>Univ 0881</t>
  </si>
  <si>
    <t>INTE 0319</t>
  </si>
  <si>
    <t>AVNS1ATTINY25-20SUAVN7</t>
  </si>
  <si>
    <t>AVNS1MJB44H11GAVN7</t>
  </si>
  <si>
    <t>AVNS140063830-DSPIC33EV256GM004T-E/MLV03AVN7</t>
  </si>
  <si>
    <t>AVNS1W25Q16JLSNIGAVN7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</si>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</sst>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3" x14ac:knownFonts="1">
    <font>
      <sz val="11"/>
      <color theme="1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3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164" fontId="1" fillId="4" borderId="1" xfId="0" applyNumberFormat="1" applyFont="1" applyFill="1" applyBorder="1" applyAlignment="1">
      <alignment horizontal="center"/>
    </xf>
    <xf numFmtId="164" fontId="1" fillId="2" borderId="1" xfId="0" applyNumberFormat="1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14" fontId="1" fillId="3" borderId="1" xfId="0" applyNumberFormat="1" applyFont="1" applyFill="1" applyBorder="1" applyAlignment="1">
      <alignment horizontal="center"/>
    </xf>
    <xf numFmtId="164" fontId="1" fillId="3" borderId="1" xfId="0" applyNumberFormat="1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164" fontId="0" fillId="0" borderId="0" xfId="0" applyNumberFormat="1" applyAlignment="1">
      <alignment horizontal="center"/>
    </xf>
    <xf numFmtId="14" fontId="0" fillId="0" borderId="0" xfId="0" applyNumberFormat="1"/>
    <xf numFmtId="0" fontId="0" fillId="0" borderId="0" xfId="0" applyAlignment="1">
      <alignment vertical="top"/>
    </xf>
    <xf numFmtId="0" fontId="0" fillId="0" borderId="0" xfId="0" applyAlignment="1">
      <alignment horizontal="center" vertical="top"/>
    </xf>
    <xf numFmtId="0" fontId="1" fillId="3" borderId="3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1" fillId="3" borderId="0" xfId="0" applyFont="1" applyFill="1" applyAlignment="1">
      <alignment horizontal="center"/>
    </xf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92BA29-1C04-4166-9AAF-BBDF6942DD99}">
  <sheetPr codeName="Sheet1"/>
  <dimension ref="A1:AE27082"/>
  <sheetViews>
    <sheetView tabSelected="1" workbookViewId="0">
      <pane ySplit="1" topLeftCell="A2" activePane="bottomLeft" state="frozen"/>
      <selection pane="bottomLeft"/>
    </sheetView>
  </sheetViews>
  <sheetFormatPr defaultRowHeight="14.4" x14ac:dyDescent="0.3"/>
  <cols>
    <col min="1" max="1" width="9.44140625" bestFit="1" customWidth="1"/>
    <col min="2" max="2" width="11.88671875" bestFit="1" customWidth="1"/>
    <col min="3" max="3" width="15" bestFit="1" customWidth="1"/>
    <col min="4" max="4" width="20.77734375" bestFit="1" customWidth="1"/>
    <col min="5" max="5" width="19.33203125" bestFit="1" customWidth="1"/>
    <col min="6" max="6" width="25" bestFit="1" customWidth="1"/>
    <col min="7" max="7" width="14.44140625" bestFit="1" customWidth="1"/>
    <col min="8" max="8" width="15.109375" bestFit="1" customWidth="1"/>
    <col min="9" max="9" width="11.5546875" bestFit="1" customWidth="1"/>
    <col min="10" max="10" width="12" bestFit="1" customWidth="1"/>
    <col min="11" max="11" width="10.6640625" style="9" bestFit="1" customWidth="1"/>
    <col min="12" max="12" width="42" bestFit="1" customWidth="1"/>
    <col min="13" max="13" width="10.6640625" style="9" bestFit="1" customWidth="1"/>
    <col min="14" max="14" width="15" style="9" bestFit="1" customWidth="1"/>
    <col min="15" max="15" width="12.6640625" bestFit="1" customWidth="1"/>
    <col min="16" max="17" width="10.109375" style="11" bestFit="1" customWidth="1"/>
    <col min="18" max="18" width="14.77734375" style="10" bestFit="1" customWidth="1"/>
    <col min="19" max="19" width="18.109375" bestFit="1" customWidth="1"/>
    <col min="20" max="20" width="7.77734375" style="9" bestFit="1" customWidth="1"/>
    <col min="21" max="21" width="12.109375" style="12" bestFit="1" customWidth="1"/>
    <col min="22" max="22" width="19.88671875" style="10" bestFit="1" customWidth="1"/>
    <col min="23" max="23" width="14" bestFit="1" customWidth="1"/>
    <col min="24" max="24" width="17.5546875" bestFit="1" customWidth="1"/>
    <col min="25" max="25" width="13.33203125" bestFit="1" customWidth="1"/>
    <col min="26" max="26" width="13.6640625" bestFit="1" customWidth="1"/>
    <col min="27" max="27" width="19.109375" bestFit="1" customWidth="1"/>
    <col min="28" max="28" width="89.77734375" bestFit="1" customWidth="1"/>
    <col min="29" max="29" width="10.33203125" style="9" bestFit="1" customWidth="1"/>
    <col min="30" max="30" width="9.88671875" style="9" bestFit="1" customWidth="1"/>
    <col min="31" max="31" width="13.44140625" style="9" bestFit="1" customWidth="1"/>
  </cols>
  <sheetData>
    <row r="1" spans="1:31" x14ac:dyDescent="0.3">
      <c r="A1" s="1" t="s">
        <v>0</v>
      </c>
      <c r="B1" s="1" t="s">
        <v>2</v>
      </c>
      <c r="C1" s="1" t="s">
        <v>32</v>
      </c>
      <c r="D1" s="1" t="s">
        <v>15</v>
      </c>
      <c r="E1" s="1" t="s">
        <v>16</v>
      </c>
      <c r="F1" s="1" t="s">
        <v>1</v>
      </c>
      <c r="G1" s="1" t="s">
        <v>3</v>
      </c>
      <c r="H1" s="1" t="s">
        <v>4</v>
      </c>
      <c r="I1" s="2" t="s">
        <v>5</v>
      </c>
      <c r="J1" s="1" t="s">
        <v>6</v>
      </c>
      <c r="K1" s="2" t="s">
        <v>7</v>
      </c>
      <c r="L1" s="2" t="s">
        <v>8</v>
      </c>
      <c r="M1" s="2" t="s">
        <v>9</v>
      </c>
      <c r="N1" s="2" t="s">
        <v>10</v>
      </c>
      <c r="O1" s="3" t="s">
        <v>27</v>
      </c>
      <c r="P1" s="4" t="s">
        <v>28</v>
      </c>
      <c r="Q1" s="4" t="s">
        <v>29</v>
      </c>
      <c r="R1" s="3" t="s">
        <v>30</v>
      </c>
      <c r="S1" s="4" t="s">
        <v>34</v>
      </c>
      <c r="T1" s="5" t="s">
        <v>33</v>
      </c>
      <c r="U1" s="6" t="s">
        <v>11</v>
      </c>
      <c r="V1" s="7" t="s">
        <v>12</v>
      </c>
      <c r="W1" s="5" t="s">
        <v>42</v>
      </c>
      <c r="X1" s="1" t="s">
        <v>13</v>
      </c>
      <c r="Y1" s="1" t="s">
        <v>37</v>
      </c>
      <c r="Z1" s="1" t="s">
        <v>14</v>
      </c>
      <c r="AA1" s="1" t="s">
        <v>38</v>
      </c>
      <c r="AB1" s="8" t="s">
        <v>31</v>
      </c>
      <c r="AC1" s="5" t="s">
        <v>39</v>
      </c>
      <c r="AD1" s="5" t="s">
        <v>43</v>
      </c>
      <c r="AE1" s="5" t="s">
        <v>44</v>
      </c>
    </row>
    <row r="2" spans="1:31" x14ac:dyDescent="0.3">
      <c r="A2">
        <v>157</v>
      </c>
      <c r="B2">
        <v>4413413</v>
      </c>
      <c r="C2" t="s">
        <v>35</v>
      </c>
      <c r="D2">
        <v>1531094</v>
      </c>
      <c r="E2" t="s">
        <v>77</v>
      </c>
      <c r="F2" t="s">
        <v>21</v>
      </c>
      <c r="G2" t="s">
        <v>170</v>
      </c>
      <c r="H2" t="s">
        <v>171</v>
      </c>
      <c r="I2" s="9" t="s">
        <v>256</v>
      </c>
      <c r="J2" s="9">
        <v>51163192688</v>
      </c>
      <c r="K2" s="14" t="s">
        <v>357</v>
      </c>
      <c r="L2" s="13" t="s">
        <v>356</v>
      </c>
      <c r="M2" s="14">
        <v>576</v>
      </c>
      <c r="N2" s="14">
        <v>362.5</v>
      </c>
      <c r="O2" s="10">
        <f t="shared" ref="O2:O3" si="0">M2*N2</f>
        <v>208800</v>
      </c>
      <c r="P2" s="11">
        <v>19000.8</v>
      </c>
      <c r="Q2" s="11">
        <v>0</v>
      </c>
      <c r="R2" s="10">
        <f>IF(COUNTIF($J$2:J2,J2)=1,SUMIFS($O:$O,$J:$J,J2)+SUMIFS($P:$P,$J:$J,J2)+SUMIFS($Q:$Q,$J:$J,J2),"")</f>
        <v>227800.8</v>
      </c>
      <c r="S2" s="10">
        <v>227800.8</v>
      </c>
      <c r="T2" s="11" t="str">
        <f>IFERROR(INDEX(AD:AD,MATCH(J2,J:J,0)),"")</f>
        <v>Ok</v>
      </c>
      <c r="U2" s="12">
        <v>46027</v>
      </c>
      <c r="V2" s="10">
        <v>4176</v>
      </c>
      <c r="W2" s="10" t="str">
        <f t="shared" ref="W2:W3" si="1">IF(OR(S2="",V2=""),"N/A",IF(S2&lt;&gt;V2,"Short Paid","Not Paid"))</f>
        <v>Short Paid</v>
      </c>
      <c r="X2" t="s">
        <v>56</v>
      </c>
      <c r="Y2" t="s">
        <v>36</v>
      </c>
      <c r="Z2">
        <v>100142</v>
      </c>
      <c r="AA2" t="s">
        <v>208</v>
      </c>
      <c r="AB2" t="s">
        <v>204</v>
      </c>
      <c r="AC2" s="9">
        <f>COUNTIF(J:J,J2)</f>
        <v>1</v>
      </c>
      <c r="AD2" s="9" t="str">
        <f t="shared" ref="AD2:AD3" si="2">IF(AND(R2="",S2=""),"N/A",IF(R2=S2,"Ok","Check"))</f>
        <v>Ok</v>
      </c>
      <c r="AE2" s="11">
        <f t="shared" ref="AE2:AE3" si="3">R2-S2</f>
        <v>0</v>
      </c>
    </row>
    <row r="3" spans="1:31" x14ac:dyDescent="0.3">
      <c r="A3">
        <v>156</v>
      </c>
      <c r="B3">
        <v>4416873</v>
      </c>
      <c r="C3" t="s">
        <v>35</v>
      </c>
      <c r="D3">
        <v>1092128</v>
      </c>
      <c r="E3" t="s">
        <v>75</v>
      </c>
      <c r="F3" t="s">
        <v>22</v>
      </c>
      <c r="G3" t="s">
        <v>172</v>
      </c>
      <c r="H3" t="s">
        <v>173</v>
      </c>
      <c r="I3" s="9" t="s">
        <v>332</v>
      </c>
      <c r="J3" s="9">
        <v>51164008510</v>
      </c>
      <c r="K3" s="14" t="s">
        <v>247</v>
      </c>
      <c r="L3" s="13" t="s">
        <v>359</v>
      </c>
      <c r="M3" s="14">
        <v>2500</v>
      </c>
      <c r="N3" s="14">
        <v>1.141E-2</v>
      </c>
      <c r="O3" s="10">
        <f t="shared" si="0"/>
        <v>28.524999999999999</v>
      </c>
      <c r="P3" s="11">
        <v>0</v>
      </c>
      <c r="Q3" s="11">
        <v>2.71</v>
      </c>
      <c r="R3" s="10">
        <f>IF(COUNTIF($J$2:J3,J3)=1,SUMIFS($O:$O,$J:$J,J3)+SUMIFS($P:$P,$J:$J,J3)+SUMIFS($Q:$Q,$J:$J,J3),"")</f>
        <v>31.234999999999999</v>
      </c>
      <c r="S3" s="10">
        <v>31.24</v>
      </c>
      <c r="T3" s="11" t="str">
        <f>IFERROR(INDEX(AD:AD,MATCH(J3,J:J,0)),"")</f>
        <v>Check</v>
      </c>
      <c r="U3" s="12">
        <v>45978</v>
      </c>
      <c r="V3" s="10">
        <v>31.24</v>
      </c>
      <c r="W3" s="10" t="str">
        <f t="shared" si="1"/>
        <v>Not Paid</v>
      </c>
      <c r="X3" t="s">
        <v>55</v>
      </c>
      <c r="Y3" t="s">
        <v>25</v>
      </c>
      <c r="Z3">
        <v>100235</v>
      </c>
      <c r="AA3" t="s">
        <v>66</v>
      </c>
      <c r="AB3" t="s">
        <v>203</v>
      </c>
      <c r="AC3" s="9">
        <f>COUNTIF(J:J,J3)</f>
        <v>1</v>
      </c>
      <c r="AD3" s="9" t="str">
        <f t="shared" si="2"/>
        <v>Check</v>
      </c>
      <c r="AE3" s="11">
        <f t="shared" si="3"/>
        <v>-4.9999999999990052E-3</v>
      </c>
    </row>
    <row r="4" spans="1:31" x14ac:dyDescent="0.3">
      <c r="A4">
        <v>0</v>
      </c>
      <c r="B4">
        <v>4930714</v>
      </c>
      <c r="C4" t="s">
        <v>35</v>
      </c>
      <c r="D4">
        <v>1080749</v>
      </c>
      <c r="E4" t="s">
        <v>83</v>
      </c>
      <c r="F4" t="s">
        <v>24</v>
      </c>
      <c r="G4" t="s">
        <v>201</v>
      </c>
      <c r="H4" t="s">
        <v>202</v>
      </c>
      <c r="I4" s="9" t="s">
        <v>343</v>
      </c>
      <c r="J4" s="9">
        <v>51154159530</v>
      </c>
      <c r="K4" s="14" t="s">
        <v>293</v>
      </c>
      <c r="L4" s="13" t="s">
        <v>321</v>
      </c>
      <c r="M4" s="14">
        <v>60000</v>
      </c>
      <c r="N4" s="14">
        <v>2.7E-2</v>
      </c>
      <c r="O4" s="10">
        <f t="shared" ref="O4" si="4">M4*N4</f>
        <v>1620</v>
      </c>
      <c r="P4" s="11">
        <v>0</v>
      </c>
      <c r="Q4" s="11">
        <v>0</v>
      </c>
      <c r="R4" s="10">
        <f>IF(COUNTIF($J$2:J4,J4)=1,SUMIFS($O:$O,$J:$J,J4)+SUMIFS($P:$P,$J:$J,J4)+SUMIFS($Q:$Q,$J:$J,J4),"")</f>
        <v>1620</v>
      </c>
      <c r="S4" s="10">
        <v>160772.4</v>
      </c>
      <c r="T4" s="11" t="str">
        <f>IFERROR(INDEX(AD:AD,MATCH(J4,J:J,0)),"")</f>
        <v>Check</v>
      </c>
      <c r="U4" s="12">
        <v>46111</v>
      </c>
      <c r="V4" s="10">
        <v>9500</v>
      </c>
      <c r="W4" s="10" t="str">
        <f t="shared" ref="W4" si="5">IF(OR(S4="",V4=""),"N/A",IF(S4&lt;&gt;V4,"Short Paid","Not Paid"))</f>
        <v>Short Paid</v>
      </c>
      <c r="X4" t="s">
        <v>55</v>
      </c>
      <c r="Y4" t="s">
        <v>36</v>
      </c>
      <c r="Z4">
        <v>100225</v>
      </c>
      <c r="AA4" t="s">
        <v>217</v>
      </c>
      <c r="AB4" t="s">
        <v>70</v>
      </c>
      <c r="AC4" s="9">
        <f>COUNTIF(J:J,J4)</f>
        <v>1</v>
      </c>
      <c r="AD4" s="9" t="str">
        <f t="shared" ref="AD4" si="6">IF(AND(R4="",S4=""),"N/A",IF(R4=S4,"Ok","Check"))</f>
        <v>Check</v>
      </c>
      <c r="AE4" s="11">
        <f t="shared" ref="AE4" si="7">R4-S4</f>
        <v>-159152.4</v>
      </c>
    </row>
    <row r="5" spans="1:31" x14ac:dyDescent="0.3">
      <c r="A5">
        <v>85</v>
      </c>
      <c r="B5">
        <v>4607904</v>
      </c>
      <c r="C5" t="s">
        <v>35</v>
      </c>
      <c r="D5">
        <v>1963277</v>
      </c>
      <c r="E5" t="s">
        <v>50</v>
      </c>
      <c r="F5" t="s">
        <v>18</v>
      </c>
      <c r="G5" t="s">
        <v>45</v>
      </c>
      <c r="H5" t="s">
        <v>46</v>
      </c>
      <c r="I5" t="s">
        <v>233</v>
      </c>
      <c r="J5">
        <v>51137871300</v>
      </c>
      <c r="K5" t="s">
        <v>219</v>
      </c>
      <c r="L5" t="s">
        <v>454</v>
      </c>
      <c r="M5">
        <v>1500</v>
      </c>
      <c r="N5">
        <v>1.1845000000000001</v>
      </c>
      <c r="O5" s="10">
        <f t="shared" ref="O5:O8" si="8">M5*N5</f>
        <v>1776.7500000000002</v>
      </c>
      <c r="P5">
        <v>0</v>
      </c>
      <c r="Q5">
        <v>0</v>
      </c>
      <c r="R5">
        <v>4604.37</v>
      </c>
      <c r="S5">
        <v>4604.37</v>
      </c>
      <c r="T5" s="11" t="str">
        <f>IFERROR(INDEX(AD:AD,MATCH(J5,J:J,0)),"")</f>
        <v>Ok</v>
      </c>
      <c r="U5" s="12">
        <v>46015</v>
      </c>
      <c r="V5" s="10">
        <v>1147.44</v>
      </c>
      <c r="W5" s="10" t="str">
        <f t="shared" ref="W5:W8" si="9">IF(OR(S5="",V5=""),"N/A",IF(S5&lt;&gt;V5,"Short Paid","Not Paid"))</f>
        <v>Short Paid</v>
      </c>
      <c r="X5" t="s">
        <v>53</v>
      </c>
      <c r="Y5" t="s">
        <v>25</v>
      </c>
      <c r="Z5">
        <v>100289</v>
      </c>
      <c r="AA5" t="s">
        <v>54</v>
      </c>
      <c r="AB5" t="s">
        <v>71</v>
      </c>
      <c r="AC5">
        <v>2</v>
      </c>
      <c r="AD5" s="9" t="str">
        <f t="shared" ref="AD5:AD8" si="10">IF(AND(R5="",S5=""),"N/A",IF(R5=S5,"Ok","Check"))</f>
        <v>Ok</v>
      </c>
      <c r="AE5" s="11">
        <f t="shared" ref="AE5:AE11" si="11">R5-S5</f>
        <v>0</v>
      </c>
    </row>
    <row r="6" spans="1:31" x14ac:dyDescent="0.3">
      <c r="A6">
        <v>85</v>
      </c>
      <c r="B6">
        <v>4607904</v>
      </c>
      <c r="C6" t="s">
        <v>35</v>
      </c>
      <c r="D6">
        <v>1963277</v>
      </c>
      <c r="E6" t="s">
        <v>50</v>
      </c>
      <c r="F6" t="s">
        <v>18</v>
      </c>
      <c r="G6" t="s">
        <v>45</v>
      </c>
      <c r="H6" t="s">
        <v>46</v>
      </c>
      <c r="I6" t="s">
        <v>332</v>
      </c>
      <c r="J6">
        <v>51137871300</v>
      </c>
      <c r="K6" t="s">
        <v>219</v>
      </c>
      <c r="L6" t="s">
        <v>455</v>
      </c>
      <c r="M6">
        <v>4098</v>
      </c>
      <c r="N6">
        <v>0.69</v>
      </c>
      <c r="O6" s="10">
        <f t="shared" si="8"/>
        <v>2827.62</v>
      </c>
      <c r="P6" t="s">
        <v>458</v>
      </c>
      <c r="Q6" t="s">
        <v>458</v>
      </c>
      <c r="R6" t="s">
        <v>458</v>
      </c>
      <c r="S6" t="s">
        <v>458</v>
      </c>
      <c r="T6" s="11" t="str">
        <f>IFERROR(INDEX(AD:AD,MATCH(J6,J:J,0)),"")</f>
        <v>Ok</v>
      </c>
      <c r="U6" s="12">
        <v>46015</v>
      </c>
      <c r="V6" s="10">
        <v>1147.44</v>
      </c>
      <c r="W6" s="10" t="str">
        <f t="shared" si="9"/>
        <v>N/A</v>
      </c>
      <c r="X6" t="s">
        <v>53</v>
      </c>
      <c r="Y6" t="s">
        <v>25</v>
      </c>
      <c r="Z6">
        <v>100289</v>
      </c>
      <c r="AA6" t="s">
        <v>54</v>
      </c>
      <c r="AB6" t="s">
        <v>71</v>
      </c>
      <c r="AC6">
        <v>2</v>
      </c>
      <c r="AD6" s="9" t="str">
        <f t="shared" si="10"/>
        <v>N/A</v>
      </c>
      <c r="AE6" s="11" t="e">
        <f t="shared" si="11"/>
        <v>#VALUE!</v>
      </c>
    </row>
    <row r="7" spans="1:31" x14ac:dyDescent="0.3">
      <c r="A7">
        <v>4</v>
      </c>
      <c r="B7">
        <v>4941289</v>
      </c>
      <c r="C7" t="s">
        <v>35</v>
      </c>
      <c r="D7">
        <v>1770254</v>
      </c>
      <c r="E7" t="s">
        <v>51</v>
      </c>
      <c r="F7" t="s">
        <v>18</v>
      </c>
      <c r="G7" t="s">
        <v>47</v>
      </c>
      <c r="H7" t="s">
        <v>48</v>
      </c>
      <c r="I7" t="s">
        <v>302</v>
      </c>
      <c r="J7">
        <v>51160425892</v>
      </c>
      <c r="K7" t="s">
        <v>219</v>
      </c>
      <c r="L7" t="s">
        <v>456</v>
      </c>
      <c r="M7">
        <v>3836</v>
      </c>
      <c r="N7">
        <v>0.31</v>
      </c>
      <c r="O7" s="10">
        <f t="shared" si="8"/>
        <v>1189.1600000000001</v>
      </c>
      <c r="P7">
        <v>0</v>
      </c>
      <c r="Q7">
        <v>0</v>
      </c>
      <c r="R7">
        <v>3139.16</v>
      </c>
      <c r="S7">
        <v>3139.16</v>
      </c>
      <c r="T7" s="11" t="str">
        <f>IFERROR(INDEX(AD:AD,MATCH(J7,J:J,0)),"")</f>
        <v>Ok</v>
      </c>
      <c r="U7" s="12">
        <v>46129</v>
      </c>
      <c r="V7" s="10">
        <v>1950</v>
      </c>
      <c r="W7" s="10" t="str">
        <f t="shared" si="9"/>
        <v>Short Paid</v>
      </c>
      <c r="X7" t="s">
        <v>53</v>
      </c>
      <c r="Y7" t="s">
        <v>25</v>
      </c>
      <c r="Z7">
        <v>100249</v>
      </c>
      <c r="AA7" t="s">
        <v>60</v>
      </c>
      <c r="AB7" t="s">
        <v>71</v>
      </c>
      <c r="AC7">
        <v>2</v>
      </c>
      <c r="AD7" s="9" t="str">
        <f t="shared" si="10"/>
        <v>Ok</v>
      </c>
      <c r="AE7" s="11">
        <f t="shared" si="11"/>
        <v>0</v>
      </c>
    </row>
    <row r="8" spans="1:31" x14ac:dyDescent="0.3">
      <c r="A8">
        <v>4</v>
      </c>
      <c r="B8">
        <v>4941289</v>
      </c>
      <c r="C8" t="s">
        <v>35</v>
      </c>
      <c r="D8">
        <v>1770254</v>
      </c>
      <c r="E8" t="s">
        <v>51</v>
      </c>
      <c r="F8" t="s">
        <v>18</v>
      </c>
      <c r="G8" t="s">
        <v>47</v>
      </c>
      <c r="H8" t="s">
        <v>48</v>
      </c>
      <c r="I8" t="s">
        <v>235</v>
      </c>
      <c r="J8">
        <v>51160425892</v>
      </c>
      <c r="K8" t="s">
        <v>219</v>
      </c>
      <c r="L8" t="s">
        <v>457</v>
      </c>
      <c r="M8">
        <v>1500</v>
      </c>
      <c r="N8">
        <v>1.3</v>
      </c>
      <c r="O8" s="10">
        <f t="shared" si="8"/>
        <v>1950</v>
      </c>
      <c r="P8" t="s">
        <v>458</v>
      </c>
      <c r="Q8" t="s">
        <v>458</v>
      </c>
      <c r="R8" t="s">
        <v>458</v>
      </c>
      <c r="S8" t="s">
        <v>458</v>
      </c>
      <c r="T8" s="11" t="str">
        <f>IFERROR(INDEX(AD:AD,MATCH(J8,J:J,0)),"")</f>
        <v>Ok</v>
      </c>
      <c r="U8" s="12">
        <v>46129</v>
      </c>
      <c r="V8" s="10">
        <v>1950</v>
      </c>
      <c r="W8" s="10" t="str">
        <f t="shared" si="9"/>
        <v>N/A</v>
      </c>
      <c r="X8" t="s">
        <v>53</v>
      </c>
      <c r="Y8" t="s">
        <v>25</v>
      </c>
      <c r="Z8">
        <v>100249</v>
      </c>
      <c r="AA8" t="s">
        <v>60</v>
      </c>
      <c r="AB8" t="s">
        <v>71</v>
      </c>
      <c r="AC8">
        <v>2</v>
      </c>
      <c r="AD8" s="9" t="str">
        <f t="shared" si="10"/>
        <v>N/A</v>
      </c>
      <c r="AE8" s="11" t="e">
        <f t="shared" si="11"/>
        <v>#VALUE!</v>
      </c>
    </row>
    <row r="9" spans="1:31" x14ac:dyDescent="0.3">
      <c r="A9">
        <v>88</v>
      </c>
      <c r="B9">
        <v>4597051</v>
      </c>
      <c r="C9" t="s">
        <v>35</v>
      </c>
      <c r="D9">
        <v>1531708</v>
      </c>
      <c r="E9" t="s">
        <v>82</v>
      </c>
      <c r="F9" t="s">
        <v>17</v>
      </c>
      <c r="G9" t="s">
        <v>101</v>
      </c>
      <c r="H9" t="s">
        <v>102</v>
      </c>
      <c r="I9" t="s">
        <v>232</v>
      </c>
      <c r="J9">
        <v>50115184599</v>
      </c>
      <c r="K9" t="s">
        <v>364</v>
      </c>
      <c r="L9" t="s">
        <v>363</v>
      </c>
      <c r="M9">
        <v>180</v>
      </c>
      <c r="N9" s="10">
        <v>9</v>
      </c>
      <c r="O9" s="10">
        <f t="shared" ref="O9:O19" si="12">M9*N9</f>
        <v>1620</v>
      </c>
      <c r="P9" s="10">
        <v>402.66</v>
      </c>
      <c r="Q9" s="10">
        <v>0</v>
      </c>
      <c r="R9" s="10">
        <f>IF(COUNTIF($J$2:J9,J9)=1,SUMIFS($O:$O,$J:$J,J9)+SUMIFS($P:$P,$J:$J,J9)+SUMIFS($Q:$Q,$J:$J,J9),"")</f>
        <v>7184.94</v>
      </c>
      <c r="S9" s="10">
        <v>7216.0199999999995</v>
      </c>
      <c r="T9" s="11" t="str">
        <f>IFERROR(INDEX(AD:AD,MATCH(J9,J:J,0)),"")</f>
        <v>Check</v>
      </c>
      <c r="U9" s="12">
        <v>45580</v>
      </c>
      <c r="V9" s="10">
        <v>5564.94</v>
      </c>
      <c r="W9" s="10" t="str">
        <f t="shared" ref="W9:W19" si="13">IF(OR(S9="",V9=""),"N/A",IF(S9&lt;&gt;V9,"Short Paid","Not Paid"))</f>
        <v>Short Paid</v>
      </c>
      <c r="X9" t="s">
        <v>53</v>
      </c>
      <c r="Y9" t="s">
        <v>52</v>
      </c>
      <c r="Z9">
        <v>100139</v>
      </c>
      <c r="AA9" t="s">
        <v>212</v>
      </c>
      <c r="AB9" t="s">
        <v>73</v>
      </c>
      <c r="AC9" s="9">
        <v>2</v>
      </c>
      <c r="AD9" s="9" t="str">
        <f t="shared" ref="AD9:AD19" si="14">IF(AND(R9="",S9=""),"N/A",IF(R9=S9,"Ok","Check"))</f>
        <v>Check</v>
      </c>
      <c r="AE9" s="11">
        <f t="shared" si="11"/>
        <v>-31.079999999999927</v>
      </c>
    </row>
    <row r="10" spans="1:31" x14ac:dyDescent="0.3">
      <c r="A10">
        <v>88</v>
      </c>
      <c r="B10">
        <v>4597051</v>
      </c>
      <c r="C10" t="s">
        <v>35</v>
      </c>
      <c r="D10">
        <v>1531708</v>
      </c>
      <c r="E10" t="s">
        <v>82</v>
      </c>
      <c r="F10" t="s">
        <v>17</v>
      </c>
      <c r="G10" t="s">
        <v>101</v>
      </c>
      <c r="H10" t="s">
        <v>102</v>
      </c>
      <c r="I10" t="s">
        <v>315</v>
      </c>
      <c r="J10">
        <v>50115184599</v>
      </c>
      <c r="K10" t="s">
        <v>219</v>
      </c>
      <c r="L10" t="s">
        <v>230</v>
      </c>
      <c r="M10">
        <v>1</v>
      </c>
      <c r="N10" s="10">
        <v>5162.28</v>
      </c>
      <c r="O10" s="10">
        <f t="shared" si="12"/>
        <v>5162.28</v>
      </c>
      <c r="P10" s="10" t="s">
        <v>458</v>
      </c>
      <c r="Q10" s="10" t="s">
        <v>458</v>
      </c>
      <c r="R10" s="10" t="str">
        <f>IF(COUNTIF($J$2:J10,J10)=1,SUMIFS($O:$O,$J:$J,J10)+SUMIFS($P:$P,$J:$J,J10)+SUMIFS($Q:$Q,$J:$J,J10),"")</f>
        <v/>
      </c>
      <c r="S10" s="10" t="s">
        <v>458</v>
      </c>
      <c r="T10" s="11" t="str">
        <f>IFERROR(INDEX(AD:AD,MATCH(J10,J:J,0)),"")</f>
        <v>Check</v>
      </c>
      <c r="U10" s="12">
        <v>45580</v>
      </c>
      <c r="V10" s="10">
        <v>5564.94</v>
      </c>
      <c r="W10" s="10" t="str">
        <f t="shared" si="13"/>
        <v>N/A</v>
      </c>
      <c r="X10" t="s">
        <v>53</v>
      </c>
      <c r="Y10" t="s">
        <v>52</v>
      </c>
      <c r="Z10">
        <v>100139</v>
      </c>
      <c r="AA10" t="s">
        <v>212</v>
      </c>
      <c r="AB10" t="s">
        <v>73</v>
      </c>
      <c r="AC10" s="9">
        <v>2</v>
      </c>
      <c r="AD10" s="9" t="str">
        <f t="shared" si="14"/>
        <v>N/A</v>
      </c>
      <c r="AE10" s="11" t="e">
        <f t="shared" si="11"/>
        <v>#VALUE!</v>
      </c>
    </row>
    <row r="11" spans="1:31" x14ac:dyDescent="0.3">
      <c r="A11">
        <v>88</v>
      </c>
      <c r="B11">
        <v>4597329</v>
      </c>
      <c r="C11" t="s">
        <v>35</v>
      </c>
      <c r="D11">
        <v>1531708</v>
      </c>
      <c r="E11" t="s">
        <v>82</v>
      </c>
      <c r="F11" t="s">
        <v>17</v>
      </c>
      <c r="G11" t="s">
        <v>178</v>
      </c>
      <c r="H11" t="s">
        <v>179</v>
      </c>
      <c r="I11" t="s">
        <v>308</v>
      </c>
      <c r="J11">
        <v>50115204008</v>
      </c>
      <c r="K11" t="s">
        <v>364</v>
      </c>
      <c r="L11" t="s">
        <v>365</v>
      </c>
      <c r="M11">
        <v>240</v>
      </c>
      <c r="N11" s="10">
        <v>200</v>
      </c>
      <c r="O11" s="10">
        <f t="shared" si="12"/>
        <v>48000</v>
      </c>
      <c r="P11" s="10">
        <v>61.49</v>
      </c>
      <c r="Q11" s="10">
        <v>0</v>
      </c>
      <c r="R11" s="10">
        <f>IF(COUNTIF($J$2:J11,J11)=1,SUMIFS($O:$O,$J:$J,J11)+SUMIFS($P:$P,$J:$J,J11)+SUMIFS($Q:$Q,$J:$J,J11),"")</f>
        <v>51116.53</v>
      </c>
      <c r="S11" s="10">
        <v>51164.78</v>
      </c>
      <c r="T11" s="11" t="str">
        <f>IFERROR(INDEX(AD:AD,MATCH(J11,J:J,0)),"")</f>
        <v>Check</v>
      </c>
      <c r="U11" s="12">
        <v>45582</v>
      </c>
      <c r="V11" s="10">
        <v>776.53</v>
      </c>
      <c r="W11" s="10" t="str">
        <f t="shared" si="13"/>
        <v>Short Paid</v>
      </c>
      <c r="X11" t="s">
        <v>53</v>
      </c>
      <c r="Y11" t="s">
        <v>52</v>
      </c>
      <c r="Z11">
        <v>100179</v>
      </c>
      <c r="AA11" t="s">
        <v>209</v>
      </c>
      <c r="AB11" t="s">
        <v>73</v>
      </c>
      <c r="AC11" s="9">
        <v>3</v>
      </c>
      <c r="AD11" s="9" t="str">
        <f t="shared" si="14"/>
        <v>Check</v>
      </c>
      <c r="AE11" s="11">
        <f t="shared" si="11"/>
        <v>-48.25</v>
      </c>
    </row>
    <row r="12" spans="1:31" x14ac:dyDescent="0.3">
      <c r="A12">
        <v>88</v>
      </c>
      <c r="B12">
        <v>4597329</v>
      </c>
      <c r="C12" t="s">
        <v>35</v>
      </c>
      <c r="D12">
        <v>1531708</v>
      </c>
      <c r="E12" t="s">
        <v>82</v>
      </c>
      <c r="F12" t="s">
        <v>17</v>
      </c>
      <c r="G12" t="s">
        <v>178</v>
      </c>
      <c r="H12" t="s">
        <v>179</v>
      </c>
      <c r="I12" t="s">
        <v>308</v>
      </c>
      <c r="J12">
        <v>50115204008</v>
      </c>
      <c r="K12" t="s">
        <v>364</v>
      </c>
      <c r="L12" t="s">
        <v>363</v>
      </c>
      <c r="M12">
        <v>260</v>
      </c>
      <c r="N12" s="10">
        <v>9</v>
      </c>
      <c r="O12" s="10">
        <f t="shared" si="12"/>
        <v>2340</v>
      </c>
      <c r="P12" s="10" t="s">
        <v>458</v>
      </c>
      <c r="Q12" s="10" t="s">
        <v>458</v>
      </c>
      <c r="R12" s="10" t="str">
        <f>IF(COUNTIF($J$2:J12,J12)=1,SUMIFS($O:$O,$J:$J,J12)+SUMIFS($P:$P,$J:$J,J12)+SUMIFS($Q:$Q,$J:$J,J12),"")</f>
        <v/>
      </c>
      <c r="S12" s="10" t="s">
        <v>458</v>
      </c>
      <c r="T12" s="11" t="str">
        <f>IFERROR(INDEX(AD:AD,MATCH(J12,J:J,0)),"")</f>
        <v>Check</v>
      </c>
      <c r="U12" s="12">
        <v>45582</v>
      </c>
      <c r="V12" s="10">
        <v>776.53</v>
      </c>
      <c r="W12" s="10" t="str">
        <f t="shared" si="13"/>
        <v>N/A</v>
      </c>
      <c r="X12" t="s">
        <v>53</v>
      </c>
      <c r="Y12" t="s">
        <v>52</v>
      </c>
      <c r="Z12">
        <v>100179</v>
      </c>
      <c r="AA12" t="s">
        <v>209</v>
      </c>
      <c r="AB12" t="s">
        <v>73</v>
      </c>
      <c r="AC12" s="9">
        <v>3</v>
      </c>
      <c r="AD12" s="9" t="str">
        <f t="shared" si="14"/>
        <v>N/A</v>
      </c>
      <c r="AE12" s="11" t="e">
        <f t="shared" ref="AE12:AE19" si="15">R12-S12</f>
        <v>#VALUE!</v>
      </c>
    </row>
    <row r="13" spans="1:31" x14ac:dyDescent="0.3">
      <c r="A13">
        <v>88</v>
      </c>
      <c r="B13">
        <v>4597329</v>
      </c>
      <c r="C13" t="s">
        <v>35</v>
      </c>
      <c r="D13">
        <v>1531708</v>
      </c>
      <c r="E13" t="s">
        <v>82</v>
      </c>
      <c r="F13" t="s">
        <v>17</v>
      </c>
      <c r="G13" t="s">
        <v>178</v>
      </c>
      <c r="H13" t="s">
        <v>179</v>
      </c>
      <c r="I13" t="s">
        <v>261</v>
      </c>
      <c r="J13">
        <v>50115204008</v>
      </c>
      <c r="K13" t="s">
        <v>219</v>
      </c>
      <c r="L13" t="s">
        <v>230</v>
      </c>
      <c r="M13">
        <v>1</v>
      </c>
      <c r="N13" s="10">
        <v>715.04</v>
      </c>
      <c r="O13" s="10">
        <f t="shared" si="12"/>
        <v>715.04</v>
      </c>
      <c r="P13" s="10" t="s">
        <v>458</v>
      </c>
      <c r="Q13" s="10" t="s">
        <v>458</v>
      </c>
      <c r="R13" s="10" t="str">
        <f>IF(COUNTIF($J$2:J13,J13)=1,SUMIFS($O:$O,$J:$J,J13)+SUMIFS($P:$P,$J:$J,J13)+SUMIFS($Q:$Q,$J:$J,J13),"")</f>
        <v/>
      </c>
      <c r="S13" s="10" t="s">
        <v>458</v>
      </c>
      <c r="T13" s="11" t="str">
        <f>IFERROR(INDEX(AD:AD,MATCH(J13,J:J,0)),"")</f>
        <v>Check</v>
      </c>
      <c r="U13" s="12">
        <v>45582</v>
      </c>
      <c r="V13" s="10">
        <v>776.53</v>
      </c>
      <c r="W13" s="10" t="str">
        <f t="shared" si="13"/>
        <v>N/A</v>
      </c>
      <c r="X13" t="s">
        <v>53</v>
      </c>
      <c r="Y13" t="s">
        <v>52</v>
      </c>
      <c r="Z13">
        <v>100179</v>
      </c>
      <c r="AA13" t="s">
        <v>209</v>
      </c>
      <c r="AB13" t="s">
        <v>73</v>
      </c>
      <c r="AC13" s="9">
        <v>3</v>
      </c>
      <c r="AD13" s="9" t="str">
        <f t="shared" si="14"/>
        <v>N/A</v>
      </c>
      <c r="AE13" s="11" t="e">
        <f t="shared" si="15"/>
        <v>#VALUE!</v>
      </c>
    </row>
    <row r="14" spans="1:31" x14ac:dyDescent="0.3">
      <c r="A14">
        <v>86</v>
      </c>
      <c r="B14">
        <v>4602895</v>
      </c>
      <c r="C14" t="s">
        <v>35</v>
      </c>
      <c r="D14">
        <v>1963277</v>
      </c>
      <c r="E14" t="s">
        <v>50</v>
      </c>
      <c r="F14" t="s">
        <v>18</v>
      </c>
      <c r="G14" t="s">
        <v>180</v>
      </c>
      <c r="H14" t="s">
        <v>105</v>
      </c>
      <c r="I14" t="s">
        <v>218</v>
      </c>
      <c r="J14">
        <v>50115352308</v>
      </c>
      <c r="K14" t="s">
        <v>360</v>
      </c>
      <c r="L14" t="s">
        <v>366</v>
      </c>
      <c r="M14">
        <v>2500</v>
      </c>
      <c r="N14" s="10">
        <v>2.3439999999999999</v>
      </c>
      <c r="O14" s="10">
        <f t="shared" si="12"/>
        <v>5860</v>
      </c>
      <c r="P14" s="10">
        <v>0</v>
      </c>
      <c r="Q14" s="10">
        <v>0</v>
      </c>
      <c r="R14" s="10">
        <f>IF(COUNTIF($J$2:J14,J14)=1,SUMIFS($O:$O,$J:$J,J14)+SUMIFS($P:$P,$J:$J,J14)+SUMIFS($Q:$Q,$J:$J,J14),"")</f>
        <v>13665.16</v>
      </c>
      <c r="S14" s="10">
        <v>13665.16</v>
      </c>
      <c r="T14" s="11" t="str">
        <f>IFERROR(INDEX(AD:AD,MATCH(J14,J:J,0)),"")</f>
        <v>Ok</v>
      </c>
      <c r="U14" s="12">
        <v>46007</v>
      </c>
      <c r="V14" s="10">
        <v>650.09</v>
      </c>
      <c r="W14" s="10" t="str">
        <f t="shared" si="13"/>
        <v>Short Paid</v>
      </c>
      <c r="X14" t="s">
        <v>53</v>
      </c>
      <c r="Y14" t="s">
        <v>25</v>
      </c>
      <c r="Z14">
        <v>100129</v>
      </c>
      <c r="AA14" t="s">
        <v>65</v>
      </c>
      <c r="AB14" t="s">
        <v>71</v>
      </c>
      <c r="AC14" s="9">
        <v>2</v>
      </c>
      <c r="AD14" s="9" t="str">
        <f t="shared" si="14"/>
        <v>Ok</v>
      </c>
      <c r="AE14" s="11">
        <f t="shared" si="15"/>
        <v>0</v>
      </c>
    </row>
    <row r="15" spans="1:31" x14ac:dyDescent="0.3">
      <c r="A15">
        <v>86</v>
      </c>
      <c r="B15">
        <v>4602895</v>
      </c>
      <c r="C15" t="s">
        <v>35</v>
      </c>
      <c r="D15">
        <v>1963277</v>
      </c>
      <c r="E15" t="s">
        <v>50</v>
      </c>
      <c r="F15" t="s">
        <v>18</v>
      </c>
      <c r="G15" t="s">
        <v>180</v>
      </c>
      <c r="H15" t="s">
        <v>105</v>
      </c>
      <c r="I15" t="s">
        <v>347</v>
      </c>
      <c r="J15">
        <v>50115352308</v>
      </c>
      <c r="K15" t="s">
        <v>284</v>
      </c>
      <c r="L15" t="s">
        <v>305</v>
      </c>
      <c r="M15">
        <v>146</v>
      </c>
      <c r="N15" s="10">
        <v>53.46</v>
      </c>
      <c r="O15" s="10">
        <f t="shared" si="12"/>
        <v>7805.16</v>
      </c>
      <c r="P15" s="10" t="s">
        <v>458</v>
      </c>
      <c r="Q15" s="10" t="s">
        <v>458</v>
      </c>
      <c r="R15" s="10" t="str">
        <f>IF(COUNTIF($J$2:J15,J15)=1,SUMIFS($O:$O,$J:$J,J15)+SUMIFS($P:$P,$J:$J,J15)+SUMIFS($Q:$Q,$J:$J,J15),"")</f>
        <v/>
      </c>
      <c r="S15" s="10" t="s">
        <v>458</v>
      </c>
      <c r="T15" s="11" t="str">
        <f>IFERROR(INDEX(AD:AD,MATCH(J15,J:J,0)),"")</f>
        <v>Ok</v>
      </c>
      <c r="U15" s="12">
        <v>46007</v>
      </c>
      <c r="V15" s="10">
        <v>650.09</v>
      </c>
      <c r="W15" s="10" t="str">
        <f t="shared" si="13"/>
        <v>N/A</v>
      </c>
      <c r="X15" t="s">
        <v>53</v>
      </c>
      <c r="Y15" t="s">
        <v>25</v>
      </c>
      <c r="Z15">
        <v>100129</v>
      </c>
      <c r="AA15" t="s">
        <v>65</v>
      </c>
      <c r="AB15" t="s">
        <v>71</v>
      </c>
      <c r="AC15" s="9">
        <v>2</v>
      </c>
      <c r="AD15" s="9" t="str">
        <f t="shared" si="14"/>
        <v>N/A</v>
      </c>
      <c r="AE15" s="11" t="e">
        <f t="shared" si="15"/>
        <v>#VALUE!</v>
      </c>
    </row>
    <row r="16" spans="1:31" x14ac:dyDescent="0.3">
      <c r="A16">
        <v>58</v>
      </c>
      <c r="B16">
        <v>4671353</v>
      </c>
      <c r="C16" t="s">
        <v>35</v>
      </c>
      <c r="D16">
        <v>1789479</v>
      </c>
      <c r="E16" t="s">
        <v>84</v>
      </c>
      <c r="F16" t="s">
        <v>20</v>
      </c>
      <c r="G16" t="s">
        <v>185</v>
      </c>
      <c r="H16" t="s">
        <v>114</v>
      </c>
      <c r="I16" t="s">
        <v>266</v>
      </c>
      <c r="J16">
        <v>50115968532</v>
      </c>
      <c r="K16" t="s">
        <v>284</v>
      </c>
      <c r="L16" t="s">
        <v>318</v>
      </c>
      <c r="M16">
        <v>8000</v>
      </c>
      <c r="N16" s="10">
        <v>3.8679999999999999</v>
      </c>
      <c r="O16" s="10">
        <f t="shared" si="12"/>
        <v>30944</v>
      </c>
      <c r="P16" s="10">
        <v>0</v>
      </c>
      <c r="Q16" s="10">
        <v>0</v>
      </c>
      <c r="R16" s="10">
        <f>IF(COUNTIF($J$2:J16,J16)=1,SUMIFS($O:$O,$J:$J,J16)+SUMIFS($P:$P,$J:$J,J16)+SUMIFS($Q:$Q,$J:$J,J16),"")</f>
        <v>33085.17</v>
      </c>
      <c r="S16" s="10">
        <v>33085.17</v>
      </c>
      <c r="T16" s="11" t="str">
        <f>IFERROR(INDEX(AD:AD,MATCH(J16,J:J,0)),"")</f>
        <v>Ok</v>
      </c>
      <c r="U16" s="12">
        <v>46000</v>
      </c>
      <c r="V16" s="10">
        <v>2141.17</v>
      </c>
      <c r="W16" s="10" t="str">
        <f t="shared" si="13"/>
        <v>Short Paid</v>
      </c>
      <c r="X16" t="s">
        <v>53</v>
      </c>
      <c r="Y16" t="s">
        <v>25</v>
      </c>
      <c r="Z16">
        <v>100249</v>
      </c>
      <c r="AA16" t="s">
        <v>60</v>
      </c>
      <c r="AB16" t="s">
        <v>69</v>
      </c>
      <c r="AC16" s="9">
        <v>2</v>
      </c>
      <c r="AD16" s="9" t="str">
        <f t="shared" si="14"/>
        <v>Ok</v>
      </c>
      <c r="AE16" s="11">
        <f t="shared" si="15"/>
        <v>0</v>
      </c>
    </row>
    <row r="17" spans="1:31" x14ac:dyDescent="0.3">
      <c r="A17">
        <v>58</v>
      </c>
      <c r="B17">
        <v>4671353</v>
      </c>
      <c r="C17" t="s">
        <v>35</v>
      </c>
      <c r="D17">
        <v>1789479</v>
      </c>
      <c r="E17" t="s">
        <v>84</v>
      </c>
      <c r="F17" t="s">
        <v>20</v>
      </c>
      <c r="G17" t="s">
        <v>185</v>
      </c>
      <c r="H17" t="s">
        <v>114</v>
      </c>
      <c r="I17" t="s">
        <v>309</v>
      </c>
      <c r="J17">
        <v>50115968532</v>
      </c>
      <c r="K17" t="s">
        <v>304</v>
      </c>
      <c r="L17" t="s">
        <v>367</v>
      </c>
      <c r="M17">
        <v>1</v>
      </c>
      <c r="N17" s="10">
        <v>2141.17</v>
      </c>
      <c r="O17" s="10">
        <f t="shared" si="12"/>
        <v>2141.17</v>
      </c>
      <c r="P17" s="10" t="s">
        <v>458</v>
      </c>
      <c r="Q17" s="10" t="s">
        <v>458</v>
      </c>
      <c r="R17" s="10" t="str">
        <f>IF(COUNTIF($J$2:J17,J17)=1,SUMIFS($O:$O,$J:$J,J17)+SUMIFS($P:$P,$J:$J,J17)+SUMIFS($Q:$Q,$J:$J,J17),"")</f>
        <v/>
      </c>
      <c r="S17" s="10" t="s">
        <v>458</v>
      </c>
      <c r="T17" s="11" t="str">
        <f>IFERROR(INDEX(AD:AD,MATCH(J17,J:J,0)),"")</f>
        <v>Ok</v>
      </c>
      <c r="U17" s="12">
        <v>46000</v>
      </c>
      <c r="V17" s="10">
        <v>2141.17</v>
      </c>
      <c r="W17" s="10" t="str">
        <f t="shared" si="13"/>
        <v>N/A</v>
      </c>
      <c r="X17" t="s">
        <v>53</v>
      </c>
      <c r="Y17" t="s">
        <v>25</v>
      </c>
      <c r="Z17">
        <v>100249</v>
      </c>
      <c r="AA17" t="s">
        <v>60</v>
      </c>
      <c r="AB17" t="s">
        <v>69</v>
      </c>
      <c r="AC17" s="9">
        <v>2</v>
      </c>
      <c r="AD17" s="9" t="str">
        <f t="shared" si="14"/>
        <v>N/A</v>
      </c>
      <c r="AE17" s="11" t="e">
        <f t="shared" si="15"/>
        <v>#VALUE!</v>
      </c>
    </row>
    <row r="18" spans="1:31" x14ac:dyDescent="0.3">
      <c r="A18">
        <v>18</v>
      </c>
      <c r="B18">
        <v>4857804</v>
      </c>
      <c r="C18" t="s">
        <v>35</v>
      </c>
      <c r="D18">
        <v>1383202</v>
      </c>
      <c r="E18" t="s">
        <v>74</v>
      </c>
      <c r="F18" t="s">
        <v>20</v>
      </c>
      <c r="G18" t="s">
        <v>196</v>
      </c>
      <c r="H18" t="s">
        <v>149</v>
      </c>
      <c r="I18" t="s">
        <v>295</v>
      </c>
      <c r="J18">
        <v>50117271392</v>
      </c>
      <c r="K18" t="s">
        <v>250</v>
      </c>
      <c r="L18" t="s">
        <v>353</v>
      </c>
      <c r="M18">
        <v>4000</v>
      </c>
      <c r="N18" s="10">
        <v>0.32919999999999999</v>
      </c>
      <c r="O18" s="10">
        <f t="shared" si="12"/>
        <v>1316.8</v>
      </c>
      <c r="P18" s="10">
        <v>133.62</v>
      </c>
      <c r="Q18" s="10">
        <v>302.86</v>
      </c>
      <c r="R18" s="10">
        <f>IF(COUNTIF($J$2:J18,J18)=1,SUMIFS($O:$O,$J:$J,J18)+SUMIFS($P:$P,$J:$J,J18)+SUMIFS($Q:$Q,$J:$J,J18),"")</f>
        <v>10424.320000000002</v>
      </c>
      <c r="S18" s="10">
        <v>10424.320000000002</v>
      </c>
      <c r="T18" s="11" t="str">
        <f>IFERROR(INDEX(AD:AD,MATCH(J18,J:J,0)),"")</f>
        <v>Ok</v>
      </c>
      <c r="U18" s="12">
        <v>46134</v>
      </c>
      <c r="V18" s="10">
        <v>8671.0400000000009</v>
      </c>
      <c r="W18" s="10" t="str">
        <f t="shared" si="13"/>
        <v>Short Paid</v>
      </c>
      <c r="X18" t="s">
        <v>53</v>
      </c>
      <c r="Y18" t="s">
        <v>25</v>
      </c>
      <c r="Z18">
        <v>100249</v>
      </c>
      <c r="AA18" t="s">
        <v>60</v>
      </c>
      <c r="AB18" t="s">
        <v>69</v>
      </c>
      <c r="AC18" s="9">
        <v>2</v>
      </c>
      <c r="AD18" s="9" t="str">
        <f t="shared" si="14"/>
        <v>Ok</v>
      </c>
      <c r="AE18" s="11">
        <f t="shared" si="15"/>
        <v>0</v>
      </c>
    </row>
    <row r="19" spans="1:31" x14ac:dyDescent="0.3">
      <c r="A19">
        <v>18</v>
      </c>
      <c r="B19">
        <v>4857804</v>
      </c>
      <c r="C19" t="s">
        <v>35</v>
      </c>
      <c r="D19">
        <v>1383202</v>
      </c>
      <c r="E19" t="s">
        <v>74</v>
      </c>
      <c r="F19" t="s">
        <v>20</v>
      </c>
      <c r="G19" t="s">
        <v>196</v>
      </c>
      <c r="H19" t="s">
        <v>149</v>
      </c>
      <c r="I19" t="s">
        <v>276</v>
      </c>
      <c r="J19">
        <v>50117271392</v>
      </c>
      <c r="K19" t="s">
        <v>263</v>
      </c>
      <c r="L19" t="s">
        <v>351</v>
      </c>
      <c r="M19">
        <v>56</v>
      </c>
      <c r="N19" s="10">
        <v>154.84</v>
      </c>
      <c r="O19" s="10">
        <f t="shared" si="12"/>
        <v>8671.0400000000009</v>
      </c>
      <c r="P19" s="10" t="s">
        <v>458</v>
      </c>
      <c r="Q19" s="10" t="s">
        <v>458</v>
      </c>
      <c r="R19" s="10" t="str">
        <f>IF(COUNTIF($J$2:J19,J19)=1,SUMIFS($O:$O,$J:$J,J19)+SUMIFS($P:$P,$J:$J,J19)+SUMIFS($Q:$Q,$J:$J,J19),"")</f>
        <v/>
      </c>
      <c r="S19" s="10" t="s">
        <v>458</v>
      </c>
      <c r="T19" s="11" t="str">
        <f>IFERROR(INDEX(AD:AD,MATCH(J19,J:J,0)),"")</f>
        <v>Ok</v>
      </c>
      <c r="U19" s="12">
        <v>46134</v>
      </c>
      <c r="V19" s="10">
        <v>8671.0400000000009</v>
      </c>
      <c r="W19" s="10" t="str">
        <f t="shared" si="13"/>
        <v>N/A</v>
      </c>
      <c r="X19" t="s">
        <v>53</v>
      </c>
      <c r="Y19" t="s">
        <v>25</v>
      </c>
      <c r="Z19">
        <v>100249</v>
      </c>
      <c r="AA19" t="s">
        <v>60</v>
      </c>
      <c r="AB19" t="s">
        <v>69</v>
      </c>
      <c r="AC19" s="9">
        <v>2</v>
      </c>
      <c r="AD19" s="9" t="str">
        <f t="shared" si="14"/>
        <v>N/A</v>
      </c>
      <c r="AE19" s="11" t="e">
        <f t="shared" si="15"/>
        <v>#VALUE!</v>
      </c>
    </row>
    <row r="20" spans="1:31" x14ac:dyDescent="0.3">
      <c r="A20">
        <v>93</v>
      </c>
      <c r="B20">
        <v>4564492</v>
      </c>
      <c r="C20" t="s">
        <v>35</v>
      </c>
      <c r="D20">
        <v>1461333</v>
      </c>
      <c r="E20" t="s">
        <v>49</v>
      </c>
      <c r="F20" t="s">
        <v>20</v>
      </c>
      <c r="G20" t="s">
        <v>91</v>
      </c>
      <c r="H20" t="s">
        <v>92</v>
      </c>
      <c r="I20" t="s">
        <v>335</v>
      </c>
      <c r="J20">
        <v>51113599206</v>
      </c>
      <c r="K20" t="s">
        <v>246</v>
      </c>
      <c r="L20" t="s">
        <v>369</v>
      </c>
      <c r="M20">
        <v>1292</v>
      </c>
      <c r="N20" s="10">
        <v>15.37</v>
      </c>
      <c r="O20" s="10">
        <f t="shared" ref="O20:O21" si="16">M20*N20</f>
        <v>19858.039999999997</v>
      </c>
      <c r="P20" s="10">
        <v>0</v>
      </c>
      <c r="Q20" s="10">
        <v>0</v>
      </c>
      <c r="R20" s="10">
        <f>IF(COUNTIF($J$2:J20,J20)=1,SUMIFS($O:$O,$J:$J,J20)+SUMIFS($P:$P,$J:$J,J20)+SUMIFS($Q:$Q,$J:$J,J20),"")</f>
        <v>21332.6</v>
      </c>
      <c r="S20" s="10">
        <v>23532.600000000002</v>
      </c>
      <c r="T20" s="11" t="str">
        <f>IFERROR(INDEX(AD:AD,MATCH(J20,J:J,0)),"")</f>
        <v>Check</v>
      </c>
      <c r="U20" s="12">
        <v>45684</v>
      </c>
      <c r="V20" s="10">
        <v>169.07</v>
      </c>
      <c r="W20" s="10" t="str">
        <f t="shared" ref="W20:W21" si="17">IF(OR(S20="",V20=""),"N/A",IF(S20&lt;&gt;V20,"Short Paid","Not Paid"))</f>
        <v>Short Paid</v>
      </c>
      <c r="X20" t="s">
        <v>53</v>
      </c>
      <c r="Y20" t="s">
        <v>25</v>
      </c>
      <c r="Z20">
        <v>100169</v>
      </c>
      <c r="AA20" t="s">
        <v>63</v>
      </c>
      <c r="AB20" t="s">
        <v>69</v>
      </c>
      <c r="AC20" s="9">
        <v>2</v>
      </c>
      <c r="AD20" s="9" t="str">
        <f t="shared" ref="AD20:AD21" si="18">IF(AND(R20="",S20=""),"N/A",IF(R20=S20,"Ok","Check"))</f>
        <v>Check</v>
      </c>
      <c r="AE20" s="11">
        <f t="shared" ref="AE20:AE21" si="19">R20-S20</f>
        <v>-2200.0000000000036</v>
      </c>
    </row>
    <row r="21" spans="1:31" x14ac:dyDescent="0.3">
      <c r="A21">
        <v>93</v>
      </c>
      <c r="B21">
        <v>4564492</v>
      </c>
      <c r="C21" t="s">
        <v>35</v>
      </c>
      <c r="D21">
        <v>1461333</v>
      </c>
      <c r="E21" t="s">
        <v>49</v>
      </c>
      <c r="F21" t="s">
        <v>20</v>
      </c>
      <c r="G21" t="s">
        <v>91</v>
      </c>
      <c r="H21" t="s">
        <v>92</v>
      </c>
      <c r="I21" t="s">
        <v>308</v>
      </c>
      <c r="J21">
        <v>51113599206</v>
      </c>
      <c r="K21" t="s">
        <v>219</v>
      </c>
      <c r="L21" t="s">
        <v>280</v>
      </c>
      <c r="M21">
        <v>1</v>
      </c>
      <c r="N21" s="10">
        <v>1474.56</v>
      </c>
      <c r="O21" s="10">
        <f t="shared" si="16"/>
        <v>1474.56</v>
      </c>
      <c r="P21" s="10" t="s">
        <v>458</v>
      </c>
      <c r="Q21" s="10" t="s">
        <v>458</v>
      </c>
      <c r="R21" s="10" t="str">
        <f>IF(COUNTIF($J$2:J21,J21)=1,SUMIFS($O:$O,$J:$J,J21)+SUMIFS($P:$P,$J:$J,J21)+SUMIFS($Q:$Q,$J:$J,J21),"")</f>
        <v/>
      </c>
      <c r="S21" s="10" t="s">
        <v>458</v>
      </c>
      <c r="T21" s="11" t="str">
        <f>IFERROR(INDEX(AD:AD,MATCH(J21,J:J,0)),"")</f>
        <v>Check</v>
      </c>
      <c r="U21" s="12">
        <v>45684</v>
      </c>
      <c r="V21" s="10">
        <v>169.07</v>
      </c>
      <c r="W21" s="10" t="str">
        <f t="shared" si="17"/>
        <v>N/A</v>
      </c>
      <c r="X21" t="s">
        <v>53</v>
      </c>
      <c r="Y21" t="s">
        <v>25</v>
      </c>
      <c r="Z21">
        <v>100169</v>
      </c>
      <c r="AA21" t="s">
        <v>63</v>
      </c>
      <c r="AB21" t="s">
        <v>69</v>
      </c>
      <c r="AC21" s="9">
        <v>2</v>
      </c>
      <c r="AD21" s="9" t="str">
        <f t="shared" si="18"/>
        <v>N/A</v>
      </c>
      <c r="AE21" s="11" t="e">
        <f t="shared" si="19"/>
        <v>#VALUE!</v>
      </c>
    </row>
    <row r="22" spans="1:31" x14ac:dyDescent="0.3">
      <c r="A22">
        <v>90</v>
      </c>
      <c r="B22">
        <v>4593712</v>
      </c>
      <c r="C22" t="s">
        <v>35</v>
      </c>
      <c r="D22">
        <v>1064072</v>
      </c>
      <c r="E22" t="s">
        <v>81</v>
      </c>
      <c r="F22" t="s">
        <v>18</v>
      </c>
      <c r="G22" t="s">
        <v>93</v>
      </c>
      <c r="H22" t="s">
        <v>94</v>
      </c>
      <c r="I22" t="s">
        <v>334</v>
      </c>
      <c r="J22">
        <v>51134598241</v>
      </c>
      <c r="K22" t="s">
        <v>373</v>
      </c>
      <c r="L22" t="s">
        <v>372</v>
      </c>
      <c r="M22">
        <v>1080</v>
      </c>
      <c r="N22" s="10">
        <v>2.2066699999999999</v>
      </c>
      <c r="O22" s="10">
        <f t="shared" ref="O22:O29" si="20">M22*N22</f>
        <v>2383.2035999999998</v>
      </c>
      <c r="P22" s="10">
        <v>0</v>
      </c>
      <c r="Q22" s="10">
        <v>0</v>
      </c>
      <c r="R22" s="10">
        <f>IF(COUNTIF($J$2:J22,J22)=1,SUMIFS($O:$O,$J:$J,J22)+SUMIFS($P:$P,$J:$J,J22)+SUMIFS($Q:$Q,$J:$J,J22),"")</f>
        <v>4289.1336000000001</v>
      </c>
      <c r="S22" s="10">
        <v>5058.51</v>
      </c>
      <c r="T22" s="11" t="str">
        <f>IFERROR(INDEX(AD:AD,MATCH(J22,J:J,0)),"")</f>
        <v>Check</v>
      </c>
      <c r="U22" s="12">
        <v>45986</v>
      </c>
      <c r="V22" s="10">
        <v>769.38</v>
      </c>
      <c r="W22" s="10" t="str">
        <f t="shared" ref="W22:W29" si="21">IF(OR(S22="",V22=""),"N/A",IF(S22&lt;&gt;V22,"Short Paid","Not Paid"))</f>
        <v>Short Paid</v>
      </c>
      <c r="X22" t="s">
        <v>53</v>
      </c>
      <c r="Y22" t="s">
        <v>25</v>
      </c>
      <c r="Z22">
        <v>100279</v>
      </c>
      <c r="AA22" t="s">
        <v>61</v>
      </c>
      <c r="AB22" t="s">
        <v>71</v>
      </c>
      <c r="AC22" s="9">
        <v>2</v>
      </c>
      <c r="AD22" s="9" t="str">
        <f t="shared" ref="AD22:AD29" si="22">IF(AND(R22="",S22=""),"N/A",IF(R22=S22,"Ok","Check"))</f>
        <v>Check</v>
      </c>
      <c r="AE22" s="11">
        <f t="shared" ref="AE22:AE29" si="23">R22-S22</f>
        <v>-769.3764000000001</v>
      </c>
    </row>
    <row r="23" spans="1:31" x14ac:dyDescent="0.3">
      <c r="A23">
        <v>90</v>
      </c>
      <c r="B23">
        <v>4593712</v>
      </c>
      <c r="C23" t="s">
        <v>35</v>
      </c>
      <c r="D23">
        <v>1064072</v>
      </c>
      <c r="E23" t="s">
        <v>81</v>
      </c>
      <c r="F23" t="s">
        <v>18</v>
      </c>
      <c r="G23" t="s">
        <v>93</v>
      </c>
      <c r="H23" t="s">
        <v>94</v>
      </c>
      <c r="I23" t="s">
        <v>261</v>
      </c>
      <c r="J23">
        <v>51134598241</v>
      </c>
      <c r="K23" t="s">
        <v>375</v>
      </c>
      <c r="L23" t="s">
        <v>374</v>
      </c>
      <c r="M23">
        <v>9000</v>
      </c>
      <c r="N23" s="10">
        <v>0.21177000000000001</v>
      </c>
      <c r="O23" s="10">
        <f t="shared" si="20"/>
        <v>1905.93</v>
      </c>
      <c r="P23" s="10" t="s">
        <v>458</v>
      </c>
      <c r="Q23" s="10" t="s">
        <v>458</v>
      </c>
      <c r="R23" s="10" t="str">
        <f>IF(COUNTIF($J$2:J23,J23)=1,SUMIFS($O:$O,$J:$J,J23)+SUMIFS($P:$P,$J:$J,J23)+SUMIFS($Q:$Q,$J:$J,J23),"")</f>
        <v/>
      </c>
      <c r="S23" s="10" t="s">
        <v>458</v>
      </c>
      <c r="T23" s="11" t="str">
        <f>IFERROR(INDEX(AD:AD,MATCH(J23,J:J,0)),"")</f>
        <v>Check</v>
      </c>
      <c r="U23" s="12">
        <v>45986</v>
      </c>
      <c r="V23" s="10">
        <v>769.38</v>
      </c>
      <c r="W23" s="10" t="str">
        <f t="shared" si="21"/>
        <v>N/A</v>
      </c>
      <c r="X23" t="s">
        <v>53</v>
      </c>
      <c r="Y23" t="s">
        <v>25</v>
      </c>
      <c r="Z23">
        <v>100279</v>
      </c>
      <c r="AA23" t="s">
        <v>61</v>
      </c>
      <c r="AB23" t="s">
        <v>71</v>
      </c>
      <c r="AC23" s="9">
        <v>2</v>
      </c>
      <c r="AD23" s="9" t="str">
        <f t="shared" si="22"/>
        <v>N/A</v>
      </c>
      <c r="AE23" s="11" t="e">
        <f t="shared" si="23"/>
        <v>#VALUE!</v>
      </c>
    </row>
    <row r="24" spans="1:31" x14ac:dyDescent="0.3">
      <c r="A24">
        <v>86</v>
      </c>
      <c r="B24">
        <v>4604008</v>
      </c>
      <c r="C24" t="s">
        <v>35</v>
      </c>
      <c r="D24">
        <v>1963277</v>
      </c>
      <c r="E24" t="s">
        <v>50</v>
      </c>
      <c r="F24" t="s">
        <v>18</v>
      </c>
      <c r="G24" t="s">
        <v>106</v>
      </c>
      <c r="H24" t="s">
        <v>107</v>
      </c>
      <c r="I24" t="s">
        <v>341</v>
      </c>
      <c r="J24">
        <v>51136737604</v>
      </c>
      <c r="K24" t="s">
        <v>340</v>
      </c>
      <c r="L24" t="s">
        <v>339</v>
      </c>
      <c r="M24">
        <v>6000</v>
      </c>
      <c r="N24" s="10">
        <v>0.11824999999999999</v>
      </c>
      <c r="O24" s="10">
        <f t="shared" si="20"/>
        <v>709.5</v>
      </c>
      <c r="P24" s="10">
        <v>0</v>
      </c>
      <c r="Q24" s="10">
        <v>0</v>
      </c>
      <c r="R24" s="10">
        <f>IF(COUNTIF($J$2:J24,J24)=1,SUMIFS($O:$O,$J:$J,J24)+SUMIFS($P:$P,$J:$J,J24)+SUMIFS($Q:$Q,$J:$J,J24),"")</f>
        <v>2279.9</v>
      </c>
      <c r="S24" s="10">
        <v>2279.9</v>
      </c>
      <c r="T24" s="11" t="str">
        <f>IFERROR(INDEX(AD:AD,MATCH(J24,J:J,0)),"")</f>
        <v>Ok</v>
      </c>
      <c r="U24" s="12">
        <v>45999</v>
      </c>
      <c r="V24" s="10">
        <v>529.5</v>
      </c>
      <c r="W24" s="10" t="str">
        <f t="shared" si="21"/>
        <v>Short Paid</v>
      </c>
      <c r="X24" t="s">
        <v>53</v>
      </c>
      <c r="Y24" t="s">
        <v>25</v>
      </c>
      <c r="Z24">
        <v>100209</v>
      </c>
      <c r="AA24" t="s">
        <v>59</v>
      </c>
      <c r="AB24" t="s">
        <v>71</v>
      </c>
      <c r="AC24" s="9">
        <v>2</v>
      </c>
      <c r="AD24" s="9" t="str">
        <f t="shared" si="22"/>
        <v>Ok</v>
      </c>
      <c r="AE24" s="11">
        <f t="shared" si="23"/>
        <v>0</v>
      </c>
    </row>
    <row r="25" spans="1:31" x14ac:dyDescent="0.3">
      <c r="A25">
        <v>86</v>
      </c>
      <c r="B25">
        <v>4604008</v>
      </c>
      <c r="C25" t="s">
        <v>35</v>
      </c>
      <c r="D25">
        <v>1963277</v>
      </c>
      <c r="E25" t="s">
        <v>50</v>
      </c>
      <c r="F25" t="s">
        <v>18</v>
      </c>
      <c r="G25" t="s">
        <v>106</v>
      </c>
      <c r="H25" t="s">
        <v>107</v>
      </c>
      <c r="I25" t="s">
        <v>328</v>
      </c>
      <c r="J25">
        <v>51136737604</v>
      </c>
      <c r="K25" t="s">
        <v>284</v>
      </c>
      <c r="L25" t="s">
        <v>376</v>
      </c>
      <c r="M25">
        <v>4000</v>
      </c>
      <c r="N25" s="10">
        <v>0.3926</v>
      </c>
      <c r="O25" s="10">
        <f t="shared" si="20"/>
        <v>1570.4</v>
      </c>
      <c r="P25" s="10" t="s">
        <v>458</v>
      </c>
      <c r="Q25" s="10" t="s">
        <v>458</v>
      </c>
      <c r="R25" s="10" t="str">
        <f>IF(COUNTIF($J$2:J25,J25)=1,SUMIFS($O:$O,$J:$J,J25)+SUMIFS($P:$P,$J:$J,J25)+SUMIFS($Q:$Q,$J:$J,J25),"")</f>
        <v/>
      </c>
      <c r="S25" s="10" t="s">
        <v>458</v>
      </c>
      <c r="T25" s="11" t="str">
        <f>IFERROR(INDEX(AD:AD,MATCH(J25,J:J,0)),"")</f>
        <v>Ok</v>
      </c>
      <c r="U25" s="12">
        <v>45999</v>
      </c>
      <c r="V25" s="10">
        <v>529.5</v>
      </c>
      <c r="W25" s="10" t="str">
        <f t="shared" si="21"/>
        <v>N/A</v>
      </c>
      <c r="X25" t="s">
        <v>53</v>
      </c>
      <c r="Y25" t="s">
        <v>25</v>
      </c>
      <c r="Z25">
        <v>100209</v>
      </c>
      <c r="AA25" t="s">
        <v>59</v>
      </c>
      <c r="AB25" t="s">
        <v>71</v>
      </c>
      <c r="AC25" s="9">
        <v>2</v>
      </c>
      <c r="AD25" s="9" t="str">
        <f t="shared" si="22"/>
        <v>N/A</v>
      </c>
      <c r="AE25" s="11" t="e">
        <f t="shared" si="23"/>
        <v>#VALUE!</v>
      </c>
    </row>
    <row r="26" spans="1:31" x14ac:dyDescent="0.3">
      <c r="A26">
        <v>88</v>
      </c>
      <c r="B26">
        <v>4598999</v>
      </c>
      <c r="C26" t="s">
        <v>35</v>
      </c>
      <c r="D26">
        <v>1531708</v>
      </c>
      <c r="E26" t="s">
        <v>82</v>
      </c>
      <c r="F26" t="s">
        <v>20</v>
      </c>
      <c r="G26" t="s">
        <v>103</v>
      </c>
      <c r="H26" t="s">
        <v>104</v>
      </c>
      <c r="I26" t="s">
        <v>301</v>
      </c>
      <c r="J26">
        <v>51137048012</v>
      </c>
      <c r="K26" t="s">
        <v>219</v>
      </c>
      <c r="L26" t="s">
        <v>230</v>
      </c>
      <c r="M26">
        <v>1</v>
      </c>
      <c r="N26" s="10">
        <v>641.44000000000005</v>
      </c>
      <c r="O26" s="10">
        <f t="shared" si="20"/>
        <v>641.44000000000005</v>
      </c>
      <c r="P26" s="10">
        <v>38.49</v>
      </c>
      <c r="Q26" s="10" t="s">
        <v>458</v>
      </c>
      <c r="R26" s="10">
        <f>IF(COUNTIF($J$2:J26,J26)=1,SUMIFS($O:$O,$J:$J,J26)+SUMIFS($P:$P,$J:$J,J26)+SUMIFS($Q:$Q,$J:$J,J26),"")</f>
        <v>22341.579999999998</v>
      </c>
      <c r="S26" s="10">
        <v>22341.58</v>
      </c>
      <c r="T26" s="11" t="str">
        <f>IFERROR(INDEX(AD:AD,MATCH(J26,J:J,0)),"")</f>
        <v>Ok</v>
      </c>
      <c r="U26" s="12">
        <v>45684</v>
      </c>
      <c r="V26" s="10">
        <v>679.93</v>
      </c>
      <c r="W26" s="10" t="str">
        <f t="shared" si="21"/>
        <v>Short Paid</v>
      </c>
      <c r="X26" t="s">
        <v>53</v>
      </c>
      <c r="Y26" t="s">
        <v>25</v>
      </c>
      <c r="Z26">
        <v>100249</v>
      </c>
      <c r="AA26" t="s">
        <v>60</v>
      </c>
      <c r="AB26" t="s">
        <v>69</v>
      </c>
      <c r="AC26" s="9">
        <v>2</v>
      </c>
      <c r="AD26" s="9" t="str">
        <f t="shared" si="22"/>
        <v>Ok</v>
      </c>
      <c r="AE26" s="11">
        <f t="shared" si="23"/>
        <v>0</v>
      </c>
    </row>
    <row r="27" spans="1:31" x14ac:dyDescent="0.3">
      <c r="A27">
        <v>88</v>
      </c>
      <c r="B27">
        <v>4598999</v>
      </c>
      <c r="C27" t="s">
        <v>35</v>
      </c>
      <c r="D27">
        <v>1531708</v>
      </c>
      <c r="E27" t="s">
        <v>82</v>
      </c>
      <c r="F27" t="s">
        <v>20</v>
      </c>
      <c r="G27" t="s">
        <v>103</v>
      </c>
      <c r="H27" t="s">
        <v>104</v>
      </c>
      <c r="I27" t="s">
        <v>288</v>
      </c>
      <c r="J27">
        <v>51137048012</v>
      </c>
      <c r="K27" t="s">
        <v>227</v>
      </c>
      <c r="L27" t="s">
        <v>377</v>
      </c>
      <c r="M27">
        <v>15</v>
      </c>
      <c r="N27" s="10">
        <v>1444.11</v>
      </c>
      <c r="O27" s="10">
        <f t="shared" si="20"/>
        <v>21661.649999999998</v>
      </c>
      <c r="P27" s="10" t="s">
        <v>458</v>
      </c>
      <c r="Q27" s="10" t="s">
        <v>458</v>
      </c>
      <c r="R27" s="10" t="str">
        <f>IF(COUNTIF($J$2:J27,J27)=1,SUMIFS($O:$O,$J:$J,J27)+SUMIFS($P:$P,$J:$J,J27)+SUMIFS($Q:$Q,$J:$J,J27),"")</f>
        <v/>
      </c>
      <c r="S27" s="10" t="s">
        <v>458</v>
      </c>
      <c r="T27" s="11" t="str">
        <f>IFERROR(INDEX(AD:AD,MATCH(J27,J:J,0)),"")</f>
        <v>Ok</v>
      </c>
      <c r="U27" s="12">
        <v>45684</v>
      </c>
      <c r="V27" s="10">
        <v>679.93</v>
      </c>
      <c r="W27" s="10" t="str">
        <f t="shared" si="21"/>
        <v>N/A</v>
      </c>
      <c r="X27" t="s">
        <v>53</v>
      </c>
      <c r="Y27" t="s">
        <v>25</v>
      </c>
      <c r="Z27">
        <v>100249</v>
      </c>
      <c r="AA27" t="s">
        <v>60</v>
      </c>
      <c r="AB27" t="s">
        <v>69</v>
      </c>
      <c r="AC27" s="9">
        <v>2</v>
      </c>
      <c r="AD27" s="9" t="str">
        <f t="shared" si="22"/>
        <v>N/A</v>
      </c>
      <c r="AE27" s="11" t="e">
        <f t="shared" si="23"/>
        <v>#VALUE!</v>
      </c>
    </row>
    <row r="28" spans="1:31" x14ac:dyDescent="0.3">
      <c r="A28">
        <v>86</v>
      </c>
      <c r="B28">
        <v>4603173</v>
      </c>
      <c r="C28" t="s">
        <v>35</v>
      </c>
      <c r="D28">
        <v>1963277</v>
      </c>
      <c r="E28" t="s">
        <v>50</v>
      </c>
      <c r="F28" t="s">
        <v>18</v>
      </c>
      <c r="G28" t="s">
        <v>181</v>
      </c>
      <c r="H28" t="s">
        <v>182</v>
      </c>
      <c r="I28" t="s">
        <v>225</v>
      </c>
      <c r="J28">
        <v>51137380507</v>
      </c>
      <c r="K28" t="s">
        <v>219</v>
      </c>
      <c r="L28" t="s">
        <v>361</v>
      </c>
      <c r="M28">
        <v>250</v>
      </c>
      <c r="N28" s="10">
        <v>16.371839999999999</v>
      </c>
      <c r="O28" s="10">
        <f t="shared" si="20"/>
        <v>4092.9599999999996</v>
      </c>
      <c r="P28" s="10">
        <v>0</v>
      </c>
      <c r="Q28" s="10">
        <v>0</v>
      </c>
      <c r="R28" s="10">
        <f>IF(COUNTIF($J$2:J28,J28)=1,SUMIFS($O:$O,$J:$J,J28)+SUMIFS($P:$P,$J:$J,J28)+SUMIFS($Q:$Q,$J:$J,J28),"")</f>
        <v>4802.4599999999991</v>
      </c>
      <c r="S28" s="10">
        <v>4802.46</v>
      </c>
      <c r="T28" s="11" t="str">
        <f>IFERROR(INDEX(AD:AD,MATCH(J28,J:J,0)),"")</f>
        <v>Ok</v>
      </c>
      <c r="U28" s="12">
        <v>45999</v>
      </c>
      <c r="V28" s="10">
        <v>529.5</v>
      </c>
      <c r="W28" s="10" t="str">
        <f t="shared" si="21"/>
        <v>Short Paid</v>
      </c>
      <c r="X28" t="s">
        <v>53</v>
      </c>
      <c r="Y28" t="s">
        <v>25</v>
      </c>
      <c r="Z28">
        <v>100159</v>
      </c>
      <c r="AA28" t="s">
        <v>62</v>
      </c>
      <c r="AB28" t="s">
        <v>71</v>
      </c>
      <c r="AC28" s="9">
        <v>2</v>
      </c>
      <c r="AD28" s="9" t="str">
        <f t="shared" si="22"/>
        <v>Ok</v>
      </c>
      <c r="AE28" s="11">
        <f t="shared" si="23"/>
        <v>0</v>
      </c>
    </row>
    <row r="29" spans="1:31" x14ac:dyDescent="0.3">
      <c r="A29">
        <v>86</v>
      </c>
      <c r="B29">
        <v>4603173</v>
      </c>
      <c r="C29" t="s">
        <v>35</v>
      </c>
      <c r="D29">
        <v>1963277</v>
      </c>
      <c r="E29" t="s">
        <v>50</v>
      </c>
      <c r="F29" t="s">
        <v>18</v>
      </c>
      <c r="G29" t="s">
        <v>181</v>
      </c>
      <c r="H29" t="s">
        <v>182</v>
      </c>
      <c r="I29" t="s">
        <v>314</v>
      </c>
      <c r="J29">
        <v>51137380507</v>
      </c>
      <c r="K29" t="s">
        <v>340</v>
      </c>
      <c r="L29" t="s">
        <v>339</v>
      </c>
      <c r="M29">
        <v>6000</v>
      </c>
      <c r="N29" s="10">
        <v>0.11824999999999999</v>
      </c>
      <c r="O29" s="10">
        <f t="shared" si="20"/>
        <v>709.5</v>
      </c>
      <c r="P29" s="10" t="s">
        <v>458</v>
      </c>
      <c r="Q29" s="10" t="s">
        <v>458</v>
      </c>
      <c r="R29" s="10" t="str">
        <f>IF(COUNTIF($J$2:J29,J29)=1,SUMIFS($O:$O,$J:$J,J29)+SUMIFS($P:$P,$J:$J,J29)+SUMIFS($Q:$Q,$J:$J,J29),"")</f>
        <v/>
      </c>
      <c r="S29" s="10" t="s">
        <v>458</v>
      </c>
      <c r="T29" s="11" t="str">
        <f>IFERROR(INDEX(AD:AD,MATCH(J29,J:J,0)),"")</f>
        <v>Ok</v>
      </c>
      <c r="U29" s="12">
        <v>45999</v>
      </c>
      <c r="V29" s="10">
        <v>529.5</v>
      </c>
      <c r="W29" s="10" t="str">
        <f t="shared" si="21"/>
        <v>N/A</v>
      </c>
      <c r="X29" t="s">
        <v>53</v>
      </c>
      <c r="Y29" t="s">
        <v>25</v>
      </c>
      <c r="Z29">
        <v>100159</v>
      </c>
      <c r="AA29" t="s">
        <v>62</v>
      </c>
      <c r="AB29" t="s">
        <v>71</v>
      </c>
      <c r="AC29" s="9">
        <v>2</v>
      </c>
      <c r="AD29" s="9" t="str">
        <f t="shared" si="22"/>
        <v>N/A</v>
      </c>
      <c r="AE29" s="11" t="e">
        <f t="shared" si="23"/>
        <v>#VALUE!</v>
      </c>
    </row>
    <row r="30" spans="1:31" x14ac:dyDescent="0.3">
      <c r="A30">
        <v>85</v>
      </c>
      <c r="B30">
        <v>4607626</v>
      </c>
      <c r="C30" t="s">
        <v>35</v>
      </c>
      <c r="D30">
        <v>1963277</v>
      </c>
      <c r="E30" t="s">
        <v>50</v>
      </c>
      <c r="F30" t="s">
        <v>18</v>
      </c>
      <c r="G30" t="s">
        <v>183</v>
      </c>
      <c r="H30" t="s">
        <v>184</v>
      </c>
      <c r="I30" t="s">
        <v>260</v>
      </c>
      <c r="J30">
        <v>51137853211</v>
      </c>
      <c r="K30" t="s">
        <v>231</v>
      </c>
      <c r="L30" t="s">
        <v>296</v>
      </c>
      <c r="M30">
        <v>2000</v>
      </c>
      <c r="N30" s="10">
        <v>0.66459999999999997</v>
      </c>
      <c r="O30" s="10">
        <f t="shared" ref="O30:O37" si="24">M30*N30</f>
        <v>1329.2</v>
      </c>
      <c r="P30" s="10">
        <v>0</v>
      </c>
      <c r="Q30" s="10">
        <v>0</v>
      </c>
      <c r="R30" s="10">
        <f>IF(COUNTIF($J$2:J30,J30)=1,SUMIFS($O:$O,$J:$J,J30)+SUMIFS($P:$P,$J:$J,J30)+SUMIFS($Q:$Q,$J:$J,J30),"")</f>
        <v>4483.34</v>
      </c>
      <c r="S30" s="10">
        <v>5812.54</v>
      </c>
      <c r="T30" s="11" t="str">
        <f>IFERROR(INDEX(AD:AD,MATCH(J30,J:J,0)),"")</f>
        <v>Check</v>
      </c>
      <c r="U30" s="12">
        <v>46015</v>
      </c>
      <c r="V30" s="10">
        <v>262.70999999999998</v>
      </c>
      <c r="W30" s="10" t="str">
        <f t="shared" ref="W30:W37" si="25">IF(OR(S30="",V30=""),"N/A",IF(S30&lt;&gt;V30,"Short Paid","Not Paid"))</f>
        <v>Short Paid</v>
      </c>
      <c r="X30" t="s">
        <v>53</v>
      </c>
      <c r="Y30" t="s">
        <v>25</v>
      </c>
      <c r="Z30">
        <v>100279</v>
      </c>
      <c r="AA30" t="s">
        <v>61</v>
      </c>
      <c r="AB30" t="s">
        <v>71</v>
      </c>
      <c r="AC30" s="9">
        <v>2</v>
      </c>
      <c r="AD30" s="9" t="str">
        <f t="shared" ref="AD30:AD37" si="26">IF(AND(R30="",S30=""),"N/A",IF(R30=S30,"Ok","Check"))</f>
        <v>Check</v>
      </c>
      <c r="AE30" s="11">
        <f t="shared" ref="AE30:AE37" si="27">R30-S30</f>
        <v>-1329.1999999999998</v>
      </c>
    </row>
    <row r="31" spans="1:31" x14ac:dyDescent="0.3">
      <c r="A31">
        <v>85</v>
      </c>
      <c r="B31">
        <v>4607626</v>
      </c>
      <c r="C31" t="s">
        <v>35</v>
      </c>
      <c r="D31">
        <v>1963277</v>
      </c>
      <c r="E31" t="s">
        <v>50</v>
      </c>
      <c r="F31" t="s">
        <v>18</v>
      </c>
      <c r="G31" t="s">
        <v>183</v>
      </c>
      <c r="H31" t="s">
        <v>184</v>
      </c>
      <c r="I31" t="s">
        <v>244</v>
      </c>
      <c r="J31">
        <v>51137853211</v>
      </c>
      <c r="K31" t="s">
        <v>284</v>
      </c>
      <c r="L31" t="s">
        <v>305</v>
      </c>
      <c r="M31">
        <v>59</v>
      </c>
      <c r="N31" s="10">
        <v>53.46</v>
      </c>
      <c r="O31" s="10">
        <f t="shared" si="24"/>
        <v>3154.14</v>
      </c>
      <c r="P31" s="10" t="s">
        <v>458</v>
      </c>
      <c r="Q31" s="10" t="s">
        <v>458</v>
      </c>
      <c r="R31" s="10" t="str">
        <f>IF(COUNTIF($J$2:J31,J31)=1,SUMIFS($O:$O,$J:$J,J31)+SUMIFS($P:$P,$J:$J,J31)+SUMIFS($Q:$Q,$J:$J,J31),"")</f>
        <v/>
      </c>
      <c r="S31" s="10" t="s">
        <v>458</v>
      </c>
      <c r="T31" s="11" t="str">
        <f>IFERROR(INDEX(AD:AD,MATCH(J31,J:J,0)),"")</f>
        <v>Check</v>
      </c>
      <c r="U31" s="12">
        <v>46015</v>
      </c>
      <c r="V31" s="10">
        <v>262.70999999999998</v>
      </c>
      <c r="W31" s="10" t="str">
        <f t="shared" si="25"/>
        <v>N/A</v>
      </c>
      <c r="X31" t="s">
        <v>53</v>
      </c>
      <c r="Y31" t="s">
        <v>25</v>
      </c>
      <c r="Z31">
        <v>100279</v>
      </c>
      <c r="AA31" t="s">
        <v>61</v>
      </c>
      <c r="AB31" t="s">
        <v>71</v>
      </c>
      <c r="AC31" s="9">
        <v>2</v>
      </c>
      <c r="AD31" s="9" t="str">
        <f t="shared" si="26"/>
        <v>N/A</v>
      </c>
      <c r="AE31" s="11" t="e">
        <f t="shared" si="27"/>
        <v>#VALUE!</v>
      </c>
    </row>
    <row r="32" spans="1:31" x14ac:dyDescent="0.3">
      <c r="A32">
        <v>88</v>
      </c>
      <c r="B32">
        <v>4596773</v>
      </c>
      <c r="C32" t="s">
        <v>35</v>
      </c>
      <c r="D32">
        <v>1531708</v>
      </c>
      <c r="E32" t="s">
        <v>82</v>
      </c>
      <c r="F32" t="s">
        <v>17</v>
      </c>
      <c r="G32" t="s">
        <v>99</v>
      </c>
      <c r="H32" t="s">
        <v>100</v>
      </c>
      <c r="I32" t="s">
        <v>224</v>
      </c>
      <c r="J32">
        <v>51138471590</v>
      </c>
      <c r="K32" t="s">
        <v>219</v>
      </c>
      <c r="L32" t="s">
        <v>230</v>
      </c>
      <c r="M32">
        <v>1</v>
      </c>
      <c r="N32" s="10">
        <v>839.79</v>
      </c>
      <c r="O32" s="10">
        <f t="shared" si="24"/>
        <v>839.79</v>
      </c>
      <c r="P32" s="10">
        <v>79.78</v>
      </c>
      <c r="Q32" s="10">
        <v>0</v>
      </c>
      <c r="R32" s="10">
        <f>IF(COUNTIF($J$2:J32,J32)=1,SUMIFS($O:$O,$J:$J,J32)+SUMIFS($P:$P,$J:$J,J32)+SUMIFS($Q:$Q,$J:$J,J32),"")</f>
        <v>24919.57</v>
      </c>
      <c r="S32" s="10">
        <v>24932.44</v>
      </c>
      <c r="T32" s="11" t="str">
        <f>IFERROR(INDEX(AD:AD,MATCH(J32,J:J,0)),"")</f>
        <v>Check</v>
      </c>
      <c r="U32" s="12">
        <v>45562</v>
      </c>
      <c r="V32" s="10">
        <v>919.57</v>
      </c>
      <c r="W32" s="10" t="str">
        <f t="shared" si="25"/>
        <v>Short Paid</v>
      </c>
      <c r="X32" t="s">
        <v>53</v>
      </c>
      <c r="Y32" t="s">
        <v>52</v>
      </c>
      <c r="Z32">
        <v>100259</v>
      </c>
      <c r="AA32" t="s">
        <v>211</v>
      </c>
      <c r="AB32" t="s">
        <v>73</v>
      </c>
      <c r="AC32" s="9">
        <v>2</v>
      </c>
      <c r="AD32" s="9" t="str">
        <f t="shared" si="26"/>
        <v>Check</v>
      </c>
      <c r="AE32" s="11">
        <f t="shared" si="27"/>
        <v>-12.869999999998981</v>
      </c>
    </row>
    <row r="33" spans="1:31" x14ac:dyDescent="0.3">
      <c r="A33">
        <v>88</v>
      </c>
      <c r="B33">
        <v>4596773</v>
      </c>
      <c r="C33" t="s">
        <v>35</v>
      </c>
      <c r="D33">
        <v>1531708</v>
      </c>
      <c r="E33" t="s">
        <v>82</v>
      </c>
      <c r="F33" t="s">
        <v>17</v>
      </c>
      <c r="G33" t="s">
        <v>99</v>
      </c>
      <c r="H33" t="s">
        <v>100</v>
      </c>
      <c r="I33" t="s">
        <v>245</v>
      </c>
      <c r="J33">
        <v>51138471590</v>
      </c>
      <c r="K33" t="s">
        <v>364</v>
      </c>
      <c r="L33" t="s">
        <v>365</v>
      </c>
      <c r="M33">
        <v>120</v>
      </c>
      <c r="N33" s="10">
        <v>200</v>
      </c>
      <c r="O33" s="10">
        <f t="shared" si="24"/>
        <v>24000</v>
      </c>
      <c r="P33" s="10" t="s">
        <v>458</v>
      </c>
      <c r="Q33" s="10" t="s">
        <v>458</v>
      </c>
      <c r="R33" s="10" t="str">
        <f>IF(COUNTIF($J$2:J33,J33)=1,SUMIFS($O:$O,$J:$J,J33)+SUMIFS($P:$P,$J:$J,J33)+SUMIFS($Q:$Q,$J:$J,J33),"")</f>
        <v/>
      </c>
      <c r="S33" s="10" t="s">
        <v>458</v>
      </c>
      <c r="T33" s="11" t="str">
        <f>IFERROR(INDEX(AD:AD,MATCH(J33,J:J,0)),"")</f>
        <v>Check</v>
      </c>
      <c r="U33" s="12">
        <v>45562</v>
      </c>
      <c r="V33" s="10">
        <v>919.57</v>
      </c>
      <c r="W33" s="10" t="str">
        <f t="shared" si="25"/>
        <v>N/A</v>
      </c>
      <c r="X33" t="s">
        <v>53</v>
      </c>
      <c r="Y33" t="s">
        <v>52</v>
      </c>
      <c r="Z33">
        <v>100259</v>
      </c>
      <c r="AA33" t="s">
        <v>211</v>
      </c>
      <c r="AB33" t="s">
        <v>73</v>
      </c>
      <c r="AC33" s="9">
        <v>2</v>
      </c>
      <c r="AD33" s="9" t="str">
        <f t="shared" si="26"/>
        <v>N/A</v>
      </c>
      <c r="AE33" s="11" t="e">
        <f t="shared" si="27"/>
        <v>#VALUE!</v>
      </c>
    </row>
    <row r="34" spans="1:31" x14ac:dyDescent="0.3">
      <c r="A34">
        <v>88</v>
      </c>
      <c r="B34">
        <v>4596216</v>
      </c>
      <c r="C34" t="s">
        <v>35</v>
      </c>
      <c r="D34">
        <v>1531708</v>
      </c>
      <c r="E34" t="s">
        <v>82</v>
      </c>
      <c r="F34" t="s">
        <v>17</v>
      </c>
      <c r="G34" t="s">
        <v>95</v>
      </c>
      <c r="H34" t="s">
        <v>96</v>
      </c>
      <c r="I34" t="s">
        <v>310</v>
      </c>
      <c r="J34">
        <v>51138580532</v>
      </c>
      <c r="K34" t="s">
        <v>333</v>
      </c>
      <c r="L34" t="s">
        <v>379</v>
      </c>
      <c r="M34">
        <v>28500</v>
      </c>
      <c r="N34" s="10">
        <v>0.216</v>
      </c>
      <c r="O34" s="10">
        <f t="shared" si="24"/>
        <v>6156</v>
      </c>
      <c r="P34" s="10">
        <v>100.78</v>
      </c>
      <c r="Q34" s="10">
        <v>0</v>
      </c>
      <c r="R34" s="10">
        <f>IF(COUNTIF($J$2:J34,J34)=1,SUMIFS($O:$O,$J:$J,J34)+SUMIFS($P:$P,$J:$J,J34)+SUMIFS($Q:$Q,$J:$J,J34),"")</f>
        <v>7096.57</v>
      </c>
      <c r="S34" s="10">
        <v>7936.36</v>
      </c>
      <c r="T34" s="11" t="str">
        <f>IFERROR(INDEX(AD:AD,MATCH(J34,J:J,0)),"")</f>
        <v>Check</v>
      </c>
      <c r="U34" s="12">
        <v>45545</v>
      </c>
      <c r="V34" s="10">
        <v>1780.36</v>
      </c>
      <c r="W34" s="10" t="str">
        <f t="shared" si="25"/>
        <v>Short Paid</v>
      </c>
      <c r="X34" t="s">
        <v>53</v>
      </c>
      <c r="Y34" t="s">
        <v>52</v>
      </c>
      <c r="Z34">
        <v>100179</v>
      </c>
      <c r="AA34" t="s">
        <v>209</v>
      </c>
      <c r="AB34" t="s">
        <v>73</v>
      </c>
      <c r="AC34" s="9">
        <v>2</v>
      </c>
      <c r="AD34" s="9" t="str">
        <f t="shared" si="26"/>
        <v>Check</v>
      </c>
      <c r="AE34" s="11">
        <f t="shared" si="27"/>
        <v>-839.79</v>
      </c>
    </row>
    <row r="35" spans="1:31" x14ac:dyDescent="0.3">
      <c r="A35">
        <v>88</v>
      </c>
      <c r="B35">
        <v>4596216</v>
      </c>
      <c r="C35" t="s">
        <v>35</v>
      </c>
      <c r="D35">
        <v>1531708</v>
      </c>
      <c r="E35" t="s">
        <v>82</v>
      </c>
      <c r="F35" t="s">
        <v>17</v>
      </c>
      <c r="G35" t="s">
        <v>95</v>
      </c>
      <c r="H35" t="s">
        <v>96</v>
      </c>
      <c r="I35" t="s">
        <v>251</v>
      </c>
      <c r="J35">
        <v>51138580532</v>
      </c>
      <c r="K35" t="s">
        <v>219</v>
      </c>
      <c r="L35" t="s">
        <v>230</v>
      </c>
      <c r="M35">
        <v>1</v>
      </c>
      <c r="N35" s="10">
        <v>839.79</v>
      </c>
      <c r="O35" s="10">
        <f t="shared" si="24"/>
        <v>839.79</v>
      </c>
      <c r="P35" s="10" t="s">
        <v>458</v>
      </c>
      <c r="Q35" s="10" t="s">
        <v>458</v>
      </c>
      <c r="R35" s="10" t="str">
        <f>IF(COUNTIF($J$2:J35,J35)=1,SUMIFS($O:$O,$J:$J,J35)+SUMIFS($P:$P,$J:$J,J35)+SUMIFS($Q:$Q,$J:$J,J35),"")</f>
        <v/>
      </c>
      <c r="S35" s="10" t="s">
        <v>458</v>
      </c>
      <c r="T35" s="11" t="str">
        <f>IFERROR(INDEX(AD:AD,MATCH(J35,J:J,0)),"")</f>
        <v>Check</v>
      </c>
      <c r="U35" s="12">
        <v>45545</v>
      </c>
      <c r="V35" s="10">
        <v>1780.36</v>
      </c>
      <c r="W35" s="10" t="str">
        <f t="shared" si="25"/>
        <v>N/A</v>
      </c>
      <c r="X35" t="s">
        <v>53</v>
      </c>
      <c r="Y35" t="s">
        <v>52</v>
      </c>
      <c r="Z35">
        <v>100179</v>
      </c>
      <c r="AA35" t="s">
        <v>209</v>
      </c>
      <c r="AB35" t="s">
        <v>73</v>
      </c>
      <c r="AC35" s="9">
        <v>2</v>
      </c>
      <c r="AD35" s="9" t="str">
        <f t="shared" si="26"/>
        <v>N/A</v>
      </c>
      <c r="AE35" s="11" t="e">
        <f t="shared" si="27"/>
        <v>#VALUE!</v>
      </c>
    </row>
    <row r="36" spans="1:31" x14ac:dyDescent="0.3">
      <c r="A36">
        <v>88</v>
      </c>
      <c r="B36">
        <v>4596495</v>
      </c>
      <c r="C36" t="s">
        <v>35</v>
      </c>
      <c r="D36">
        <v>1531708</v>
      </c>
      <c r="E36" t="s">
        <v>82</v>
      </c>
      <c r="F36" t="s">
        <v>17</v>
      </c>
      <c r="G36" t="s">
        <v>97</v>
      </c>
      <c r="H36" t="s">
        <v>98</v>
      </c>
      <c r="I36" t="s">
        <v>301</v>
      </c>
      <c r="J36">
        <v>51138691291</v>
      </c>
      <c r="K36" t="s">
        <v>219</v>
      </c>
      <c r="L36" t="s">
        <v>230</v>
      </c>
      <c r="M36">
        <v>1</v>
      </c>
      <c r="N36" s="10">
        <v>920.71</v>
      </c>
      <c r="O36" s="10">
        <f t="shared" si="24"/>
        <v>920.71</v>
      </c>
      <c r="P36" s="10">
        <v>80.56</v>
      </c>
      <c r="Q36" s="10">
        <v>0</v>
      </c>
      <c r="R36" s="10">
        <f>IF(COUNTIF($J$2:J36,J36)=1,SUMIFS($O:$O,$J:$J,J36)+SUMIFS($P:$P,$J:$J,J36)+SUMIFS($Q:$Q,$J:$J,J36),"")</f>
        <v>13001.269999999999</v>
      </c>
      <c r="S36" s="10">
        <v>13010.380000000001</v>
      </c>
      <c r="T36" s="11" t="str">
        <f>IFERROR(INDEX(AD:AD,MATCH(J36,J:J,0)),"")</f>
        <v>Check</v>
      </c>
      <c r="U36" s="12">
        <v>45562</v>
      </c>
      <c r="V36" s="10">
        <v>1001.27</v>
      </c>
      <c r="W36" s="10" t="str">
        <f t="shared" si="25"/>
        <v>Short Paid</v>
      </c>
      <c r="X36" t="s">
        <v>53</v>
      </c>
      <c r="Y36" t="s">
        <v>52</v>
      </c>
      <c r="Z36">
        <v>100219</v>
      </c>
      <c r="AA36" t="s">
        <v>210</v>
      </c>
      <c r="AB36" t="s">
        <v>73</v>
      </c>
      <c r="AC36" s="9">
        <v>2</v>
      </c>
      <c r="AD36" s="9" t="str">
        <f t="shared" si="26"/>
        <v>Check</v>
      </c>
      <c r="AE36" s="11">
        <f t="shared" si="27"/>
        <v>-9.1100000000024011</v>
      </c>
    </row>
    <row r="37" spans="1:31" x14ac:dyDescent="0.3">
      <c r="A37">
        <v>88</v>
      </c>
      <c r="B37">
        <v>4596495</v>
      </c>
      <c r="C37" t="s">
        <v>35</v>
      </c>
      <c r="D37">
        <v>1531708</v>
      </c>
      <c r="E37" t="s">
        <v>82</v>
      </c>
      <c r="F37" t="s">
        <v>17</v>
      </c>
      <c r="G37" t="s">
        <v>97</v>
      </c>
      <c r="H37" t="s">
        <v>98</v>
      </c>
      <c r="I37" t="s">
        <v>328</v>
      </c>
      <c r="J37">
        <v>51138691291</v>
      </c>
      <c r="K37" t="s">
        <v>364</v>
      </c>
      <c r="L37" t="s">
        <v>365</v>
      </c>
      <c r="M37">
        <v>60</v>
      </c>
      <c r="N37" s="10">
        <v>200</v>
      </c>
      <c r="O37" s="10">
        <f t="shared" si="24"/>
        <v>12000</v>
      </c>
      <c r="P37" s="10" t="s">
        <v>458</v>
      </c>
      <c r="Q37" s="10" t="s">
        <v>458</v>
      </c>
      <c r="R37" s="10" t="str">
        <f>IF(COUNTIF($J$2:J37,J37)=1,SUMIFS($O:$O,$J:$J,J37)+SUMIFS($P:$P,$J:$J,J37)+SUMIFS($Q:$Q,$J:$J,J37),"")</f>
        <v/>
      </c>
      <c r="S37" s="10" t="s">
        <v>458</v>
      </c>
      <c r="T37" s="11" t="str">
        <f>IFERROR(INDEX(AD:AD,MATCH(J37,J:J,0)),"")</f>
        <v>Check</v>
      </c>
      <c r="U37" s="12">
        <v>45562</v>
      </c>
      <c r="V37" s="10">
        <v>1001.27</v>
      </c>
      <c r="W37" s="10" t="str">
        <f t="shared" si="25"/>
        <v>N/A</v>
      </c>
      <c r="X37" t="s">
        <v>53</v>
      </c>
      <c r="Y37" t="s">
        <v>52</v>
      </c>
      <c r="Z37">
        <v>100219</v>
      </c>
      <c r="AA37" t="s">
        <v>210</v>
      </c>
      <c r="AB37" t="s">
        <v>73</v>
      </c>
      <c r="AC37" s="9">
        <v>2</v>
      </c>
      <c r="AD37" s="9" t="str">
        <f t="shared" si="26"/>
        <v>N/A</v>
      </c>
      <c r="AE37" s="11" t="e">
        <f t="shared" si="27"/>
        <v>#VALUE!</v>
      </c>
    </row>
    <row r="38" spans="1:31" x14ac:dyDescent="0.3">
      <c r="A38">
        <v>13</v>
      </c>
      <c r="B38">
        <v>4895650</v>
      </c>
      <c r="C38" t="s">
        <v>35</v>
      </c>
      <c r="D38">
        <v>1901684</v>
      </c>
      <c r="E38" t="s">
        <v>90</v>
      </c>
      <c r="F38" t="s">
        <v>24</v>
      </c>
      <c r="G38" t="s">
        <v>160</v>
      </c>
      <c r="H38" t="s">
        <v>161</v>
      </c>
      <c r="I38" t="s">
        <v>290</v>
      </c>
      <c r="J38">
        <v>51139874236</v>
      </c>
      <c r="K38" t="s">
        <v>293</v>
      </c>
      <c r="L38" t="s">
        <v>380</v>
      </c>
      <c r="M38">
        <v>4000</v>
      </c>
      <c r="N38" s="10">
        <v>1.7100000000000001E-2</v>
      </c>
      <c r="O38" s="10">
        <f t="shared" ref="O38:O41" si="28">M38*N38</f>
        <v>68.400000000000006</v>
      </c>
      <c r="P38" s="10">
        <v>0</v>
      </c>
      <c r="Q38" s="10">
        <v>12.38</v>
      </c>
      <c r="R38" s="10">
        <f>IF(COUNTIF($J$2:J38,J38)=1,SUMIFS($O:$O,$J:$J,J38)+SUMIFS($P:$P,$J:$J,J38)+SUMIFS($Q:$Q,$J:$J,J38),"")</f>
        <v>21344.950500000003</v>
      </c>
      <c r="S38" s="10">
        <v>21344.949999999997</v>
      </c>
      <c r="T38" s="11" t="str">
        <f>IFERROR(INDEX(AD:AD,MATCH(J38,J:J,0)),"")</f>
        <v>Check</v>
      </c>
      <c r="U38" s="12">
        <v>46076</v>
      </c>
      <c r="V38" s="10">
        <v>68.400000000000006</v>
      </c>
      <c r="W38" s="10" t="str">
        <f t="shared" ref="W38:W41" si="29">IF(OR(S38="",V38=""),"N/A",IF(S38&lt;&gt;V38,"Short Paid","Not Paid"))</f>
        <v>Short Paid</v>
      </c>
      <c r="X38" t="s">
        <v>53</v>
      </c>
      <c r="Y38" t="s">
        <v>36</v>
      </c>
      <c r="Z38">
        <v>100229</v>
      </c>
      <c r="AA38" t="s">
        <v>67</v>
      </c>
      <c r="AB38" t="s">
        <v>70</v>
      </c>
      <c r="AC38" s="9">
        <v>2</v>
      </c>
      <c r="AD38" s="9" t="str">
        <f t="shared" ref="AD38:AD41" si="30">IF(AND(R38="",S38=""),"N/A",IF(R38=S38,"Ok","Check"))</f>
        <v>Check</v>
      </c>
      <c r="AE38" s="11">
        <f t="shared" ref="AE38:AE41" si="31">R38-S38</f>
        <v>5.0000000555883162E-4</v>
      </c>
    </row>
    <row r="39" spans="1:31" x14ac:dyDescent="0.3">
      <c r="A39">
        <v>13</v>
      </c>
      <c r="B39">
        <v>4895650</v>
      </c>
      <c r="C39" t="s">
        <v>35</v>
      </c>
      <c r="D39">
        <v>1901684</v>
      </c>
      <c r="E39" t="s">
        <v>90</v>
      </c>
      <c r="F39" t="s">
        <v>24</v>
      </c>
      <c r="G39" t="s">
        <v>160</v>
      </c>
      <c r="H39" t="s">
        <v>161</v>
      </c>
      <c r="I39" t="s">
        <v>282</v>
      </c>
      <c r="J39">
        <v>51139874236</v>
      </c>
      <c r="K39" t="s">
        <v>286</v>
      </c>
      <c r="L39" t="s">
        <v>285</v>
      </c>
      <c r="M39">
        <v>1009</v>
      </c>
      <c r="N39" s="10">
        <v>21.0745</v>
      </c>
      <c r="O39" s="10">
        <f t="shared" si="28"/>
        <v>21264.1705</v>
      </c>
      <c r="P39" s="10" t="s">
        <v>458</v>
      </c>
      <c r="Q39" s="10" t="s">
        <v>458</v>
      </c>
      <c r="R39" s="10" t="str">
        <f>IF(COUNTIF($J$2:J39,J39)=1,SUMIFS($O:$O,$J:$J,J39)+SUMIFS($P:$P,$J:$J,J39)+SUMIFS($Q:$Q,$J:$J,J39),"")</f>
        <v/>
      </c>
      <c r="S39" s="10" t="s">
        <v>458</v>
      </c>
      <c r="T39" s="11" t="str">
        <f>IFERROR(INDEX(AD:AD,MATCH(J39,J:J,0)),"")</f>
        <v>Check</v>
      </c>
      <c r="U39" s="12">
        <v>46076</v>
      </c>
      <c r="V39" s="10">
        <v>68.400000000000006</v>
      </c>
      <c r="W39" s="10" t="str">
        <f t="shared" si="29"/>
        <v>N/A</v>
      </c>
      <c r="X39" t="s">
        <v>53</v>
      </c>
      <c r="Y39" t="s">
        <v>36</v>
      </c>
      <c r="Z39">
        <v>100229</v>
      </c>
      <c r="AA39" t="s">
        <v>67</v>
      </c>
      <c r="AB39" t="s">
        <v>70</v>
      </c>
      <c r="AC39" s="9">
        <v>2</v>
      </c>
      <c r="AD39" s="9" t="str">
        <f t="shared" si="30"/>
        <v>N/A</v>
      </c>
      <c r="AE39" s="11" t="e">
        <f t="shared" si="31"/>
        <v>#VALUE!</v>
      </c>
    </row>
    <row r="40" spans="1:31" x14ac:dyDescent="0.3">
      <c r="A40">
        <v>72</v>
      </c>
      <c r="B40">
        <v>4631002</v>
      </c>
      <c r="C40" t="s">
        <v>35</v>
      </c>
      <c r="D40">
        <v>1963277</v>
      </c>
      <c r="E40" t="s">
        <v>50</v>
      </c>
      <c r="F40" t="s">
        <v>18</v>
      </c>
      <c r="G40" t="s">
        <v>108</v>
      </c>
      <c r="H40" t="s">
        <v>109</v>
      </c>
      <c r="I40" t="s">
        <v>268</v>
      </c>
      <c r="J40">
        <v>51140083207</v>
      </c>
      <c r="K40" t="s">
        <v>284</v>
      </c>
      <c r="L40" t="s">
        <v>305</v>
      </c>
      <c r="M40">
        <v>992</v>
      </c>
      <c r="N40" s="10">
        <v>53.46</v>
      </c>
      <c r="O40" s="10">
        <f t="shared" si="28"/>
        <v>53032.32</v>
      </c>
      <c r="P40" s="10">
        <v>0</v>
      </c>
      <c r="Q40" s="10">
        <v>0</v>
      </c>
      <c r="R40" s="10">
        <f>IF(COUNTIF($J$2:J40,J40)=1,SUMIFS($O:$O,$J:$J,J40)+SUMIFS($P:$P,$J:$J,J40)+SUMIFS($Q:$Q,$J:$J,J40),"")</f>
        <v>59657.62</v>
      </c>
      <c r="S40" s="10">
        <v>59657.62</v>
      </c>
      <c r="T40" s="11" t="str">
        <f>IFERROR(INDEX(AD:AD,MATCH(J40,J:J,0)),"")</f>
        <v>Ok</v>
      </c>
      <c r="U40" s="12">
        <v>46020</v>
      </c>
      <c r="V40" s="10">
        <v>4417.08</v>
      </c>
      <c r="W40" s="10" t="str">
        <f t="shared" si="29"/>
        <v>Short Paid</v>
      </c>
      <c r="X40" t="s">
        <v>53</v>
      </c>
      <c r="Y40" t="s">
        <v>25</v>
      </c>
      <c r="Z40">
        <v>100159</v>
      </c>
      <c r="AA40" t="s">
        <v>62</v>
      </c>
      <c r="AB40" t="s">
        <v>71</v>
      </c>
      <c r="AC40" s="9">
        <v>2</v>
      </c>
      <c r="AD40" s="9" t="str">
        <f t="shared" si="30"/>
        <v>Ok</v>
      </c>
      <c r="AE40" s="11">
        <f t="shared" si="31"/>
        <v>0</v>
      </c>
    </row>
    <row r="41" spans="1:31" x14ac:dyDescent="0.3">
      <c r="A41">
        <v>72</v>
      </c>
      <c r="B41">
        <v>4631002</v>
      </c>
      <c r="C41" t="s">
        <v>35</v>
      </c>
      <c r="D41">
        <v>1963277</v>
      </c>
      <c r="E41" t="s">
        <v>50</v>
      </c>
      <c r="F41" t="s">
        <v>18</v>
      </c>
      <c r="G41" t="s">
        <v>108</v>
      </c>
      <c r="H41" t="s">
        <v>109</v>
      </c>
      <c r="I41" t="s">
        <v>331</v>
      </c>
      <c r="J41">
        <v>51140083207</v>
      </c>
      <c r="K41" t="s">
        <v>326</v>
      </c>
      <c r="L41" t="s">
        <v>345</v>
      </c>
      <c r="M41">
        <v>1000</v>
      </c>
      <c r="N41" s="10">
        <v>6.6253000000000002</v>
      </c>
      <c r="O41" s="10">
        <f t="shared" si="28"/>
        <v>6625.3</v>
      </c>
      <c r="P41" s="10" t="s">
        <v>458</v>
      </c>
      <c r="Q41" s="10" t="s">
        <v>458</v>
      </c>
      <c r="R41" s="10" t="str">
        <f>IF(COUNTIF($J$2:J41,J41)=1,SUMIFS($O:$O,$J:$J,J41)+SUMIFS($P:$P,$J:$J,J41)+SUMIFS($Q:$Q,$J:$J,J41),"")</f>
        <v/>
      </c>
      <c r="S41" s="10" t="s">
        <v>458</v>
      </c>
      <c r="T41" s="11" t="str">
        <f>IFERROR(INDEX(AD:AD,MATCH(J41,J:J,0)),"")</f>
        <v>Ok</v>
      </c>
      <c r="U41" s="12">
        <v>46020</v>
      </c>
      <c r="V41" s="10">
        <v>4417.08</v>
      </c>
      <c r="W41" s="10" t="str">
        <f t="shared" si="29"/>
        <v>N/A</v>
      </c>
      <c r="X41" t="s">
        <v>53</v>
      </c>
      <c r="Y41" t="s">
        <v>25</v>
      </c>
      <c r="Z41">
        <v>100159</v>
      </c>
      <c r="AA41" t="s">
        <v>62</v>
      </c>
      <c r="AB41" t="s">
        <v>71</v>
      </c>
      <c r="AC41" s="9">
        <v>2</v>
      </c>
      <c r="AD41" s="9" t="str">
        <f t="shared" si="30"/>
        <v>N/A</v>
      </c>
      <c r="AE41" s="11" t="e">
        <f t="shared" si="31"/>
        <v>#VALUE!</v>
      </c>
    </row>
    <row r="42" spans="1:31" x14ac:dyDescent="0.3">
      <c r="A42">
        <v>59</v>
      </c>
      <c r="B42">
        <v>4663839</v>
      </c>
      <c r="C42" t="s">
        <v>35</v>
      </c>
      <c r="D42">
        <v>1749221</v>
      </c>
      <c r="E42" t="s">
        <v>451</v>
      </c>
      <c r="F42" t="s">
        <v>24</v>
      </c>
      <c r="G42" t="s">
        <v>110</v>
      </c>
      <c r="H42" t="s">
        <v>111</v>
      </c>
      <c r="I42" t="s">
        <v>254</v>
      </c>
      <c r="J42">
        <v>51141237629</v>
      </c>
      <c r="K42" t="s">
        <v>255</v>
      </c>
      <c r="L42" t="s">
        <v>381</v>
      </c>
      <c r="M42">
        <v>3900</v>
      </c>
      <c r="N42" s="10">
        <v>1.0872200000000001</v>
      </c>
      <c r="O42" s="10">
        <f t="shared" ref="O42:O45" si="32">M42*N42</f>
        <v>4240.1580000000004</v>
      </c>
      <c r="P42" s="10">
        <v>607.02</v>
      </c>
      <c r="Q42" s="10">
        <v>402.82</v>
      </c>
      <c r="R42" s="10">
        <f>IF(COUNTIF($J$2:J42,J42)=1,SUMIFS($O:$O,$J:$J,J42)+SUMIFS($P:$P,$J:$J,J42)+SUMIFS($Q:$Q,$J:$J,J42),"")</f>
        <v>30849.989999999998</v>
      </c>
      <c r="S42" s="10">
        <v>30876.410000000003</v>
      </c>
      <c r="T42" s="11" t="str">
        <f>IFERROR(INDEX(AD:AD,MATCH(J42,J:J,0)),"")</f>
        <v>Check</v>
      </c>
      <c r="U42" s="12">
        <v>46059</v>
      </c>
      <c r="V42" s="10">
        <v>3219.21</v>
      </c>
      <c r="W42" s="10" t="str">
        <f t="shared" ref="W42:W45" si="33">IF(OR(S42="",V42=""),"N/A",IF(S42&lt;&gt;V42,"Short Paid","Not Paid"))</f>
        <v>Short Paid</v>
      </c>
      <c r="X42" t="s">
        <v>53</v>
      </c>
      <c r="Y42" t="s">
        <v>36</v>
      </c>
      <c r="Z42">
        <v>100269</v>
      </c>
      <c r="AA42" t="s">
        <v>216</v>
      </c>
      <c r="AB42" t="s">
        <v>70</v>
      </c>
      <c r="AC42" s="9">
        <v>2</v>
      </c>
      <c r="AD42" s="9" t="str">
        <f t="shared" ref="AD42:AD45" si="34">IF(AND(R42="",S42=""),"N/A",IF(R42=S42,"Ok","Check"))</f>
        <v>Check</v>
      </c>
      <c r="AE42" s="11">
        <f t="shared" ref="AE42:AE45" si="35">R42-S42</f>
        <v>-26.42000000000553</v>
      </c>
    </row>
    <row r="43" spans="1:31" x14ac:dyDescent="0.3">
      <c r="A43">
        <v>59</v>
      </c>
      <c r="B43">
        <v>4663839</v>
      </c>
      <c r="C43" t="s">
        <v>35</v>
      </c>
      <c r="D43">
        <v>1749221</v>
      </c>
      <c r="E43" t="s">
        <v>451</v>
      </c>
      <c r="F43" t="s">
        <v>24</v>
      </c>
      <c r="G43" t="s">
        <v>110</v>
      </c>
      <c r="H43" t="s">
        <v>111</v>
      </c>
      <c r="I43" t="s">
        <v>308</v>
      </c>
      <c r="J43">
        <v>51141237629</v>
      </c>
      <c r="K43" t="s">
        <v>231</v>
      </c>
      <c r="L43" t="s">
        <v>317</v>
      </c>
      <c r="M43">
        <v>9760</v>
      </c>
      <c r="N43" s="10">
        <v>2.6229499999999999</v>
      </c>
      <c r="O43" s="10">
        <f t="shared" si="32"/>
        <v>25599.991999999998</v>
      </c>
      <c r="P43" s="10" t="s">
        <v>458</v>
      </c>
      <c r="Q43" s="10" t="s">
        <v>458</v>
      </c>
      <c r="R43" s="10" t="str">
        <f>IF(COUNTIF($J$2:J43,J43)=1,SUMIFS($O:$O,$J:$J,J43)+SUMIFS($P:$P,$J:$J,J43)+SUMIFS($Q:$Q,$J:$J,J43),"")</f>
        <v/>
      </c>
      <c r="S43" s="10" t="s">
        <v>458</v>
      </c>
      <c r="T43" s="11" t="str">
        <f>IFERROR(INDEX(AD:AD,MATCH(J43,J:J,0)),"")</f>
        <v>Check</v>
      </c>
      <c r="U43" s="12">
        <v>46059</v>
      </c>
      <c r="V43" s="10">
        <v>3219.21</v>
      </c>
      <c r="W43" s="10" t="str">
        <f t="shared" si="33"/>
        <v>N/A</v>
      </c>
      <c r="X43" t="s">
        <v>53</v>
      </c>
      <c r="Y43" t="s">
        <v>36</v>
      </c>
      <c r="Z43">
        <v>100269</v>
      </c>
      <c r="AA43" t="s">
        <v>216</v>
      </c>
      <c r="AB43" t="s">
        <v>70</v>
      </c>
      <c r="AC43" s="9">
        <v>2</v>
      </c>
      <c r="AD43" s="9" t="str">
        <f t="shared" si="34"/>
        <v>N/A</v>
      </c>
      <c r="AE43" s="11" t="e">
        <f t="shared" si="35"/>
        <v>#VALUE!</v>
      </c>
    </row>
    <row r="44" spans="1:31" x14ac:dyDescent="0.3">
      <c r="A44">
        <v>58</v>
      </c>
      <c r="B44">
        <v>4669683</v>
      </c>
      <c r="C44" t="s">
        <v>35</v>
      </c>
      <c r="D44">
        <v>1963277</v>
      </c>
      <c r="E44" t="s">
        <v>50</v>
      </c>
      <c r="F44" t="s">
        <v>18</v>
      </c>
      <c r="G44" t="s">
        <v>112</v>
      </c>
      <c r="H44" t="s">
        <v>113</v>
      </c>
      <c r="I44" t="s">
        <v>243</v>
      </c>
      <c r="J44">
        <v>51143020928</v>
      </c>
      <c r="K44" t="s">
        <v>227</v>
      </c>
      <c r="L44" t="s">
        <v>362</v>
      </c>
      <c r="M44">
        <v>1200</v>
      </c>
      <c r="N44" s="10">
        <v>39.927999999999997</v>
      </c>
      <c r="O44" s="10">
        <f t="shared" si="32"/>
        <v>47913.599999999999</v>
      </c>
      <c r="P44" s="10">
        <v>0</v>
      </c>
      <c r="Q44" s="10">
        <v>0</v>
      </c>
      <c r="R44" s="10">
        <f>IF(COUNTIF($J$2:J44,J44)=1,SUMIFS($O:$O,$J:$J,J44)+SUMIFS($P:$P,$J:$J,J44)+SUMIFS($Q:$Q,$J:$J,J44),"")</f>
        <v>49024.6</v>
      </c>
      <c r="S44" s="10">
        <v>52357.599999999999</v>
      </c>
      <c r="T44" s="11" t="str">
        <f>IFERROR(INDEX(AD:AD,MATCH(J44,J:J,0)),"")</f>
        <v>Check</v>
      </c>
      <c r="U44" s="12">
        <v>46031</v>
      </c>
      <c r="V44" s="10">
        <v>788.59</v>
      </c>
      <c r="W44" s="10" t="str">
        <f t="shared" si="33"/>
        <v>Short Paid</v>
      </c>
      <c r="X44" t="s">
        <v>53</v>
      </c>
      <c r="Y44" t="s">
        <v>25</v>
      </c>
      <c r="Z44">
        <v>100129</v>
      </c>
      <c r="AA44" t="s">
        <v>65</v>
      </c>
      <c r="AB44" t="s">
        <v>71</v>
      </c>
      <c r="AC44" s="9">
        <v>2</v>
      </c>
      <c r="AD44" s="9" t="str">
        <f t="shared" si="34"/>
        <v>Check</v>
      </c>
      <c r="AE44" s="11">
        <f t="shared" si="35"/>
        <v>-3333</v>
      </c>
    </row>
    <row r="45" spans="1:31" x14ac:dyDescent="0.3">
      <c r="A45">
        <v>58</v>
      </c>
      <c r="B45">
        <v>4669683</v>
      </c>
      <c r="C45" t="s">
        <v>35</v>
      </c>
      <c r="D45">
        <v>1963277</v>
      </c>
      <c r="E45" t="s">
        <v>50</v>
      </c>
      <c r="F45" t="s">
        <v>18</v>
      </c>
      <c r="G45" t="s">
        <v>112</v>
      </c>
      <c r="H45" t="s">
        <v>113</v>
      </c>
      <c r="I45" t="s">
        <v>347</v>
      </c>
      <c r="J45">
        <v>51143020928</v>
      </c>
      <c r="K45" t="s">
        <v>270</v>
      </c>
      <c r="L45" t="s">
        <v>269</v>
      </c>
      <c r="M45">
        <v>25</v>
      </c>
      <c r="N45" s="10">
        <v>44.44</v>
      </c>
      <c r="O45" s="10">
        <f t="shared" si="32"/>
        <v>1111</v>
      </c>
      <c r="P45" s="10" t="s">
        <v>458</v>
      </c>
      <c r="Q45" s="10" t="s">
        <v>458</v>
      </c>
      <c r="R45" s="10" t="str">
        <f>IF(COUNTIF($J$2:J45,J45)=1,SUMIFS($O:$O,$J:$J,J45)+SUMIFS($P:$P,$J:$J,J45)+SUMIFS($Q:$Q,$J:$J,J45),"")</f>
        <v/>
      </c>
      <c r="S45" s="10" t="s">
        <v>458</v>
      </c>
      <c r="T45" s="11" t="str">
        <f>IFERROR(INDEX(AD:AD,MATCH(J45,J:J,0)),"")</f>
        <v>Check</v>
      </c>
      <c r="U45" s="12">
        <v>46031</v>
      </c>
      <c r="V45" s="10">
        <v>788.59</v>
      </c>
      <c r="W45" s="10" t="str">
        <f t="shared" si="33"/>
        <v>N/A</v>
      </c>
      <c r="X45" t="s">
        <v>53</v>
      </c>
      <c r="Y45" t="s">
        <v>25</v>
      </c>
      <c r="Z45">
        <v>100129</v>
      </c>
      <c r="AA45" t="s">
        <v>65</v>
      </c>
      <c r="AB45" t="s">
        <v>71</v>
      </c>
      <c r="AC45" s="9">
        <v>2</v>
      </c>
      <c r="AD45" s="9" t="str">
        <f t="shared" si="34"/>
        <v>N/A</v>
      </c>
      <c r="AE45" s="11" t="e">
        <f t="shared" si="35"/>
        <v>#VALUE!</v>
      </c>
    </row>
    <row r="46" spans="1:31" x14ac:dyDescent="0.3">
      <c r="A46">
        <v>42</v>
      </c>
      <c r="B46">
        <v>4705304</v>
      </c>
      <c r="C46" t="s">
        <v>35</v>
      </c>
      <c r="D46">
        <v>1258266</v>
      </c>
      <c r="E46" t="s">
        <v>85</v>
      </c>
      <c r="F46" t="s">
        <v>20</v>
      </c>
      <c r="G46" t="s">
        <v>115</v>
      </c>
      <c r="H46" t="s">
        <v>116</v>
      </c>
      <c r="I46" t="s">
        <v>337</v>
      </c>
      <c r="J46">
        <v>51146818280</v>
      </c>
      <c r="K46" t="s">
        <v>336</v>
      </c>
      <c r="L46" t="s">
        <v>383</v>
      </c>
      <c r="M46">
        <v>1</v>
      </c>
      <c r="N46" s="10">
        <v>4395</v>
      </c>
      <c r="O46" s="10">
        <f t="shared" ref="O46:O51" si="36">M46*N46</f>
        <v>4395</v>
      </c>
      <c r="P46" s="10">
        <v>0</v>
      </c>
      <c r="Q46" s="10">
        <v>0</v>
      </c>
      <c r="R46" s="10">
        <f>IF(COUNTIF($J$2:J46,J46)=1,SUMIFS($O:$O,$J:$J,J46)+SUMIFS($P:$P,$J:$J,J46)+SUMIFS($Q:$Q,$J:$J,J46),"")</f>
        <v>4547.3999999999996</v>
      </c>
      <c r="S46" s="10">
        <v>4555.3999999999996</v>
      </c>
      <c r="T46" s="11" t="str">
        <f>IFERROR(INDEX(AD:AD,MATCH(J46,J:J,0)),"")</f>
        <v>Check</v>
      </c>
      <c r="U46" s="12">
        <v>46037</v>
      </c>
      <c r="V46" s="10">
        <v>4403</v>
      </c>
      <c r="W46" s="10" t="str">
        <f t="shared" ref="W46:W51" si="37">IF(OR(S46="",V46=""),"N/A",IF(S46&lt;&gt;V46,"Short Paid","Not Paid"))</f>
        <v>Short Paid</v>
      </c>
      <c r="X46" t="s">
        <v>53</v>
      </c>
      <c r="Y46" t="s">
        <v>25</v>
      </c>
      <c r="Z46">
        <v>100289</v>
      </c>
      <c r="AA46" t="s">
        <v>54</v>
      </c>
      <c r="AB46" t="s">
        <v>69</v>
      </c>
      <c r="AC46" s="9">
        <v>2</v>
      </c>
      <c r="AD46" s="9" t="str">
        <f t="shared" ref="AD46:AD51" si="38">IF(AND(R46="",S46=""),"N/A",IF(R46=S46,"Ok","Check"))</f>
        <v>Check</v>
      </c>
      <c r="AE46" s="11">
        <f t="shared" ref="AE46:AE47" si="39">R46-S46</f>
        <v>-8</v>
      </c>
    </row>
    <row r="47" spans="1:31" x14ac:dyDescent="0.3">
      <c r="A47">
        <v>42</v>
      </c>
      <c r="B47">
        <v>4705304</v>
      </c>
      <c r="C47" t="s">
        <v>35</v>
      </c>
      <c r="D47">
        <v>1258266</v>
      </c>
      <c r="E47" t="s">
        <v>85</v>
      </c>
      <c r="F47" t="s">
        <v>20</v>
      </c>
      <c r="G47" t="s">
        <v>115</v>
      </c>
      <c r="H47" t="s">
        <v>116</v>
      </c>
      <c r="I47" t="s">
        <v>272</v>
      </c>
      <c r="J47">
        <v>51146818280</v>
      </c>
      <c r="K47" t="s">
        <v>291</v>
      </c>
      <c r="L47" t="s">
        <v>384</v>
      </c>
      <c r="M47">
        <v>10000</v>
      </c>
      <c r="N47" s="10">
        <v>1.524E-2</v>
      </c>
      <c r="O47" s="10">
        <f t="shared" si="36"/>
        <v>152.4</v>
      </c>
      <c r="P47" s="10" t="s">
        <v>458</v>
      </c>
      <c r="Q47" s="10" t="s">
        <v>458</v>
      </c>
      <c r="R47" s="10" t="str">
        <f>IF(COUNTIF($J$2:J47,J47)=1,SUMIFS($O:$O,$J:$J,J47)+SUMIFS($P:$P,$J:$J,J47)+SUMIFS($Q:$Q,$J:$J,J47),"")</f>
        <v/>
      </c>
      <c r="S47" s="10" t="s">
        <v>458</v>
      </c>
      <c r="T47" s="11" t="str">
        <f>IFERROR(INDEX(AD:AD,MATCH(J47,J:J,0)),"")</f>
        <v>Check</v>
      </c>
      <c r="U47" s="12">
        <v>46037</v>
      </c>
      <c r="V47" s="10">
        <v>4403</v>
      </c>
      <c r="W47" s="10" t="str">
        <f t="shared" si="37"/>
        <v>N/A</v>
      </c>
      <c r="X47" t="s">
        <v>53</v>
      </c>
      <c r="Y47" t="s">
        <v>25</v>
      </c>
      <c r="Z47">
        <v>100289</v>
      </c>
      <c r="AA47" t="s">
        <v>54</v>
      </c>
      <c r="AB47" t="s">
        <v>69</v>
      </c>
      <c r="AC47" s="9">
        <v>2</v>
      </c>
      <c r="AD47" s="9" t="str">
        <f t="shared" si="38"/>
        <v>N/A</v>
      </c>
      <c r="AE47" s="11" t="e">
        <f t="shared" si="39"/>
        <v>#VALUE!</v>
      </c>
    </row>
    <row r="48" spans="1:31" x14ac:dyDescent="0.3">
      <c r="A48">
        <v>42</v>
      </c>
      <c r="B48">
        <v>4706695</v>
      </c>
      <c r="C48" t="s">
        <v>35</v>
      </c>
      <c r="D48">
        <v>1383202</v>
      </c>
      <c r="E48" t="s">
        <v>74</v>
      </c>
      <c r="F48" t="s">
        <v>20</v>
      </c>
      <c r="G48" t="s">
        <v>117</v>
      </c>
      <c r="H48" t="s">
        <v>118</v>
      </c>
      <c r="I48" t="s">
        <v>323</v>
      </c>
      <c r="J48">
        <v>51146845075</v>
      </c>
      <c r="K48" t="s">
        <v>250</v>
      </c>
      <c r="L48" t="s">
        <v>316</v>
      </c>
      <c r="M48">
        <v>2000</v>
      </c>
      <c r="N48" s="10">
        <v>0.34067999999999998</v>
      </c>
      <c r="O48" s="10">
        <f t="shared" si="36"/>
        <v>681.36</v>
      </c>
      <c r="P48" s="10">
        <v>0</v>
      </c>
      <c r="Q48" s="10">
        <v>0</v>
      </c>
      <c r="R48" s="10">
        <f>IF(COUNTIF($J$2:J48,J48)=1,SUMIFS($O:$O,$J:$J,J48)+SUMIFS($P:$P,$J:$J,J48)+SUMIFS($Q:$Q,$J:$J,J48),"")</f>
        <v>8246.36</v>
      </c>
      <c r="S48" s="10">
        <v>10971.8</v>
      </c>
      <c r="T48" s="11" t="str">
        <f>IFERROR(INDEX(AD:AD,MATCH(J48,J:J,0)),"")</f>
        <v>Check</v>
      </c>
      <c r="U48" s="12">
        <v>46121</v>
      </c>
      <c r="V48" s="10">
        <v>462.5</v>
      </c>
      <c r="W48" s="10" t="str">
        <f t="shared" si="37"/>
        <v>Short Paid</v>
      </c>
      <c r="X48" t="s">
        <v>53</v>
      </c>
      <c r="Y48" t="s">
        <v>25</v>
      </c>
      <c r="Z48">
        <v>100199</v>
      </c>
      <c r="AA48" t="s">
        <v>57</v>
      </c>
      <c r="AB48" t="s">
        <v>69</v>
      </c>
      <c r="AC48" s="9">
        <v>2</v>
      </c>
      <c r="AD48" s="9" t="str">
        <f t="shared" si="38"/>
        <v>Check</v>
      </c>
      <c r="AE48" s="11">
        <f t="shared" ref="AE48:AE51" si="40">R48-S48</f>
        <v>-2725.4399999999987</v>
      </c>
    </row>
    <row r="49" spans="1:31" x14ac:dyDescent="0.3">
      <c r="A49">
        <v>42</v>
      </c>
      <c r="B49">
        <v>4706695</v>
      </c>
      <c r="C49" t="s">
        <v>35</v>
      </c>
      <c r="D49">
        <v>1383202</v>
      </c>
      <c r="E49" t="s">
        <v>74</v>
      </c>
      <c r="F49" t="s">
        <v>20</v>
      </c>
      <c r="G49" t="s">
        <v>117</v>
      </c>
      <c r="H49" t="s">
        <v>118</v>
      </c>
      <c r="I49" t="s">
        <v>251</v>
      </c>
      <c r="J49">
        <v>51146845075</v>
      </c>
      <c r="K49" t="s">
        <v>349</v>
      </c>
      <c r="L49" t="s">
        <v>385</v>
      </c>
      <c r="M49">
        <v>250</v>
      </c>
      <c r="N49" s="10">
        <v>30.26</v>
      </c>
      <c r="O49" s="10">
        <f t="shared" si="36"/>
        <v>7565</v>
      </c>
      <c r="P49" s="10" t="s">
        <v>458</v>
      </c>
      <c r="Q49" s="10" t="s">
        <v>458</v>
      </c>
      <c r="R49" s="10" t="str">
        <f>IF(COUNTIF($J$2:J49,J49)=1,SUMIFS($O:$O,$J:$J,J49)+SUMIFS($P:$P,$J:$J,J49)+SUMIFS($Q:$Q,$J:$J,J49),"")</f>
        <v/>
      </c>
      <c r="S49" s="10" t="s">
        <v>458</v>
      </c>
      <c r="T49" s="11" t="str">
        <f>IFERROR(INDEX(AD:AD,MATCH(J49,J:J,0)),"")</f>
        <v>Check</v>
      </c>
      <c r="U49" s="12">
        <v>46121</v>
      </c>
      <c r="V49" s="10">
        <v>462.5</v>
      </c>
      <c r="W49" s="10" t="str">
        <f t="shared" si="37"/>
        <v>N/A</v>
      </c>
      <c r="X49" t="s">
        <v>53</v>
      </c>
      <c r="Y49" t="s">
        <v>25</v>
      </c>
      <c r="Z49">
        <v>100199</v>
      </c>
      <c r="AA49" t="s">
        <v>57</v>
      </c>
      <c r="AB49" t="s">
        <v>69</v>
      </c>
      <c r="AC49" s="9">
        <v>2</v>
      </c>
      <c r="AD49" s="9" t="str">
        <f t="shared" si="38"/>
        <v>N/A</v>
      </c>
      <c r="AE49" s="11" t="e">
        <f t="shared" si="40"/>
        <v>#VALUE!</v>
      </c>
    </row>
    <row r="50" spans="1:31" x14ac:dyDescent="0.3">
      <c r="A50">
        <v>41</v>
      </c>
      <c r="B50">
        <v>4716157</v>
      </c>
      <c r="C50" t="s">
        <v>35</v>
      </c>
      <c r="D50">
        <v>1253242</v>
      </c>
      <c r="E50" t="s">
        <v>86</v>
      </c>
      <c r="F50" t="s">
        <v>41</v>
      </c>
      <c r="G50" t="s">
        <v>119</v>
      </c>
      <c r="H50" t="s">
        <v>120</v>
      </c>
      <c r="I50" t="s">
        <v>266</v>
      </c>
      <c r="J50">
        <v>51147833741</v>
      </c>
      <c r="K50" t="s">
        <v>262</v>
      </c>
      <c r="L50" t="s">
        <v>386</v>
      </c>
      <c r="M50">
        <v>250</v>
      </c>
      <c r="N50" s="10">
        <v>15</v>
      </c>
      <c r="O50" s="10">
        <f t="shared" si="36"/>
        <v>3750</v>
      </c>
      <c r="P50" s="10">
        <v>367.42</v>
      </c>
      <c r="Q50" s="10">
        <v>0</v>
      </c>
      <c r="R50" s="10">
        <f>IF(COUNTIF($J$2:J50,J50)=1,SUMIFS($O:$O,$J:$J,J50)+SUMIFS($P:$P,$J:$J,J50)+SUMIFS($Q:$Q,$J:$J,J50),"")</f>
        <v>4689.88</v>
      </c>
      <c r="S50" s="10">
        <v>4708.3</v>
      </c>
      <c r="T50" s="11" t="str">
        <f>IFERROR(INDEX(AD:AD,MATCH(J50,J:J,0)),"")</f>
        <v>Check</v>
      </c>
      <c r="U50" s="12">
        <v>46119</v>
      </c>
      <c r="V50" s="10">
        <v>367.42</v>
      </c>
      <c r="W50" s="10" t="str">
        <f t="shared" si="37"/>
        <v>Short Paid</v>
      </c>
      <c r="X50" t="s">
        <v>53</v>
      </c>
      <c r="Y50" t="s">
        <v>26</v>
      </c>
      <c r="Z50">
        <v>100299</v>
      </c>
      <c r="AA50" t="s">
        <v>213</v>
      </c>
      <c r="AB50" t="s">
        <v>206</v>
      </c>
      <c r="AC50" s="9">
        <v>2</v>
      </c>
      <c r="AD50" s="9" t="str">
        <f t="shared" si="38"/>
        <v>Check</v>
      </c>
      <c r="AE50" s="11">
        <f t="shared" si="40"/>
        <v>-18.420000000000073</v>
      </c>
    </row>
    <row r="51" spans="1:31" x14ac:dyDescent="0.3">
      <c r="A51">
        <v>41</v>
      </c>
      <c r="B51">
        <v>4716157</v>
      </c>
      <c r="C51" t="s">
        <v>35</v>
      </c>
      <c r="D51">
        <v>1253242</v>
      </c>
      <c r="E51" t="s">
        <v>86</v>
      </c>
      <c r="F51" t="s">
        <v>41</v>
      </c>
      <c r="G51" t="s">
        <v>119</v>
      </c>
      <c r="H51" t="s">
        <v>120</v>
      </c>
      <c r="I51" t="s">
        <v>271</v>
      </c>
      <c r="J51">
        <v>51147833741</v>
      </c>
      <c r="K51" t="s">
        <v>325</v>
      </c>
      <c r="L51" t="s">
        <v>324</v>
      </c>
      <c r="M51">
        <v>6000</v>
      </c>
      <c r="N51" s="10">
        <v>9.5409999999999995E-2</v>
      </c>
      <c r="O51" s="10">
        <f t="shared" si="36"/>
        <v>572.45999999999992</v>
      </c>
      <c r="P51" s="10" t="s">
        <v>458</v>
      </c>
      <c r="Q51" s="10" t="s">
        <v>458</v>
      </c>
      <c r="R51" s="10" t="str">
        <f>IF(COUNTIF($J$2:J51,J51)=1,SUMIFS($O:$O,$J:$J,J51)+SUMIFS($P:$P,$J:$J,J51)+SUMIFS($Q:$Q,$J:$J,J51),"")</f>
        <v/>
      </c>
      <c r="S51" s="10" t="s">
        <v>458</v>
      </c>
      <c r="T51" s="11" t="str">
        <f>IFERROR(INDEX(AD:AD,MATCH(J51,J:J,0)),"")</f>
        <v>Check</v>
      </c>
      <c r="U51" s="12">
        <v>46119</v>
      </c>
      <c r="V51" s="10">
        <v>367.42</v>
      </c>
      <c r="W51" s="10" t="str">
        <f t="shared" si="37"/>
        <v>N/A</v>
      </c>
      <c r="X51" t="s">
        <v>53</v>
      </c>
      <c r="Y51" t="s">
        <v>26</v>
      </c>
      <c r="Z51">
        <v>100299</v>
      </c>
      <c r="AA51" t="s">
        <v>213</v>
      </c>
      <c r="AB51" t="s">
        <v>206</v>
      </c>
      <c r="AC51" s="9">
        <v>2</v>
      </c>
      <c r="AD51" s="9" t="str">
        <f t="shared" si="38"/>
        <v>N/A</v>
      </c>
      <c r="AE51" s="11" t="e">
        <f t="shared" si="40"/>
        <v>#VALUE!</v>
      </c>
    </row>
    <row r="52" spans="1:31" x14ac:dyDescent="0.3">
      <c r="A52">
        <v>18</v>
      </c>
      <c r="B52">
        <v>4858082</v>
      </c>
      <c r="C52" t="s">
        <v>35</v>
      </c>
      <c r="D52">
        <v>1383202</v>
      </c>
      <c r="E52" t="s">
        <v>74</v>
      </c>
      <c r="F52" t="s">
        <v>20</v>
      </c>
      <c r="G52" t="s">
        <v>150</v>
      </c>
      <c r="H52" t="s">
        <v>151</v>
      </c>
      <c r="I52" t="s">
        <v>306</v>
      </c>
      <c r="J52">
        <v>51149726301</v>
      </c>
      <c r="K52" t="s">
        <v>219</v>
      </c>
      <c r="L52" t="s">
        <v>387</v>
      </c>
      <c r="M52">
        <v>1</v>
      </c>
      <c r="N52" s="10">
        <v>1200</v>
      </c>
      <c r="O52" s="10">
        <f t="shared" ref="O52:O60" si="41">M52*N52</f>
        <v>1200</v>
      </c>
      <c r="P52" s="10">
        <v>101.85</v>
      </c>
      <c r="Q52" s="10">
        <v>0</v>
      </c>
      <c r="R52" s="10">
        <f>IF(COUNTIF($J$2:J52,J52)=1,SUMIFS($O:$O,$J:$J,J52)+SUMIFS($P:$P,$J:$J,J52)+SUMIFS($Q:$Q,$J:$J,J52),"")</f>
        <v>2503.35</v>
      </c>
      <c r="S52" s="10">
        <v>2507.2200000000003</v>
      </c>
      <c r="T52" s="11" t="str">
        <f>IFERROR(INDEX(AD:AD,MATCH(J52,J:J,0)),"")</f>
        <v>Check</v>
      </c>
      <c r="U52" s="12">
        <v>46162</v>
      </c>
      <c r="V52" s="10">
        <v>1307.22</v>
      </c>
      <c r="W52" s="10" t="str">
        <f t="shared" ref="W52:W60" si="42">IF(OR(S52="",V52=""),"N/A",IF(S52&lt;&gt;V52,"Short Paid","Not Paid"))</f>
        <v>Short Paid</v>
      </c>
      <c r="X52" t="s">
        <v>53</v>
      </c>
      <c r="Y52" t="s">
        <v>25</v>
      </c>
      <c r="Z52">
        <v>100279</v>
      </c>
      <c r="AA52" t="s">
        <v>61</v>
      </c>
      <c r="AB52" t="s">
        <v>69</v>
      </c>
      <c r="AC52" s="9">
        <v>2</v>
      </c>
      <c r="AD52" s="9" t="str">
        <f t="shared" ref="AD52:AD60" si="43">IF(AND(R52="",S52=""),"N/A",IF(R52=S52,"Ok","Check"))</f>
        <v>Check</v>
      </c>
      <c r="AE52" s="11">
        <f t="shared" ref="AE52:AE60" si="44">R52-S52</f>
        <v>-3.8700000000003456</v>
      </c>
    </row>
    <row r="53" spans="1:31" x14ac:dyDescent="0.3">
      <c r="A53">
        <v>18</v>
      </c>
      <c r="B53">
        <v>4858082</v>
      </c>
      <c r="C53" t="s">
        <v>35</v>
      </c>
      <c r="D53">
        <v>1383202</v>
      </c>
      <c r="E53" t="s">
        <v>74</v>
      </c>
      <c r="F53" t="s">
        <v>20</v>
      </c>
      <c r="G53" t="s">
        <v>150</v>
      </c>
      <c r="H53" t="s">
        <v>151</v>
      </c>
      <c r="I53" t="s">
        <v>287</v>
      </c>
      <c r="J53">
        <v>51149726301</v>
      </c>
      <c r="K53" t="s">
        <v>263</v>
      </c>
      <c r="L53" t="s">
        <v>388</v>
      </c>
      <c r="M53">
        <v>50</v>
      </c>
      <c r="N53" s="10">
        <v>24.03</v>
      </c>
      <c r="O53" s="10">
        <f t="shared" si="41"/>
        <v>1201.5</v>
      </c>
      <c r="P53" s="10" t="s">
        <v>458</v>
      </c>
      <c r="Q53" s="10" t="s">
        <v>458</v>
      </c>
      <c r="R53" s="10" t="str">
        <f>IF(COUNTIF($J$2:J53,J53)=1,SUMIFS($O:$O,$J:$J,J53)+SUMIFS($P:$P,$J:$J,J53)+SUMIFS($Q:$Q,$J:$J,J53),"")</f>
        <v/>
      </c>
      <c r="S53" s="10" t="s">
        <v>458</v>
      </c>
      <c r="T53" s="11" t="str">
        <f>IFERROR(INDEX(AD:AD,MATCH(J53,J:J,0)),"")</f>
        <v>Check</v>
      </c>
      <c r="U53" s="12">
        <v>46162</v>
      </c>
      <c r="V53" s="10">
        <v>1307.22</v>
      </c>
      <c r="W53" s="10" t="str">
        <f t="shared" si="42"/>
        <v>N/A</v>
      </c>
      <c r="X53" t="s">
        <v>53</v>
      </c>
      <c r="Y53" t="s">
        <v>25</v>
      </c>
      <c r="Z53">
        <v>100279</v>
      </c>
      <c r="AA53" t="s">
        <v>61</v>
      </c>
      <c r="AB53" t="s">
        <v>69</v>
      </c>
      <c r="AC53" s="9">
        <v>2</v>
      </c>
      <c r="AD53" s="9" t="str">
        <f t="shared" si="43"/>
        <v>N/A</v>
      </c>
      <c r="AE53" s="11" t="e">
        <f t="shared" si="44"/>
        <v>#VALUE!</v>
      </c>
    </row>
    <row r="54" spans="1:31" x14ac:dyDescent="0.3">
      <c r="A54">
        <v>31</v>
      </c>
      <c r="B54">
        <v>4754282</v>
      </c>
      <c r="C54" t="s">
        <v>35</v>
      </c>
      <c r="D54">
        <v>1963277</v>
      </c>
      <c r="E54" t="s">
        <v>50</v>
      </c>
      <c r="F54" t="s">
        <v>23</v>
      </c>
      <c r="G54" t="s">
        <v>121</v>
      </c>
      <c r="H54" t="s">
        <v>122</v>
      </c>
      <c r="I54" t="s">
        <v>265</v>
      </c>
      <c r="J54">
        <v>51149897254</v>
      </c>
      <c r="K54" t="s">
        <v>221</v>
      </c>
      <c r="L54" t="s">
        <v>389</v>
      </c>
      <c r="M54">
        <v>36000</v>
      </c>
      <c r="N54" s="10">
        <v>2.5870000000000001E-2</v>
      </c>
      <c r="O54" s="10">
        <f t="shared" si="41"/>
        <v>931.32</v>
      </c>
      <c r="P54" s="10">
        <v>0</v>
      </c>
      <c r="Q54" s="10">
        <v>0</v>
      </c>
      <c r="R54" s="10">
        <f>IF(COUNTIF($J$2:J54,J54)=1,SUMIFS($O:$O,$J:$J,J54)+SUMIFS($P:$P,$J:$J,J54)+SUMIFS($Q:$Q,$J:$J,J54),"")</f>
        <v>2270.0700000000002</v>
      </c>
      <c r="S54" s="10">
        <v>2270.0700000000002</v>
      </c>
      <c r="T54" s="11" t="str">
        <f>IFERROR(INDEX(AD:AD,MATCH(J54,J:J,0)),"")</f>
        <v>Ok</v>
      </c>
      <c r="U54" s="12">
        <v>46045</v>
      </c>
      <c r="V54" s="10">
        <v>446.25</v>
      </c>
      <c r="W54" s="10" t="str">
        <f t="shared" si="42"/>
        <v>Short Paid</v>
      </c>
      <c r="X54" t="s">
        <v>53</v>
      </c>
      <c r="Y54" t="s">
        <v>52</v>
      </c>
      <c r="Z54">
        <v>100139</v>
      </c>
      <c r="AA54" t="s">
        <v>212</v>
      </c>
      <c r="AB54" t="s">
        <v>68</v>
      </c>
      <c r="AC54" s="9">
        <v>2</v>
      </c>
      <c r="AD54" s="9" t="str">
        <f t="shared" si="43"/>
        <v>Ok</v>
      </c>
      <c r="AE54" s="11">
        <f t="shared" si="44"/>
        <v>0</v>
      </c>
    </row>
    <row r="55" spans="1:31" x14ac:dyDescent="0.3">
      <c r="A55">
        <v>31</v>
      </c>
      <c r="B55">
        <v>4754282</v>
      </c>
      <c r="C55" t="s">
        <v>35</v>
      </c>
      <c r="D55">
        <v>1963277</v>
      </c>
      <c r="E55" t="s">
        <v>50</v>
      </c>
      <c r="F55" t="s">
        <v>23</v>
      </c>
      <c r="G55" t="s">
        <v>121</v>
      </c>
      <c r="H55" t="s">
        <v>122</v>
      </c>
      <c r="I55" t="s">
        <v>313</v>
      </c>
      <c r="J55">
        <v>51149897254</v>
      </c>
      <c r="K55" t="s">
        <v>221</v>
      </c>
      <c r="L55" t="s">
        <v>390</v>
      </c>
      <c r="M55">
        <v>7500</v>
      </c>
      <c r="N55" s="10">
        <v>0.17849999999999999</v>
      </c>
      <c r="O55" s="10">
        <f t="shared" si="41"/>
        <v>1338.75</v>
      </c>
      <c r="P55" s="10" t="s">
        <v>458</v>
      </c>
      <c r="Q55" s="10" t="s">
        <v>458</v>
      </c>
      <c r="R55" s="10" t="str">
        <f>IF(COUNTIF($J$2:J55,J55)=1,SUMIFS($O:$O,$J:$J,J55)+SUMIFS($P:$P,$J:$J,J55)+SUMIFS($Q:$Q,$J:$J,J55),"")</f>
        <v/>
      </c>
      <c r="S55" s="10" t="s">
        <v>458</v>
      </c>
      <c r="T55" s="11" t="str">
        <f>IFERROR(INDEX(AD:AD,MATCH(J55,J:J,0)),"")</f>
        <v>Ok</v>
      </c>
      <c r="U55" s="12">
        <v>46045</v>
      </c>
      <c r="V55" s="10">
        <v>446.25</v>
      </c>
      <c r="W55" s="10" t="str">
        <f t="shared" si="42"/>
        <v>N/A</v>
      </c>
      <c r="X55" t="s">
        <v>53</v>
      </c>
      <c r="Y55" t="s">
        <v>52</v>
      </c>
      <c r="Z55">
        <v>100139</v>
      </c>
      <c r="AA55" t="s">
        <v>212</v>
      </c>
      <c r="AB55" t="s">
        <v>68</v>
      </c>
      <c r="AC55" s="9">
        <v>2</v>
      </c>
      <c r="AD55" s="9" t="str">
        <f t="shared" si="43"/>
        <v>N/A</v>
      </c>
      <c r="AE55" s="11" t="e">
        <f t="shared" si="44"/>
        <v>#VALUE!</v>
      </c>
    </row>
    <row r="56" spans="1:31" x14ac:dyDescent="0.3">
      <c r="A56">
        <v>31</v>
      </c>
      <c r="B56">
        <v>4752890</v>
      </c>
      <c r="C56" t="s">
        <v>35</v>
      </c>
      <c r="D56">
        <v>1383202</v>
      </c>
      <c r="E56" t="s">
        <v>74</v>
      </c>
      <c r="F56" t="s">
        <v>17</v>
      </c>
      <c r="G56" t="s">
        <v>186</v>
      </c>
      <c r="H56" t="s">
        <v>187</v>
      </c>
      <c r="I56" t="s">
        <v>234</v>
      </c>
      <c r="J56">
        <v>51150085439</v>
      </c>
      <c r="K56" t="s">
        <v>223</v>
      </c>
      <c r="L56" t="s">
        <v>391</v>
      </c>
      <c r="M56">
        <v>24000</v>
      </c>
      <c r="N56" s="10">
        <v>1.6999999999999999E-3</v>
      </c>
      <c r="O56" s="10">
        <f t="shared" si="41"/>
        <v>40.799999999999997</v>
      </c>
      <c r="P56" s="10">
        <v>0</v>
      </c>
      <c r="Q56" s="10">
        <v>0</v>
      </c>
      <c r="R56" s="10">
        <f>IF(COUNTIF($J$2:J56,J56)=1,SUMIFS($O:$O,$J:$J,J56)+SUMIFS($P:$P,$J:$J,J56)+SUMIFS($Q:$Q,$J:$J,J56),"")</f>
        <v>16178.599999999999</v>
      </c>
      <c r="S56" s="10">
        <v>26563.96</v>
      </c>
      <c r="T56" s="11" t="str">
        <f>IFERROR(INDEX(AD:AD,MATCH(J56,J:J,0)),"")</f>
        <v>Check</v>
      </c>
      <c r="U56" s="12">
        <v>46149</v>
      </c>
      <c r="V56" s="10">
        <v>2725</v>
      </c>
      <c r="W56" s="10" t="str">
        <f t="shared" si="42"/>
        <v>Short Paid</v>
      </c>
      <c r="X56" t="s">
        <v>53</v>
      </c>
      <c r="Y56" t="s">
        <v>52</v>
      </c>
      <c r="Z56">
        <v>100259</v>
      </c>
      <c r="AA56" t="s">
        <v>211</v>
      </c>
      <c r="AB56" t="s">
        <v>73</v>
      </c>
      <c r="AC56" s="9">
        <v>5</v>
      </c>
      <c r="AD56" s="9" t="str">
        <f t="shared" si="43"/>
        <v>Check</v>
      </c>
      <c r="AE56" s="11">
        <f t="shared" si="44"/>
        <v>-10385.36</v>
      </c>
    </row>
    <row r="57" spans="1:31" x14ac:dyDescent="0.3">
      <c r="A57">
        <v>31</v>
      </c>
      <c r="B57">
        <v>4752890</v>
      </c>
      <c r="C57" t="s">
        <v>35</v>
      </c>
      <c r="D57">
        <v>1383202</v>
      </c>
      <c r="E57" t="s">
        <v>74</v>
      </c>
      <c r="F57" t="s">
        <v>17</v>
      </c>
      <c r="G57" t="s">
        <v>186</v>
      </c>
      <c r="H57" t="s">
        <v>187</v>
      </c>
      <c r="I57" t="s">
        <v>234</v>
      </c>
      <c r="J57">
        <v>51150085439</v>
      </c>
      <c r="K57" t="s">
        <v>333</v>
      </c>
      <c r="L57" t="s">
        <v>354</v>
      </c>
      <c r="M57">
        <v>27000</v>
      </c>
      <c r="N57" s="10">
        <v>0.48799999999999999</v>
      </c>
      <c r="O57" s="10">
        <f t="shared" si="41"/>
        <v>13176</v>
      </c>
      <c r="P57" s="10" t="s">
        <v>458</v>
      </c>
      <c r="Q57" s="10" t="s">
        <v>458</v>
      </c>
      <c r="R57" s="10" t="str">
        <f>IF(COUNTIF($J$2:J57,J57)=1,SUMIFS($O:$O,$J:$J,J57)+SUMIFS($P:$P,$J:$J,J57)+SUMIFS($Q:$Q,$J:$J,J57),"")</f>
        <v/>
      </c>
      <c r="S57" s="10" t="s">
        <v>458</v>
      </c>
      <c r="T57" s="11" t="str">
        <f>IFERROR(INDEX(AD:AD,MATCH(J57,J:J,0)),"")</f>
        <v>Check</v>
      </c>
      <c r="U57" s="12">
        <v>46149</v>
      </c>
      <c r="V57" s="10">
        <v>2725</v>
      </c>
      <c r="W57" s="10" t="str">
        <f t="shared" si="42"/>
        <v>N/A</v>
      </c>
      <c r="X57" t="s">
        <v>53</v>
      </c>
      <c r="Y57" t="s">
        <v>52</v>
      </c>
      <c r="Z57">
        <v>100259</v>
      </c>
      <c r="AA57" t="s">
        <v>211</v>
      </c>
      <c r="AB57" t="s">
        <v>73</v>
      </c>
      <c r="AC57" s="9">
        <v>5</v>
      </c>
      <c r="AD57" s="9" t="str">
        <f t="shared" si="43"/>
        <v>N/A</v>
      </c>
      <c r="AE57" s="11" t="e">
        <f t="shared" si="44"/>
        <v>#VALUE!</v>
      </c>
    </row>
    <row r="58" spans="1:31" x14ac:dyDescent="0.3">
      <c r="A58">
        <v>31</v>
      </c>
      <c r="B58">
        <v>4752890</v>
      </c>
      <c r="C58" t="s">
        <v>35</v>
      </c>
      <c r="D58">
        <v>1383202</v>
      </c>
      <c r="E58" t="s">
        <v>74</v>
      </c>
      <c r="F58" t="s">
        <v>17</v>
      </c>
      <c r="G58" t="s">
        <v>186</v>
      </c>
      <c r="H58" t="s">
        <v>187</v>
      </c>
      <c r="I58" t="s">
        <v>234</v>
      </c>
      <c r="J58">
        <v>51150085439</v>
      </c>
      <c r="K58" t="s">
        <v>237</v>
      </c>
      <c r="L58" t="s">
        <v>355</v>
      </c>
      <c r="M58">
        <v>12000</v>
      </c>
      <c r="N58" s="10">
        <v>2.3E-2</v>
      </c>
      <c r="O58" s="10">
        <f t="shared" si="41"/>
        <v>276</v>
      </c>
      <c r="P58" s="10" t="s">
        <v>458</v>
      </c>
      <c r="Q58" s="10" t="s">
        <v>458</v>
      </c>
      <c r="R58" s="10" t="str">
        <f>IF(COUNTIF($J$2:J58,J58)=1,SUMIFS($O:$O,$J:$J,J58)+SUMIFS($P:$P,$J:$J,J58)+SUMIFS($Q:$Q,$J:$J,J58),"")</f>
        <v/>
      </c>
      <c r="S58" s="10" t="s">
        <v>458</v>
      </c>
      <c r="T58" s="11" t="str">
        <f>IFERROR(INDEX(AD:AD,MATCH(J58,J:J,0)),"")</f>
        <v>Check</v>
      </c>
      <c r="U58" s="12">
        <v>46149</v>
      </c>
      <c r="V58" s="10">
        <v>2725</v>
      </c>
      <c r="W58" s="10" t="str">
        <f t="shared" si="42"/>
        <v>N/A</v>
      </c>
      <c r="X58" t="s">
        <v>53</v>
      </c>
      <c r="Y58" t="s">
        <v>52</v>
      </c>
      <c r="Z58">
        <v>100259</v>
      </c>
      <c r="AA58" t="s">
        <v>211</v>
      </c>
      <c r="AB58" t="s">
        <v>73</v>
      </c>
      <c r="AC58" s="9">
        <v>5</v>
      </c>
      <c r="AD58" s="9" t="str">
        <f t="shared" si="43"/>
        <v>N/A</v>
      </c>
      <c r="AE58" s="11" t="e">
        <f t="shared" si="44"/>
        <v>#VALUE!</v>
      </c>
    </row>
    <row r="59" spans="1:31" x14ac:dyDescent="0.3">
      <c r="A59">
        <v>31</v>
      </c>
      <c r="B59">
        <v>4752890</v>
      </c>
      <c r="C59" t="s">
        <v>35</v>
      </c>
      <c r="D59">
        <v>1383202</v>
      </c>
      <c r="E59" t="s">
        <v>74</v>
      </c>
      <c r="F59" t="s">
        <v>17</v>
      </c>
      <c r="G59" t="s">
        <v>186</v>
      </c>
      <c r="H59" t="s">
        <v>187</v>
      </c>
      <c r="I59" t="s">
        <v>234</v>
      </c>
      <c r="J59">
        <v>51150085439</v>
      </c>
      <c r="K59" t="s">
        <v>237</v>
      </c>
      <c r="L59" t="s">
        <v>368</v>
      </c>
      <c r="M59">
        <v>88000</v>
      </c>
      <c r="N59" s="10">
        <v>2.9100000000000001E-2</v>
      </c>
      <c r="O59" s="10">
        <f t="shared" si="41"/>
        <v>2560.8000000000002</v>
      </c>
      <c r="P59" s="10" t="s">
        <v>458</v>
      </c>
      <c r="Q59" s="10" t="s">
        <v>458</v>
      </c>
      <c r="R59" s="10" t="str">
        <f>IF(COUNTIF($J$2:J59,J59)=1,SUMIFS($O:$O,$J:$J,J59)+SUMIFS($P:$P,$J:$J,J59)+SUMIFS($Q:$Q,$J:$J,J59),"")</f>
        <v/>
      </c>
      <c r="S59" s="10" t="s">
        <v>458</v>
      </c>
      <c r="T59" s="11" t="str">
        <f>IFERROR(INDEX(AD:AD,MATCH(J59,J:J,0)),"")</f>
        <v>Check</v>
      </c>
      <c r="U59" s="12">
        <v>46149</v>
      </c>
      <c r="V59" s="10">
        <v>2725</v>
      </c>
      <c r="W59" s="10" t="str">
        <f t="shared" si="42"/>
        <v>N/A</v>
      </c>
      <c r="X59" t="s">
        <v>53</v>
      </c>
      <c r="Y59" t="s">
        <v>52</v>
      </c>
      <c r="Z59">
        <v>100259</v>
      </c>
      <c r="AA59" t="s">
        <v>211</v>
      </c>
      <c r="AB59" t="s">
        <v>73</v>
      </c>
      <c r="AC59" s="9">
        <v>5</v>
      </c>
      <c r="AD59" s="9" t="str">
        <f t="shared" si="43"/>
        <v>N/A</v>
      </c>
      <c r="AE59" s="11" t="e">
        <f t="shared" si="44"/>
        <v>#VALUE!</v>
      </c>
    </row>
    <row r="60" spans="1:31" x14ac:dyDescent="0.3">
      <c r="A60">
        <v>31</v>
      </c>
      <c r="B60">
        <v>4752890</v>
      </c>
      <c r="C60" t="s">
        <v>35</v>
      </c>
      <c r="D60">
        <v>1383202</v>
      </c>
      <c r="E60" t="s">
        <v>74</v>
      </c>
      <c r="F60" t="s">
        <v>17</v>
      </c>
      <c r="G60" t="s">
        <v>186</v>
      </c>
      <c r="H60" t="s">
        <v>187</v>
      </c>
      <c r="I60" t="s">
        <v>327</v>
      </c>
      <c r="J60">
        <v>51150085439</v>
      </c>
      <c r="K60" t="s">
        <v>263</v>
      </c>
      <c r="L60" t="s">
        <v>392</v>
      </c>
      <c r="M60">
        <v>1</v>
      </c>
      <c r="N60" s="10">
        <v>125</v>
      </c>
      <c r="O60" s="10">
        <f t="shared" si="41"/>
        <v>125</v>
      </c>
      <c r="P60" s="10" t="s">
        <v>458</v>
      </c>
      <c r="Q60" s="10" t="s">
        <v>458</v>
      </c>
      <c r="R60" s="10" t="str">
        <f>IF(COUNTIF($J$2:J60,J60)=1,SUMIFS($O:$O,$J:$J,J60)+SUMIFS($P:$P,$J:$J,J60)+SUMIFS($Q:$Q,$J:$J,J60),"")</f>
        <v/>
      </c>
      <c r="S60" s="10" t="s">
        <v>458</v>
      </c>
      <c r="T60" s="11" t="str">
        <f>IFERROR(INDEX(AD:AD,MATCH(J60,J:J,0)),"")</f>
        <v>Check</v>
      </c>
      <c r="U60" s="12">
        <v>46149</v>
      </c>
      <c r="V60" s="10">
        <v>2725</v>
      </c>
      <c r="W60" s="10" t="str">
        <f t="shared" si="42"/>
        <v>N/A</v>
      </c>
      <c r="X60" t="s">
        <v>53</v>
      </c>
      <c r="Y60" t="s">
        <v>52</v>
      </c>
      <c r="Z60">
        <v>100259</v>
      </c>
      <c r="AA60" t="s">
        <v>211</v>
      </c>
      <c r="AB60" t="s">
        <v>73</v>
      </c>
      <c r="AC60" s="9">
        <v>5</v>
      </c>
      <c r="AD60" s="9" t="str">
        <f t="shared" si="43"/>
        <v>N/A</v>
      </c>
      <c r="AE60" s="11" t="e">
        <f t="shared" si="44"/>
        <v>#VALUE!</v>
      </c>
    </row>
    <row r="61" spans="1:31" x14ac:dyDescent="0.3">
      <c r="A61">
        <v>31</v>
      </c>
      <c r="B61">
        <v>4756230</v>
      </c>
      <c r="C61" t="s">
        <v>35</v>
      </c>
      <c r="D61">
        <v>1963277</v>
      </c>
      <c r="E61" t="s">
        <v>50</v>
      </c>
      <c r="F61" t="s">
        <v>19</v>
      </c>
      <c r="G61" t="s">
        <v>123</v>
      </c>
      <c r="H61" t="s">
        <v>124</v>
      </c>
      <c r="I61" t="s">
        <v>259</v>
      </c>
      <c r="J61">
        <v>51150336517</v>
      </c>
      <c r="K61" t="s">
        <v>348</v>
      </c>
      <c r="L61" t="s">
        <v>378</v>
      </c>
      <c r="M61">
        <v>75000</v>
      </c>
      <c r="N61" s="10">
        <v>0.35699999999999998</v>
      </c>
      <c r="O61" s="10">
        <f t="shared" ref="O61:O62" si="45">M61*N61</f>
        <v>26775</v>
      </c>
      <c r="P61" s="10">
        <v>0</v>
      </c>
      <c r="Q61" s="10">
        <v>0</v>
      </c>
      <c r="R61" s="10">
        <f>IF(COUNTIF($J$2:J61,J61)=1,SUMIFS($O:$O,$J:$J,J61)+SUMIFS($P:$P,$J:$J,J61)+SUMIFS($Q:$Q,$J:$J,J61),"")</f>
        <v>27833.530999999999</v>
      </c>
      <c r="S61" s="10">
        <v>27833.53</v>
      </c>
      <c r="T61" s="11" t="str">
        <f>IFERROR(INDEX(AD:AD,MATCH(J61,J:J,0)),"")</f>
        <v>Check</v>
      </c>
      <c r="U61" s="12">
        <v>46063</v>
      </c>
      <c r="V61" s="10">
        <v>1058.53</v>
      </c>
      <c r="W61" s="10" t="str">
        <f t="shared" ref="W61:W62" si="46">IF(OR(S61="",V61=""),"N/A",IF(S61&lt;&gt;V61,"Short Paid","Not Paid"))</f>
        <v>Short Paid</v>
      </c>
      <c r="X61" t="s">
        <v>53</v>
      </c>
      <c r="Y61" t="s">
        <v>25</v>
      </c>
      <c r="Z61">
        <v>100159</v>
      </c>
      <c r="AA61" t="s">
        <v>62</v>
      </c>
      <c r="AB61" t="s">
        <v>72</v>
      </c>
      <c r="AC61" s="9">
        <v>2</v>
      </c>
      <c r="AD61" s="9" t="str">
        <f t="shared" ref="AD61:AD62" si="47">IF(AND(R61="",S61=""),"N/A",IF(R61=S61,"Ok","Check"))</f>
        <v>Check</v>
      </c>
      <c r="AE61" s="11">
        <f t="shared" ref="AE61:AE62" si="48">R61-S61</f>
        <v>1.0000000002037268E-3</v>
      </c>
    </row>
    <row r="62" spans="1:31" x14ac:dyDescent="0.3">
      <c r="A62">
        <v>31</v>
      </c>
      <c r="B62">
        <v>4756230</v>
      </c>
      <c r="C62" t="s">
        <v>35</v>
      </c>
      <c r="D62">
        <v>1963277</v>
      </c>
      <c r="E62" t="s">
        <v>50</v>
      </c>
      <c r="F62" t="s">
        <v>19</v>
      </c>
      <c r="G62" t="s">
        <v>123</v>
      </c>
      <c r="H62" t="s">
        <v>124</v>
      </c>
      <c r="I62" t="s">
        <v>302</v>
      </c>
      <c r="J62">
        <v>51150336517</v>
      </c>
      <c r="K62" t="s">
        <v>273</v>
      </c>
      <c r="L62" t="s">
        <v>393</v>
      </c>
      <c r="M62">
        <v>10</v>
      </c>
      <c r="N62" s="10">
        <v>105.8531</v>
      </c>
      <c r="O62" s="10">
        <f t="shared" si="45"/>
        <v>1058.5309999999999</v>
      </c>
      <c r="P62" s="10" t="s">
        <v>458</v>
      </c>
      <c r="Q62" s="10" t="s">
        <v>458</v>
      </c>
      <c r="R62" s="10" t="str">
        <f>IF(COUNTIF($J$2:J62,J62)=1,SUMIFS($O:$O,$J:$J,J62)+SUMIFS($P:$P,$J:$J,J62)+SUMIFS($Q:$Q,$J:$J,J62),"")</f>
        <v/>
      </c>
      <c r="S62" s="10" t="s">
        <v>458</v>
      </c>
      <c r="T62" s="11" t="str">
        <f>IFERROR(INDEX(AD:AD,MATCH(J62,J:J,0)),"")</f>
        <v>Check</v>
      </c>
      <c r="U62" s="12">
        <v>46063</v>
      </c>
      <c r="V62" s="10">
        <v>1058.53</v>
      </c>
      <c r="W62" s="10" t="str">
        <f t="shared" si="46"/>
        <v>N/A</v>
      </c>
      <c r="X62" t="s">
        <v>53</v>
      </c>
      <c r="Y62" t="s">
        <v>25</v>
      </c>
      <c r="Z62">
        <v>100159</v>
      </c>
      <c r="AA62" t="s">
        <v>62</v>
      </c>
      <c r="AB62" t="s">
        <v>72</v>
      </c>
      <c r="AC62" s="9">
        <v>2</v>
      </c>
      <c r="AD62" s="9" t="str">
        <f t="shared" si="47"/>
        <v>N/A</v>
      </c>
      <c r="AE62" s="11" t="e">
        <f t="shared" si="48"/>
        <v>#VALUE!</v>
      </c>
    </row>
    <row r="63" spans="1:31" x14ac:dyDescent="0.3">
      <c r="A63">
        <v>15</v>
      </c>
      <c r="B63">
        <v>4873388</v>
      </c>
      <c r="C63" t="s">
        <v>35</v>
      </c>
      <c r="D63">
        <v>1852662</v>
      </c>
      <c r="E63" t="s">
        <v>78</v>
      </c>
      <c r="F63" t="s">
        <v>24</v>
      </c>
      <c r="G63" t="s">
        <v>188</v>
      </c>
      <c r="H63" t="s">
        <v>189</v>
      </c>
      <c r="I63" t="s">
        <v>275</v>
      </c>
      <c r="J63">
        <v>51153420246</v>
      </c>
      <c r="K63" t="s">
        <v>247</v>
      </c>
      <c r="L63" t="s">
        <v>394</v>
      </c>
      <c r="M63">
        <v>1</v>
      </c>
      <c r="N63" s="10">
        <v>1875</v>
      </c>
      <c r="O63" s="10">
        <f t="shared" ref="O63:O85" si="49">M63*N63</f>
        <v>1875</v>
      </c>
      <c r="P63" s="10">
        <v>0</v>
      </c>
      <c r="Q63" s="10">
        <v>178.13</v>
      </c>
      <c r="R63" s="10">
        <f>IF(COUNTIF($J$2:J63,J63)=1,SUMIFS($O:$O,$J:$J,J63)+SUMIFS($P:$P,$J:$J,J63)+SUMIFS($Q:$Q,$J:$J,J63),"")</f>
        <v>2947.13</v>
      </c>
      <c r="S63" s="10">
        <v>2947.13</v>
      </c>
      <c r="T63" s="11" t="str">
        <f>IFERROR(INDEX(AD:AD,MATCH(J63,J:J,0)),"")</f>
        <v>Ok</v>
      </c>
      <c r="U63" s="12">
        <v>46148</v>
      </c>
      <c r="V63" s="10">
        <v>1072.1300000000001</v>
      </c>
      <c r="W63" s="10" t="str">
        <f t="shared" ref="W63:W85" si="50">IF(OR(S63="",V63=""),"N/A",IF(S63&lt;&gt;V63,"Short Paid","Not Paid"))</f>
        <v>Short Paid</v>
      </c>
      <c r="X63" t="s">
        <v>53</v>
      </c>
      <c r="Y63" t="s">
        <v>36</v>
      </c>
      <c r="Z63">
        <v>100189</v>
      </c>
      <c r="AA63" t="s">
        <v>214</v>
      </c>
      <c r="AB63" t="s">
        <v>70</v>
      </c>
      <c r="AC63" s="9">
        <v>2</v>
      </c>
      <c r="AD63" s="9" t="str">
        <f t="shared" ref="AD63:AD85" si="51">IF(AND(R63="",S63=""),"N/A",IF(R63=S63,"Ok","Check"))</f>
        <v>Ok</v>
      </c>
      <c r="AE63" s="11">
        <f t="shared" ref="AE63:AE85" si="52">R63-S63</f>
        <v>0</v>
      </c>
    </row>
    <row r="64" spans="1:31" x14ac:dyDescent="0.3">
      <c r="A64">
        <v>15</v>
      </c>
      <c r="B64">
        <v>4873388</v>
      </c>
      <c r="C64" t="s">
        <v>35</v>
      </c>
      <c r="D64">
        <v>1852662</v>
      </c>
      <c r="E64" t="s">
        <v>78</v>
      </c>
      <c r="F64" t="s">
        <v>24</v>
      </c>
      <c r="G64" t="s">
        <v>188</v>
      </c>
      <c r="H64" t="s">
        <v>189</v>
      </c>
      <c r="I64" t="s">
        <v>275</v>
      </c>
      <c r="J64">
        <v>51153420246</v>
      </c>
      <c r="K64" t="s">
        <v>247</v>
      </c>
      <c r="L64" t="s">
        <v>395</v>
      </c>
      <c r="M64">
        <v>100</v>
      </c>
      <c r="N64" s="10">
        <v>8.94</v>
      </c>
      <c r="O64" s="10">
        <f t="shared" si="49"/>
        <v>894</v>
      </c>
      <c r="P64" s="10" t="s">
        <v>458</v>
      </c>
      <c r="Q64" s="10" t="s">
        <v>458</v>
      </c>
      <c r="R64" s="10" t="str">
        <f>IF(COUNTIF($J$2:J64,J64)=1,SUMIFS($O:$O,$J:$J,J64)+SUMIFS($P:$P,$J:$J,J64)+SUMIFS($Q:$Q,$J:$J,J64),"")</f>
        <v/>
      </c>
      <c r="S64" s="10" t="s">
        <v>458</v>
      </c>
      <c r="T64" s="11" t="str">
        <f>IFERROR(INDEX(AD:AD,MATCH(J64,J:J,0)),"")</f>
        <v>Ok</v>
      </c>
      <c r="U64" s="12">
        <v>46148</v>
      </c>
      <c r="V64" s="10">
        <v>1072.1300000000001</v>
      </c>
      <c r="W64" s="10" t="str">
        <f t="shared" si="50"/>
        <v>N/A</v>
      </c>
      <c r="X64" t="s">
        <v>53</v>
      </c>
      <c r="Y64" t="s">
        <v>36</v>
      </c>
      <c r="Z64">
        <v>100189</v>
      </c>
      <c r="AA64" t="s">
        <v>214</v>
      </c>
      <c r="AB64" t="s">
        <v>70</v>
      </c>
      <c r="AC64" s="9">
        <v>2</v>
      </c>
      <c r="AD64" s="9" t="str">
        <f t="shared" si="51"/>
        <v>N/A</v>
      </c>
      <c r="AE64" s="11" t="e">
        <f t="shared" si="52"/>
        <v>#VALUE!</v>
      </c>
    </row>
    <row r="65" spans="1:31" x14ac:dyDescent="0.3">
      <c r="A65">
        <v>15</v>
      </c>
      <c r="B65">
        <v>4872275</v>
      </c>
      <c r="C65" t="s">
        <v>35</v>
      </c>
      <c r="D65">
        <v>1852662</v>
      </c>
      <c r="E65" t="s">
        <v>78</v>
      </c>
      <c r="F65" t="s">
        <v>24</v>
      </c>
      <c r="G65" t="s">
        <v>154</v>
      </c>
      <c r="H65" t="s">
        <v>155</v>
      </c>
      <c r="I65" t="s">
        <v>288</v>
      </c>
      <c r="J65">
        <v>51153516760</v>
      </c>
      <c r="K65" t="s">
        <v>247</v>
      </c>
      <c r="L65" t="s">
        <v>396</v>
      </c>
      <c r="M65">
        <v>1</v>
      </c>
      <c r="N65" s="10">
        <v>1875</v>
      </c>
      <c r="O65" s="10">
        <f t="shared" si="49"/>
        <v>1875</v>
      </c>
      <c r="P65" s="10">
        <v>0</v>
      </c>
      <c r="Q65" s="10">
        <v>178.13</v>
      </c>
      <c r="R65" s="10">
        <f>IF(COUNTIF($J$2:J65,J65)=1,SUMIFS($O:$O,$J:$J,J65)+SUMIFS($P:$P,$J:$J,J65)+SUMIFS($Q:$Q,$J:$J,J65),"")</f>
        <v>24372.370000000003</v>
      </c>
      <c r="S65" s="10">
        <v>45817.61</v>
      </c>
      <c r="T65" s="11" t="str">
        <f>IFERROR(INDEX(AD:AD,MATCH(J65,J:J,0)),"")</f>
        <v>Check</v>
      </c>
      <c r="U65" s="12">
        <v>46158</v>
      </c>
      <c r="V65" s="10">
        <v>1052.1300000000001</v>
      </c>
      <c r="W65" s="10" t="str">
        <f t="shared" si="50"/>
        <v>Short Paid</v>
      </c>
      <c r="X65" t="s">
        <v>53</v>
      </c>
      <c r="Y65" t="s">
        <v>36</v>
      </c>
      <c r="Z65">
        <v>100229</v>
      </c>
      <c r="AA65" t="s">
        <v>67</v>
      </c>
      <c r="AB65" t="s">
        <v>70</v>
      </c>
      <c r="AC65" s="9">
        <v>3</v>
      </c>
      <c r="AD65" s="9" t="str">
        <f t="shared" si="51"/>
        <v>Check</v>
      </c>
      <c r="AE65" s="11">
        <f t="shared" si="52"/>
        <v>-21445.239999999998</v>
      </c>
    </row>
    <row r="66" spans="1:31" x14ac:dyDescent="0.3">
      <c r="A66">
        <v>15</v>
      </c>
      <c r="B66">
        <v>4872275</v>
      </c>
      <c r="C66" t="s">
        <v>35</v>
      </c>
      <c r="D66">
        <v>1852662</v>
      </c>
      <c r="E66" t="s">
        <v>78</v>
      </c>
      <c r="F66" t="s">
        <v>24</v>
      </c>
      <c r="G66" t="s">
        <v>154</v>
      </c>
      <c r="H66" t="s">
        <v>155</v>
      </c>
      <c r="I66" t="s">
        <v>288</v>
      </c>
      <c r="J66">
        <v>51153516760</v>
      </c>
      <c r="K66" t="s">
        <v>247</v>
      </c>
      <c r="L66" t="s">
        <v>397</v>
      </c>
      <c r="M66">
        <v>100</v>
      </c>
      <c r="N66" s="10">
        <v>8.74</v>
      </c>
      <c r="O66" s="10">
        <f t="shared" si="49"/>
        <v>874</v>
      </c>
      <c r="P66" s="10" t="s">
        <v>458</v>
      </c>
      <c r="Q66" s="10" t="s">
        <v>458</v>
      </c>
      <c r="R66" s="10" t="str">
        <f>IF(COUNTIF($J$2:J66,J66)=1,SUMIFS($O:$O,$J:$J,J66)+SUMIFS($P:$P,$J:$J,J66)+SUMIFS($Q:$Q,$J:$J,J66),"")</f>
        <v/>
      </c>
      <c r="S66" s="10" t="s">
        <v>458</v>
      </c>
      <c r="T66" s="11" t="str">
        <f>IFERROR(INDEX(AD:AD,MATCH(J66,J:J,0)),"")</f>
        <v>Check</v>
      </c>
      <c r="U66" s="12">
        <v>46158</v>
      </c>
      <c r="V66" s="10">
        <v>1052.1300000000001</v>
      </c>
      <c r="W66" s="10" t="str">
        <f t="shared" si="50"/>
        <v>N/A</v>
      </c>
      <c r="X66" t="s">
        <v>53</v>
      </c>
      <c r="Y66" t="s">
        <v>36</v>
      </c>
      <c r="Z66">
        <v>100229</v>
      </c>
      <c r="AA66" t="s">
        <v>67</v>
      </c>
      <c r="AB66" t="s">
        <v>70</v>
      </c>
      <c r="AC66" s="9">
        <v>3</v>
      </c>
      <c r="AD66" s="9" t="str">
        <f t="shared" si="51"/>
        <v>N/A</v>
      </c>
      <c r="AE66" s="11" t="e">
        <f t="shared" si="52"/>
        <v>#VALUE!</v>
      </c>
    </row>
    <row r="67" spans="1:31" x14ac:dyDescent="0.3">
      <c r="A67">
        <v>15</v>
      </c>
      <c r="B67">
        <v>4872275</v>
      </c>
      <c r="C67" t="s">
        <v>35</v>
      </c>
      <c r="D67">
        <v>1852662</v>
      </c>
      <c r="E67" t="s">
        <v>78</v>
      </c>
      <c r="F67" t="s">
        <v>24</v>
      </c>
      <c r="G67" t="s">
        <v>154</v>
      </c>
      <c r="H67" t="s">
        <v>155</v>
      </c>
      <c r="I67" t="s">
        <v>220</v>
      </c>
      <c r="J67">
        <v>51153516760</v>
      </c>
      <c r="K67" t="s">
        <v>221</v>
      </c>
      <c r="L67" t="s">
        <v>240</v>
      </c>
      <c r="M67">
        <v>4</v>
      </c>
      <c r="N67" s="10">
        <v>5361.31</v>
      </c>
      <c r="O67" s="10">
        <f t="shared" si="49"/>
        <v>21445.24</v>
      </c>
      <c r="P67" s="10" t="s">
        <v>458</v>
      </c>
      <c r="Q67" s="10" t="s">
        <v>458</v>
      </c>
      <c r="R67" s="10" t="str">
        <f>IF(COUNTIF($J$2:J67,J67)=1,SUMIFS($O:$O,$J:$J,J67)+SUMIFS($P:$P,$J:$J,J67)+SUMIFS($Q:$Q,$J:$J,J67),"")</f>
        <v/>
      </c>
      <c r="S67" s="10" t="s">
        <v>458</v>
      </c>
      <c r="T67" s="11" t="str">
        <f>IFERROR(INDEX(AD:AD,MATCH(J67,J:J,0)),"")</f>
        <v>Check</v>
      </c>
      <c r="U67" s="12">
        <v>46158</v>
      </c>
      <c r="V67" s="10">
        <v>1052.1300000000001</v>
      </c>
      <c r="W67" s="10" t="str">
        <f t="shared" si="50"/>
        <v>N/A</v>
      </c>
      <c r="X67" t="s">
        <v>53</v>
      </c>
      <c r="Y67" t="s">
        <v>36</v>
      </c>
      <c r="Z67">
        <v>100229</v>
      </c>
      <c r="AA67" t="s">
        <v>67</v>
      </c>
      <c r="AB67" t="s">
        <v>70</v>
      </c>
      <c r="AC67" s="9">
        <v>3</v>
      </c>
      <c r="AD67" s="9" t="str">
        <f t="shared" si="51"/>
        <v>N/A</v>
      </c>
      <c r="AE67" s="11" t="e">
        <f t="shared" si="52"/>
        <v>#VALUE!</v>
      </c>
    </row>
    <row r="68" spans="1:31" x14ac:dyDescent="0.3">
      <c r="A68">
        <v>15</v>
      </c>
      <c r="B68">
        <v>4871718</v>
      </c>
      <c r="C68" t="s">
        <v>35</v>
      </c>
      <c r="D68">
        <v>1852662</v>
      </c>
      <c r="E68" t="s">
        <v>78</v>
      </c>
      <c r="F68" t="s">
        <v>24</v>
      </c>
      <c r="G68" t="s">
        <v>152</v>
      </c>
      <c r="H68" t="s">
        <v>153</v>
      </c>
      <c r="I68" t="s">
        <v>298</v>
      </c>
      <c r="J68">
        <v>51153516762</v>
      </c>
      <c r="K68" t="s">
        <v>247</v>
      </c>
      <c r="L68" t="s">
        <v>398</v>
      </c>
      <c r="M68">
        <v>1</v>
      </c>
      <c r="N68" s="10">
        <v>1875</v>
      </c>
      <c r="O68" s="10">
        <f t="shared" si="49"/>
        <v>1875</v>
      </c>
      <c r="P68" s="10">
        <v>34.159999999999997</v>
      </c>
      <c r="Q68" s="10">
        <v>178.13</v>
      </c>
      <c r="R68" s="10">
        <f>IF(COUNTIF($J$2:J68,J68)=1,SUMIFS($O:$O,$J:$J,J68)+SUMIFS($P:$P,$J:$J,J68)+SUMIFS($Q:$Q,$J:$J,J68),"")</f>
        <v>3395.29</v>
      </c>
      <c r="S68" s="10">
        <v>3395.29</v>
      </c>
      <c r="T68" s="11" t="str">
        <f>IFERROR(INDEX(AD:AD,MATCH(J68,J:J,0)),"")</f>
        <v>Ok</v>
      </c>
      <c r="U68" s="12">
        <v>46150</v>
      </c>
      <c r="V68" s="10">
        <v>1072.1300000000001</v>
      </c>
      <c r="W68" s="10" t="str">
        <f t="shared" si="50"/>
        <v>Short Paid</v>
      </c>
      <c r="X68" t="s">
        <v>53</v>
      </c>
      <c r="Y68" t="s">
        <v>36</v>
      </c>
      <c r="Z68">
        <v>100149</v>
      </c>
      <c r="AA68" t="s">
        <v>207</v>
      </c>
      <c r="AB68" t="s">
        <v>70</v>
      </c>
      <c r="AC68" s="9">
        <v>3</v>
      </c>
      <c r="AD68" s="9" t="str">
        <f t="shared" si="51"/>
        <v>Ok</v>
      </c>
      <c r="AE68" s="11">
        <f t="shared" si="52"/>
        <v>0</v>
      </c>
    </row>
    <row r="69" spans="1:31" x14ac:dyDescent="0.3">
      <c r="A69">
        <v>15</v>
      </c>
      <c r="B69">
        <v>4871718</v>
      </c>
      <c r="C69" t="s">
        <v>35</v>
      </c>
      <c r="D69">
        <v>1852662</v>
      </c>
      <c r="E69" t="s">
        <v>78</v>
      </c>
      <c r="F69" t="s">
        <v>24</v>
      </c>
      <c r="G69" t="s">
        <v>152</v>
      </c>
      <c r="H69" t="s">
        <v>153</v>
      </c>
      <c r="I69" t="s">
        <v>298</v>
      </c>
      <c r="J69">
        <v>51153516762</v>
      </c>
      <c r="K69" t="s">
        <v>247</v>
      </c>
      <c r="L69" t="s">
        <v>399</v>
      </c>
      <c r="M69">
        <v>100</v>
      </c>
      <c r="N69" s="10">
        <v>8.94</v>
      </c>
      <c r="O69" s="10">
        <f t="shared" si="49"/>
        <v>894</v>
      </c>
      <c r="P69" s="10" t="s">
        <v>458</v>
      </c>
      <c r="Q69" s="10" t="s">
        <v>458</v>
      </c>
      <c r="R69" s="10" t="str">
        <f>IF(COUNTIF($J$2:J69,J69)=1,SUMIFS($O:$O,$J:$J,J69)+SUMIFS($P:$P,$J:$J,J69)+SUMIFS($Q:$Q,$J:$J,J69),"")</f>
        <v/>
      </c>
      <c r="S69" s="10" t="s">
        <v>458</v>
      </c>
      <c r="T69" s="11" t="str">
        <f>IFERROR(INDEX(AD:AD,MATCH(J69,J:J,0)),"")</f>
        <v>Ok</v>
      </c>
      <c r="U69" s="12">
        <v>46150</v>
      </c>
      <c r="V69" s="10">
        <v>1072.1300000000001</v>
      </c>
      <c r="W69" s="10" t="str">
        <f t="shared" si="50"/>
        <v>N/A</v>
      </c>
      <c r="X69" t="s">
        <v>53</v>
      </c>
      <c r="Y69" t="s">
        <v>36</v>
      </c>
      <c r="Z69">
        <v>100149</v>
      </c>
      <c r="AA69" t="s">
        <v>207</v>
      </c>
      <c r="AB69" t="s">
        <v>70</v>
      </c>
      <c r="AC69" s="9">
        <v>3</v>
      </c>
      <c r="AD69" s="9" t="str">
        <f t="shared" si="51"/>
        <v>N/A</v>
      </c>
      <c r="AE69" s="11" t="e">
        <f t="shared" si="52"/>
        <v>#VALUE!</v>
      </c>
    </row>
    <row r="70" spans="1:31" x14ac:dyDescent="0.3">
      <c r="A70">
        <v>15</v>
      </c>
      <c r="B70">
        <v>4871718</v>
      </c>
      <c r="C70" t="s">
        <v>35</v>
      </c>
      <c r="D70">
        <v>1852662</v>
      </c>
      <c r="E70" t="s">
        <v>78</v>
      </c>
      <c r="F70" t="s">
        <v>24</v>
      </c>
      <c r="G70" t="s">
        <v>152</v>
      </c>
      <c r="H70" t="s">
        <v>153</v>
      </c>
      <c r="I70" t="s">
        <v>298</v>
      </c>
      <c r="J70">
        <v>51153516762</v>
      </c>
      <c r="K70" t="s">
        <v>239</v>
      </c>
      <c r="L70" t="s">
        <v>344</v>
      </c>
      <c r="M70">
        <v>20000</v>
      </c>
      <c r="N70" s="10">
        <v>2.07E-2</v>
      </c>
      <c r="O70" s="10">
        <f t="shared" si="49"/>
        <v>414</v>
      </c>
      <c r="P70" s="10" t="s">
        <v>458</v>
      </c>
      <c r="Q70" s="10" t="s">
        <v>458</v>
      </c>
      <c r="R70" s="10" t="str">
        <f>IF(COUNTIF($J$2:J70,J70)=1,SUMIFS($O:$O,$J:$J,J70)+SUMIFS($P:$P,$J:$J,J70)+SUMIFS($Q:$Q,$J:$J,J70),"")</f>
        <v/>
      </c>
      <c r="S70" s="10" t="s">
        <v>458</v>
      </c>
      <c r="T70" s="11" t="str">
        <f>IFERROR(INDEX(AD:AD,MATCH(J70,J:J,0)),"")</f>
        <v>Ok</v>
      </c>
      <c r="U70" s="12">
        <v>46150</v>
      </c>
      <c r="V70" s="10">
        <v>1072.1300000000001</v>
      </c>
      <c r="W70" s="10" t="str">
        <f t="shared" si="50"/>
        <v>N/A</v>
      </c>
      <c r="X70" t="s">
        <v>53</v>
      </c>
      <c r="Y70" t="s">
        <v>36</v>
      </c>
      <c r="Z70">
        <v>100149</v>
      </c>
      <c r="AA70" t="s">
        <v>207</v>
      </c>
      <c r="AB70" t="s">
        <v>70</v>
      </c>
      <c r="AC70" s="9">
        <v>3</v>
      </c>
      <c r="AD70" s="9" t="str">
        <f t="shared" si="51"/>
        <v>N/A</v>
      </c>
      <c r="AE70" s="11" t="e">
        <f t="shared" si="52"/>
        <v>#VALUE!</v>
      </c>
    </row>
    <row r="71" spans="1:31" x14ac:dyDescent="0.3">
      <c r="A71">
        <v>15</v>
      </c>
      <c r="B71">
        <v>4871996</v>
      </c>
      <c r="C71" t="s">
        <v>35</v>
      </c>
      <c r="D71">
        <v>1852662</v>
      </c>
      <c r="E71" t="s">
        <v>78</v>
      </c>
      <c r="F71" t="s">
        <v>24</v>
      </c>
      <c r="G71" t="s">
        <v>190</v>
      </c>
      <c r="H71" t="s">
        <v>191</v>
      </c>
      <c r="I71" t="s">
        <v>264</v>
      </c>
      <c r="J71">
        <v>51153648551</v>
      </c>
      <c r="K71" t="s">
        <v>247</v>
      </c>
      <c r="L71" t="s">
        <v>400</v>
      </c>
      <c r="M71">
        <v>1</v>
      </c>
      <c r="N71" s="10">
        <v>1875</v>
      </c>
      <c r="O71" s="10">
        <f t="shared" si="49"/>
        <v>1875</v>
      </c>
      <c r="P71" s="10">
        <v>0</v>
      </c>
      <c r="Q71" s="10">
        <v>178.13</v>
      </c>
      <c r="R71" s="10">
        <f>IF(COUNTIF($J$2:J71,J71)=1,SUMIFS($O:$O,$J:$J,J71)+SUMIFS($P:$P,$J:$J,J71)+SUMIFS($Q:$Q,$J:$J,J71),"")</f>
        <v>2927.13</v>
      </c>
      <c r="S71" s="10">
        <v>2927.13</v>
      </c>
      <c r="T71" s="11" t="str">
        <f>IFERROR(INDEX(AD:AD,MATCH(J71,J:J,0)),"")</f>
        <v>Ok</v>
      </c>
      <c r="U71" s="12">
        <v>46150</v>
      </c>
      <c r="V71" s="10">
        <v>1052.1300000000001</v>
      </c>
      <c r="W71" s="10" t="str">
        <f t="shared" si="50"/>
        <v>Short Paid</v>
      </c>
      <c r="X71" t="s">
        <v>53</v>
      </c>
      <c r="Y71" t="s">
        <v>36</v>
      </c>
      <c r="Z71">
        <v>100189</v>
      </c>
      <c r="AA71" t="s">
        <v>214</v>
      </c>
      <c r="AB71" t="s">
        <v>70</v>
      </c>
      <c r="AC71" s="9">
        <v>2</v>
      </c>
      <c r="AD71" s="9" t="str">
        <f t="shared" si="51"/>
        <v>Ok</v>
      </c>
      <c r="AE71" s="11">
        <f t="shared" si="52"/>
        <v>0</v>
      </c>
    </row>
    <row r="72" spans="1:31" x14ac:dyDescent="0.3">
      <c r="A72">
        <v>15</v>
      </c>
      <c r="B72">
        <v>4871996</v>
      </c>
      <c r="C72" t="s">
        <v>35</v>
      </c>
      <c r="D72">
        <v>1852662</v>
      </c>
      <c r="E72" t="s">
        <v>78</v>
      </c>
      <c r="F72" t="s">
        <v>24</v>
      </c>
      <c r="G72" t="s">
        <v>190</v>
      </c>
      <c r="H72" t="s">
        <v>191</v>
      </c>
      <c r="I72" t="s">
        <v>264</v>
      </c>
      <c r="J72">
        <v>51153648551</v>
      </c>
      <c r="K72" t="s">
        <v>247</v>
      </c>
      <c r="L72" t="s">
        <v>401</v>
      </c>
      <c r="M72">
        <v>100</v>
      </c>
      <c r="N72" s="10">
        <v>8.74</v>
      </c>
      <c r="O72" s="10">
        <f t="shared" si="49"/>
        <v>874</v>
      </c>
      <c r="P72" s="10" t="s">
        <v>458</v>
      </c>
      <c r="Q72" s="10" t="s">
        <v>458</v>
      </c>
      <c r="R72" s="10" t="str">
        <f>IF(COUNTIF($J$2:J72,J72)=1,SUMIFS($O:$O,$J:$J,J72)+SUMIFS($P:$P,$J:$J,J72)+SUMIFS($Q:$Q,$J:$J,J72),"")</f>
        <v/>
      </c>
      <c r="S72" s="10" t="s">
        <v>458</v>
      </c>
      <c r="T72" s="11" t="str">
        <f>IFERROR(INDEX(AD:AD,MATCH(J72,J:J,0)),"")</f>
        <v>Ok</v>
      </c>
      <c r="U72" s="12">
        <v>46150</v>
      </c>
      <c r="V72" s="10">
        <v>1052.1300000000001</v>
      </c>
      <c r="W72" s="10" t="str">
        <f t="shared" si="50"/>
        <v>N/A</v>
      </c>
      <c r="X72" t="s">
        <v>53</v>
      </c>
      <c r="Y72" t="s">
        <v>36</v>
      </c>
      <c r="Z72">
        <v>100189</v>
      </c>
      <c r="AA72" t="s">
        <v>214</v>
      </c>
      <c r="AB72" t="s">
        <v>70</v>
      </c>
      <c r="AC72" s="9">
        <v>2</v>
      </c>
      <c r="AD72" s="9" t="str">
        <f t="shared" si="51"/>
        <v>N/A</v>
      </c>
      <c r="AE72" s="11" t="e">
        <f t="shared" si="52"/>
        <v>#VALUE!</v>
      </c>
    </row>
    <row r="73" spans="1:31" x14ac:dyDescent="0.3">
      <c r="A73">
        <v>15</v>
      </c>
      <c r="B73">
        <v>4872553</v>
      </c>
      <c r="C73" t="s">
        <v>35</v>
      </c>
      <c r="D73">
        <v>1852662</v>
      </c>
      <c r="E73" t="s">
        <v>78</v>
      </c>
      <c r="F73" t="s">
        <v>24</v>
      </c>
      <c r="G73" t="s">
        <v>156</v>
      </c>
      <c r="H73" t="s">
        <v>157</v>
      </c>
      <c r="I73" t="s">
        <v>222</v>
      </c>
      <c r="J73">
        <v>51153654369</v>
      </c>
      <c r="K73" t="s">
        <v>221</v>
      </c>
      <c r="L73" t="s">
        <v>402</v>
      </c>
      <c r="M73">
        <v>5</v>
      </c>
      <c r="N73" s="10">
        <v>4207.54</v>
      </c>
      <c r="O73" s="10">
        <f t="shared" si="49"/>
        <v>21037.7</v>
      </c>
      <c r="P73" s="10">
        <v>0</v>
      </c>
      <c r="Q73" s="10">
        <v>178.13</v>
      </c>
      <c r="R73" s="10">
        <f>IF(COUNTIF($J$2:J73,J73)=1,SUMIFS($O:$O,$J:$J,J73)+SUMIFS($P:$P,$J:$J,J73)+SUMIFS($Q:$Q,$J:$J,J73),"")</f>
        <v>23984.83</v>
      </c>
      <c r="S73" s="10">
        <v>23984.83</v>
      </c>
      <c r="T73" s="11" t="str">
        <f>IFERROR(INDEX(AD:AD,MATCH(J73,J:J,0)),"")</f>
        <v>Ok</v>
      </c>
      <c r="U73" s="12">
        <v>46157</v>
      </c>
      <c r="V73" s="10">
        <v>1072.1300000000001</v>
      </c>
      <c r="W73" s="10" t="str">
        <f t="shared" si="50"/>
        <v>Short Paid</v>
      </c>
      <c r="X73" t="s">
        <v>53</v>
      </c>
      <c r="Y73" t="s">
        <v>36</v>
      </c>
      <c r="Z73">
        <v>100269</v>
      </c>
      <c r="AA73" t="s">
        <v>216</v>
      </c>
      <c r="AB73" t="s">
        <v>70</v>
      </c>
      <c r="AC73" s="9">
        <v>3</v>
      </c>
      <c r="AD73" s="9" t="str">
        <f t="shared" si="51"/>
        <v>Ok</v>
      </c>
      <c r="AE73" s="11">
        <f t="shared" si="52"/>
        <v>0</v>
      </c>
    </row>
    <row r="74" spans="1:31" x14ac:dyDescent="0.3">
      <c r="A74">
        <v>15</v>
      </c>
      <c r="B74">
        <v>4872553</v>
      </c>
      <c r="C74" t="s">
        <v>35</v>
      </c>
      <c r="D74">
        <v>1852662</v>
      </c>
      <c r="E74" t="s">
        <v>78</v>
      </c>
      <c r="F74" t="s">
        <v>24</v>
      </c>
      <c r="G74" t="s">
        <v>156</v>
      </c>
      <c r="H74" t="s">
        <v>157</v>
      </c>
      <c r="I74" t="s">
        <v>251</v>
      </c>
      <c r="J74">
        <v>51153654369</v>
      </c>
      <c r="K74" t="s">
        <v>247</v>
      </c>
      <c r="L74" t="s">
        <v>403</v>
      </c>
      <c r="M74">
        <v>1</v>
      </c>
      <c r="N74" s="10">
        <v>1875</v>
      </c>
      <c r="O74" s="10">
        <f t="shared" si="49"/>
        <v>1875</v>
      </c>
      <c r="P74" s="10" t="s">
        <v>458</v>
      </c>
      <c r="Q74" s="10" t="s">
        <v>458</v>
      </c>
      <c r="R74" s="10" t="str">
        <f>IF(COUNTIF($J$2:J74,J74)=1,SUMIFS($O:$O,$J:$J,J74)+SUMIFS($P:$P,$J:$J,J74)+SUMIFS($Q:$Q,$J:$J,J74),"")</f>
        <v/>
      </c>
      <c r="S74" s="10" t="s">
        <v>458</v>
      </c>
      <c r="T74" s="11" t="str">
        <f>IFERROR(INDEX(AD:AD,MATCH(J74,J:J,0)),"")</f>
        <v>Ok</v>
      </c>
      <c r="U74" s="12">
        <v>46157</v>
      </c>
      <c r="V74" s="10">
        <v>1072.1300000000001</v>
      </c>
      <c r="W74" s="10" t="str">
        <f t="shared" si="50"/>
        <v>N/A</v>
      </c>
      <c r="X74" t="s">
        <v>53</v>
      </c>
      <c r="Y74" t="s">
        <v>36</v>
      </c>
      <c r="Z74">
        <v>100269</v>
      </c>
      <c r="AA74" t="s">
        <v>216</v>
      </c>
      <c r="AB74" t="s">
        <v>70</v>
      </c>
      <c r="AC74" s="9">
        <v>3</v>
      </c>
      <c r="AD74" s="9" t="str">
        <f t="shared" si="51"/>
        <v>N/A</v>
      </c>
      <c r="AE74" s="11" t="e">
        <f t="shared" si="52"/>
        <v>#VALUE!</v>
      </c>
    </row>
    <row r="75" spans="1:31" x14ac:dyDescent="0.3">
      <c r="A75">
        <v>15</v>
      </c>
      <c r="B75">
        <v>4872553</v>
      </c>
      <c r="C75" t="s">
        <v>35</v>
      </c>
      <c r="D75">
        <v>1852662</v>
      </c>
      <c r="E75" t="s">
        <v>78</v>
      </c>
      <c r="F75" t="s">
        <v>24</v>
      </c>
      <c r="G75" t="s">
        <v>156</v>
      </c>
      <c r="H75" t="s">
        <v>157</v>
      </c>
      <c r="I75" t="s">
        <v>251</v>
      </c>
      <c r="J75">
        <v>51153654369</v>
      </c>
      <c r="K75" t="s">
        <v>247</v>
      </c>
      <c r="L75" t="s">
        <v>404</v>
      </c>
      <c r="M75">
        <v>100</v>
      </c>
      <c r="N75" s="10">
        <v>8.94</v>
      </c>
      <c r="O75" s="10">
        <f t="shared" si="49"/>
        <v>894</v>
      </c>
      <c r="P75" s="10" t="s">
        <v>458</v>
      </c>
      <c r="Q75" s="10" t="s">
        <v>458</v>
      </c>
      <c r="R75" s="10" t="str">
        <f>IF(COUNTIF($J$2:J75,J75)=1,SUMIFS($O:$O,$J:$J,J75)+SUMIFS($P:$P,$J:$J,J75)+SUMIFS($Q:$Q,$J:$J,J75),"")</f>
        <v/>
      </c>
      <c r="S75" s="10" t="s">
        <v>458</v>
      </c>
      <c r="T75" s="11" t="str">
        <f>IFERROR(INDEX(AD:AD,MATCH(J75,J:J,0)),"")</f>
        <v>Ok</v>
      </c>
      <c r="U75" s="12">
        <v>46157</v>
      </c>
      <c r="V75" s="10">
        <v>1072.1300000000001</v>
      </c>
      <c r="W75" s="10" t="str">
        <f t="shared" si="50"/>
        <v>N/A</v>
      </c>
      <c r="X75" t="s">
        <v>53</v>
      </c>
      <c r="Y75" t="s">
        <v>36</v>
      </c>
      <c r="Z75">
        <v>100269</v>
      </c>
      <c r="AA75" t="s">
        <v>216</v>
      </c>
      <c r="AB75" t="s">
        <v>70</v>
      </c>
      <c r="AC75" s="9">
        <v>3</v>
      </c>
      <c r="AD75" s="9" t="str">
        <f t="shared" si="51"/>
        <v>N/A</v>
      </c>
      <c r="AE75" s="11" t="e">
        <f t="shared" si="52"/>
        <v>#VALUE!</v>
      </c>
    </row>
    <row r="76" spans="1:31" x14ac:dyDescent="0.3">
      <c r="A76">
        <v>15</v>
      </c>
      <c r="B76">
        <v>4872831</v>
      </c>
      <c r="C76" t="s">
        <v>35</v>
      </c>
      <c r="D76">
        <v>1852662</v>
      </c>
      <c r="E76" t="s">
        <v>78</v>
      </c>
      <c r="F76" t="s">
        <v>24</v>
      </c>
      <c r="G76" t="s">
        <v>194</v>
      </c>
      <c r="H76" t="s">
        <v>195</v>
      </c>
      <c r="I76" t="s">
        <v>252</v>
      </c>
      <c r="J76">
        <v>51153666338</v>
      </c>
      <c r="K76" t="s">
        <v>247</v>
      </c>
      <c r="L76" t="s">
        <v>405</v>
      </c>
      <c r="M76">
        <v>1</v>
      </c>
      <c r="N76" s="10">
        <v>1875</v>
      </c>
      <c r="O76" s="10">
        <f t="shared" si="49"/>
        <v>1875</v>
      </c>
      <c r="P76" s="10">
        <v>0</v>
      </c>
      <c r="Q76" s="10">
        <v>178.13</v>
      </c>
      <c r="R76" s="10">
        <f>IF(COUNTIF($J$2:J76,J76)=1,SUMIFS($O:$O,$J:$J,J76)+SUMIFS($P:$P,$J:$J,J76)+SUMIFS($Q:$Q,$J:$J,J76),"")</f>
        <v>2927.13</v>
      </c>
      <c r="S76" s="10">
        <v>2927.13</v>
      </c>
      <c r="T76" s="11" t="str">
        <f>IFERROR(INDEX(AD:AD,MATCH(J76,J:J,0)),"")</f>
        <v>Ok</v>
      </c>
      <c r="U76" s="12">
        <v>46157</v>
      </c>
      <c r="V76" s="10">
        <v>1052.1300000000001</v>
      </c>
      <c r="W76" s="10" t="str">
        <f t="shared" si="50"/>
        <v>Short Paid</v>
      </c>
      <c r="X76" t="s">
        <v>53</v>
      </c>
      <c r="Y76" t="s">
        <v>36</v>
      </c>
      <c r="Z76">
        <v>100109</v>
      </c>
      <c r="AA76" t="s">
        <v>215</v>
      </c>
      <c r="AB76" t="s">
        <v>70</v>
      </c>
      <c r="AC76" s="9">
        <v>2</v>
      </c>
      <c r="AD76" s="9" t="str">
        <f t="shared" si="51"/>
        <v>Ok</v>
      </c>
      <c r="AE76" s="11">
        <f t="shared" si="52"/>
        <v>0</v>
      </c>
    </row>
    <row r="77" spans="1:31" x14ac:dyDescent="0.3">
      <c r="A77">
        <v>15</v>
      </c>
      <c r="B77">
        <v>4872831</v>
      </c>
      <c r="C77" t="s">
        <v>35</v>
      </c>
      <c r="D77">
        <v>1852662</v>
      </c>
      <c r="E77" t="s">
        <v>78</v>
      </c>
      <c r="F77" t="s">
        <v>24</v>
      </c>
      <c r="G77" t="s">
        <v>194</v>
      </c>
      <c r="H77" t="s">
        <v>195</v>
      </c>
      <c r="I77" t="s">
        <v>252</v>
      </c>
      <c r="J77">
        <v>51153666338</v>
      </c>
      <c r="K77" t="s">
        <v>247</v>
      </c>
      <c r="L77" t="s">
        <v>406</v>
      </c>
      <c r="M77">
        <v>100</v>
      </c>
      <c r="N77" s="10">
        <v>8.74</v>
      </c>
      <c r="O77" s="10">
        <f t="shared" si="49"/>
        <v>874</v>
      </c>
      <c r="P77" s="10" t="s">
        <v>458</v>
      </c>
      <c r="Q77" s="10" t="s">
        <v>458</v>
      </c>
      <c r="R77" s="10" t="str">
        <f>IF(COUNTIF($J$2:J77,J77)=1,SUMIFS($O:$O,$J:$J,J77)+SUMIFS($P:$P,$J:$J,J77)+SUMIFS($Q:$Q,$J:$J,J77),"")</f>
        <v/>
      </c>
      <c r="S77" s="10" t="s">
        <v>458</v>
      </c>
      <c r="T77" s="11" t="str">
        <f>IFERROR(INDEX(AD:AD,MATCH(J77,J:J,0)),"")</f>
        <v>Ok</v>
      </c>
      <c r="U77" s="12">
        <v>46157</v>
      </c>
      <c r="V77" s="10">
        <v>1052.1300000000001</v>
      </c>
      <c r="W77" s="10" t="str">
        <f t="shared" si="50"/>
        <v>N/A</v>
      </c>
      <c r="X77" t="s">
        <v>53</v>
      </c>
      <c r="Y77" t="s">
        <v>36</v>
      </c>
      <c r="Z77">
        <v>100109</v>
      </c>
      <c r="AA77" t="s">
        <v>215</v>
      </c>
      <c r="AB77" t="s">
        <v>70</v>
      </c>
      <c r="AC77" s="9">
        <v>2</v>
      </c>
      <c r="AD77" s="9" t="str">
        <f t="shared" si="51"/>
        <v>N/A</v>
      </c>
      <c r="AE77" s="11" t="e">
        <f t="shared" si="52"/>
        <v>#VALUE!</v>
      </c>
    </row>
    <row r="78" spans="1:31" x14ac:dyDescent="0.3">
      <c r="A78">
        <v>29</v>
      </c>
      <c r="B78">
        <v>4763187</v>
      </c>
      <c r="C78" t="s">
        <v>35</v>
      </c>
      <c r="D78">
        <v>1963277</v>
      </c>
      <c r="E78" t="s">
        <v>50</v>
      </c>
      <c r="F78" t="s">
        <v>18</v>
      </c>
      <c r="G78" t="s">
        <v>129</v>
      </c>
      <c r="H78" t="s">
        <v>130</v>
      </c>
      <c r="I78" t="s">
        <v>267</v>
      </c>
      <c r="J78">
        <v>51153876742</v>
      </c>
      <c r="K78" t="s">
        <v>223</v>
      </c>
      <c r="L78" t="s">
        <v>248</v>
      </c>
      <c r="M78">
        <v>20000</v>
      </c>
      <c r="N78" s="10">
        <v>1.6469999999999999E-2</v>
      </c>
      <c r="O78" s="10">
        <f t="shared" si="49"/>
        <v>329.4</v>
      </c>
      <c r="P78" s="10">
        <v>0</v>
      </c>
      <c r="Q78" s="10">
        <v>0</v>
      </c>
      <c r="R78" s="10">
        <f>IF(COUNTIF($J$2:J78,J78)=1,SUMIFS($O:$O,$J:$J,J78)+SUMIFS($P:$P,$J:$J,J78)+SUMIFS($Q:$Q,$J:$J,J78),"")</f>
        <v>1393.65</v>
      </c>
      <c r="S78" s="10">
        <v>1748.4</v>
      </c>
      <c r="T78" s="11" t="str">
        <f>IFERROR(INDEX(AD:AD,MATCH(J78,J:J,0)),"")</f>
        <v>Check</v>
      </c>
      <c r="U78" s="12">
        <v>46058</v>
      </c>
      <c r="V78" s="10">
        <v>1059</v>
      </c>
      <c r="W78" s="10" t="str">
        <f t="shared" si="50"/>
        <v>Short Paid</v>
      </c>
      <c r="X78" t="s">
        <v>53</v>
      </c>
      <c r="Y78" t="s">
        <v>25</v>
      </c>
      <c r="Z78">
        <v>100249</v>
      </c>
      <c r="AA78" t="s">
        <v>60</v>
      </c>
      <c r="AB78" t="s">
        <v>71</v>
      </c>
      <c r="AC78" s="9">
        <v>2</v>
      </c>
      <c r="AD78" s="9" t="str">
        <f t="shared" si="51"/>
        <v>Check</v>
      </c>
      <c r="AE78" s="11">
        <f t="shared" si="52"/>
        <v>-354.75</v>
      </c>
    </row>
    <row r="79" spans="1:31" x14ac:dyDescent="0.3">
      <c r="A79">
        <v>29</v>
      </c>
      <c r="B79">
        <v>4763187</v>
      </c>
      <c r="C79" t="s">
        <v>35</v>
      </c>
      <c r="D79">
        <v>1963277</v>
      </c>
      <c r="E79" t="s">
        <v>50</v>
      </c>
      <c r="F79" t="s">
        <v>18</v>
      </c>
      <c r="G79" t="s">
        <v>129</v>
      </c>
      <c r="H79" t="s">
        <v>130</v>
      </c>
      <c r="I79" t="s">
        <v>275</v>
      </c>
      <c r="J79">
        <v>51153876742</v>
      </c>
      <c r="K79" t="s">
        <v>340</v>
      </c>
      <c r="L79" t="s">
        <v>339</v>
      </c>
      <c r="M79">
        <v>9000</v>
      </c>
      <c r="N79" s="10">
        <v>0.11825000000000001</v>
      </c>
      <c r="O79" s="10">
        <f t="shared" si="49"/>
        <v>1064.25</v>
      </c>
      <c r="P79" s="10" t="s">
        <v>458</v>
      </c>
      <c r="Q79" s="10" t="s">
        <v>458</v>
      </c>
      <c r="R79" s="10" t="str">
        <f>IF(COUNTIF($J$2:J79,J79)=1,SUMIFS($O:$O,$J:$J,J79)+SUMIFS($P:$P,$J:$J,J79)+SUMIFS($Q:$Q,$J:$J,J79),"")</f>
        <v/>
      </c>
      <c r="S79" s="10" t="s">
        <v>458</v>
      </c>
      <c r="T79" s="11" t="str">
        <f>IFERROR(INDEX(AD:AD,MATCH(J79,J:J,0)),"")</f>
        <v>Check</v>
      </c>
      <c r="U79" s="12">
        <v>46058</v>
      </c>
      <c r="V79" s="10">
        <v>1059</v>
      </c>
      <c r="W79" s="10" t="str">
        <f t="shared" si="50"/>
        <v>N/A</v>
      </c>
      <c r="X79" t="s">
        <v>53</v>
      </c>
      <c r="Y79" t="s">
        <v>25</v>
      </c>
      <c r="Z79">
        <v>100249</v>
      </c>
      <c r="AA79" t="s">
        <v>60</v>
      </c>
      <c r="AB79" t="s">
        <v>71</v>
      </c>
      <c r="AC79" s="9">
        <v>2</v>
      </c>
      <c r="AD79" s="9" t="str">
        <f t="shared" si="51"/>
        <v>N/A</v>
      </c>
      <c r="AE79" s="11" t="e">
        <f t="shared" si="52"/>
        <v>#VALUE!</v>
      </c>
    </row>
    <row r="80" spans="1:31" x14ac:dyDescent="0.3">
      <c r="A80">
        <v>29</v>
      </c>
      <c r="B80">
        <v>4762074</v>
      </c>
      <c r="C80" t="s">
        <v>35</v>
      </c>
      <c r="D80">
        <v>1028943</v>
      </c>
      <c r="E80" t="s">
        <v>87</v>
      </c>
      <c r="F80" t="s">
        <v>20</v>
      </c>
      <c r="G80" t="s">
        <v>127</v>
      </c>
      <c r="H80" t="s">
        <v>128</v>
      </c>
      <c r="I80" t="s">
        <v>278</v>
      </c>
      <c r="J80">
        <v>51153876856</v>
      </c>
      <c r="K80" t="s">
        <v>293</v>
      </c>
      <c r="L80" t="s">
        <v>407</v>
      </c>
      <c r="M80">
        <v>112000</v>
      </c>
      <c r="N80" s="10">
        <v>2.0039999999999999E-2</v>
      </c>
      <c r="O80" s="10">
        <f t="shared" si="49"/>
        <v>2244.48</v>
      </c>
      <c r="P80" s="10">
        <v>0</v>
      </c>
      <c r="Q80" s="10">
        <v>133.4</v>
      </c>
      <c r="R80" s="10">
        <f>IF(COUNTIF($J$2:J80,J80)=1,SUMIFS($O:$O,$J:$J,J80)+SUMIFS($P:$P,$J:$J,J80)+SUMIFS($Q:$Q,$J:$J,J80),"")</f>
        <v>2957.88</v>
      </c>
      <c r="S80" s="10">
        <v>2957.88</v>
      </c>
      <c r="T80" s="11" t="str">
        <f>IFERROR(INDEX(AD:AD,MATCH(J80,J:J,0)),"")</f>
        <v>Ok</v>
      </c>
      <c r="U80" s="12">
        <v>46112</v>
      </c>
      <c r="V80" s="10">
        <v>713.4</v>
      </c>
      <c r="W80" s="10" t="str">
        <f t="shared" si="50"/>
        <v>Short Paid</v>
      </c>
      <c r="X80" t="s">
        <v>53</v>
      </c>
      <c r="Y80" t="s">
        <v>25</v>
      </c>
      <c r="Z80">
        <v>100169</v>
      </c>
      <c r="AA80" t="s">
        <v>63</v>
      </c>
      <c r="AB80" t="s">
        <v>69</v>
      </c>
      <c r="AC80" s="9">
        <v>2</v>
      </c>
      <c r="AD80" s="9" t="str">
        <f t="shared" si="51"/>
        <v>Ok</v>
      </c>
      <c r="AE80" s="11">
        <f t="shared" si="52"/>
        <v>0</v>
      </c>
    </row>
    <row r="81" spans="1:31" x14ac:dyDescent="0.3">
      <c r="A81">
        <v>29</v>
      </c>
      <c r="B81">
        <v>4762074</v>
      </c>
      <c r="C81" t="s">
        <v>35</v>
      </c>
      <c r="D81">
        <v>1028943</v>
      </c>
      <c r="E81" t="s">
        <v>87</v>
      </c>
      <c r="F81" t="s">
        <v>20</v>
      </c>
      <c r="G81" t="s">
        <v>127</v>
      </c>
      <c r="H81" t="s">
        <v>128</v>
      </c>
      <c r="I81" t="s">
        <v>244</v>
      </c>
      <c r="J81">
        <v>51153876856</v>
      </c>
      <c r="K81" t="s">
        <v>236</v>
      </c>
      <c r="L81" t="s">
        <v>408</v>
      </c>
      <c r="M81">
        <v>2000</v>
      </c>
      <c r="N81" s="10">
        <v>0.28999999999999998</v>
      </c>
      <c r="O81" s="10">
        <f t="shared" si="49"/>
        <v>580</v>
      </c>
      <c r="P81" s="10" t="s">
        <v>458</v>
      </c>
      <c r="Q81" s="10" t="s">
        <v>458</v>
      </c>
      <c r="R81" s="10" t="str">
        <f>IF(COUNTIF($J$2:J81,J81)=1,SUMIFS($O:$O,$J:$J,J81)+SUMIFS($P:$P,$J:$J,J81)+SUMIFS($Q:$Q,$J:$J,J81),"")</f>
        <v/>
      </c>
      <c r="S81" s="10" t="s">
        <v>458</v>
      </c>
      <c r="T81" s="11" t="str">
        <f>IFERROR(INDEX(AD:AD,MATCH(J81,J:J,0)),"")</f>
        <v>Ok</v>
      </c>
      <c r="U81" s="12">
        <v>46112</v>
      </c>
      <c r="V81" s="10">
        <v>713.4</v>
      </c>
      <c r="W81" s="10" t="str">
        <f t="shared" si="50"/>
        <v>N/A</v>
      </c>
      <c r="X81" t="s">
        <v>53</v>
      </c>
      <c r="Y81" t="s">
        <v>25</v>
      </c>
      <c r="Z81">
        <v>100169</v>
      </c>
      <c r="AA81" t="s">
        <v>63</v>
      </c>
      <c r="AB81" t="s">
        <v>69</v>
      </c>
      <c r="AC81" s="9">
        <v>2</v>
      </c>
      <c r="AD81" s="9" t="str">
        <f t="shared" si="51"/>
        <v>N/A</v>
      </c>
      <c r="AE81" s="11" t="e">
        <f t="shared" si="52"/>
        <v>#VALUE!</v>
      </c>
    </row>
    <row r="82" spans="1:31" x14ac:dyDescent="0.3">
      <c r="A82">
        <v>29</v>
      </c>
      <c r="B82">
        <v>4761796</v>
      </c>
      <c r="C82" t="s">
        <v>35</v>
      </c>
      <c r="D82">
        <v>1028943</v>
      </c>
      <c r="E82" t="s">
        <v>87</v>
      </c>
      <c r="F82" t="s">
        <v>20</v>
      </c>
      <c r="G82" t="s">
        <v>125</v>
      </c>
      <c r="H82" t="s">
        <v>126</v>
      </c>
      <c r="I82" t="s">
        <v>233</v>
      </c>
      <c r="J82">
        <v>51153876907</v>
      </c>
      <c r="K82" t="s">
        <v>350</v>
      </c>
      <c r="L82" t="s">
        <v>409</v>
      </c>
      <c r="M82">
        <v>24000</v>
      </c>
      <c r="N82" s="10">
        <v>0.13800000000000001</v>
      </c>
      <c r="O82" s="10">
        <f t="shared" si="49"/>
        <v>3312.0000000000005</v>
      </c>
      <c r="P82" s="10">
        <v>0</v>
      </c>
      <c r="Q82" s="10">
        <v>133.4</v>
      </c>
      <c r="R82" s="10">
        <f>IF(COUNTIF($J$2:J82,J82)=1,SUMIFS($O:$O,$J:$J,J82)+SUMIFS($P:$P,$J:$J,J82)+SUMIFS($Q:$Q,$J:$J,J82),"")</f>
        <v>4025.4000000000005</v>
      </c>
      <c r="S82" s="10">
        <v>4025.4</v>
      </c>
      <c r="T82" s="11" t="str">
        <f>IFERROR(INDEX(AD:AD,MATCH(J82,J:J,0)),"")</f>
        <v>Ok</v>
      </c>
      <c r="U82" s="12">
        <v>46111</v>
      </c>
      <c r="V82" s="10">
        <v>713.4</v>
      </c>
      <c r="W82" s="10" t="str">
        <f t="shared" si="50"/>
        <v>Short Paid</v>
      </c>
      <c r="X82" t="s">
        <v>53</v>
      </c>
      <c r="Y82" t="s">
        <v>25</v>
      </c>
      <c r="Z82">
        <v>100159</v>
      </c>
      <c r="AA82" t="s">
        <v>62</v>
      </c>
      <c r="AB82" t="s">
        <v>69</v>
      </c>
      <c r="AC82" s="9">
        <v>2</v>
      </c>
      <c r="AD82" s="9" t="str">
        <f t="shared" si="51"/>
        <v>Ok</v>
      </c>
      <c r="AE82" s="11">
        <f t="shared" si="52"/>
        <v>0</v>
      </c>
    </row>
    <row r="83" spans="1:31" x14ac:dyDescent="0.3">
      <c r="A83">
        <v>29</v>
      </c>
      <c r="B83">
        <v>4761796</v>
      </c>
      <c r="C83" t="s">
        <v>35</v>
      </c>
      <c r="D83">
        <v>1028943</v>
      </c>
      <c r="E83" t="s">
        <v>87</v>
      </c>
      <c r="F83" t="s">
        <v>20</v>
      </c>
      <c r="G83" t="s">
        <v>125</v>
      </c>
      <c r="H83" t="s">
        <v>126</v>
      </c>
      <c r="I83" t="s">
        <v>268</v>
      </c>
      <c r="J83">
        <v>51153876907</v>
      </c>
      <c r="K83" t="s">
        <v>236</v>
      </c>
      <c r="L83" t="s">
        <v>408</v>
      </c>
      <c r="M83">
        <v>2000</v>
      </c>
      <c r="N83" s="10">
        <v>0.28999999999999998</v>
      </c>
      <c r="O83" s="10">
        <f t="shared" si="49"/>
        <v>580</v>
      </c>
      <c r="P83" s="10" t="s">
        <v>458</v>
      </c>
      <c r="Q83" s="10" t="s">
        <v>458</v>
      </c>
      <c r="R83" s="10" t="str">
        <f>IF(COUNTIF($J$2:J83,J83)=1,SUMIFS($O:$O,$J:$J,J83)+SUMIFS($P:$P,$J:$J,J83)+SUMIFS($Q:$Q,$J:$J,J83),"")</f>
        <v/>
      </c>
      <c r="S83" s="10" t="s">
        <v>458</v>
      </c>
      <c r="T83" s="11" t="str">
        <f>IFERROR(INDEX(AD:AD,MATCH(J83,J:J,0)),"")</f>
        <v>Ok</v>
      </c>
      <c r="U83" s="12">
        <v>46111</v>
      </c>
      <c r="V83" s="10">
        <v>713.4</v>
      </c>
      <c r="W83" s="10" t="str">
        <f t="shared" si="50"/>
        <v>N/A</v>
      </c>
      <c r="X83" t="s">
        <v>53</v>
      </c>
      <c r="Y83" t="s">
        <v>25</v>
      </c>
      <c r="Z83">
        <v>100159</v>
      </c>
      <c r="AA83" t="s">
        <v>62</v>
      </c>
      <c r="AB83" t="s">
        <v>69</v>
      </c>
      <c r="AC83" s="9">
        <v>2</v>
      </c>
      <c r="AD83" s="9" t="str">
        <f t="shared" si="51"/>
        <v>N/A</v>
      </c>
      <c r="AE83" s="11" t="e">
        <f t="shared" si="52"/>
        <v>#VALUE!</v>
      </c>
    </row>
    <row r="84" spans="1:31" x14ac:dyDescent="0.3">
      <c r="A84">
        <v>23</v>
      </c>
      <c r="B84">
        <v>4836376</v>
      </c>
      <c r="C84" t="s">
        <v>35</v>
      </c>
      <c r="D84">
        <v>1963277</v>
      </c>
      <c r="E84" t="s">
        <v>50</v>
      </c>
      <c r="F84" t="s">
        <v>19</v>
      </c>
      <c r="G84" t="s">
        <v>145</v>
      </c>
      <c r="H84" t="s">
        <v>146</v>
      </c>
      <c r="I84" t="s">
        <v>322</v>
      </c>
      <c r="J84">
        <v>51153917419</v>
      </c>
      <c r="K84" t="s">
        <v>382</v>
      </c>
      <c r="L84" t="s">
        <v>410</v>
      </c>
      <c r="M84">
        <v>24000</v>
      </c>
      <c r="N84" s="10">
        <v>0.22559999999999999</v>
      </c>
      <c r="O84" s="10">
        <f t="shared" si="49"/>
        <v>5414.4</v>
      </c>
      <c r="P84" s="10">
        <v>0</v>
      </c>
      <c r="Q84" s="10">
        <v>0</v>
      </c>
      <c r="R84" s="10">
        <f>IF(COUNTIF($J$2:J84,J84)=1,SUMIFS($O:$O,$J:$J,J84)+SUMIFS($P:$P,$J:$J,J84)+SUMIFS($Q:$Q,$J:$J,J84),"")</f>
        <v>8406.4</v>
      </c>
      <c r="S84" s="10">
        <v>8406.4</v>
      </c>
      <c r="T84" s="11" t="str">
        <f>IFERROR(INDEX(AD:AD,MATCH(J84,J:J,0)),"")</f>
        <v>Ok</v>
      </c>
      <c r="U84" s="12">
        <v>46063</v>
      </c>
      <c r="V84" s="10">
        <v>5414.4</v>
      </c>
      <c r="W84" s="10" t="str">
        <f t="shared" si="50"/>
        <v>Short Paid</v>
      </c>
      <c r="X84" t="s">
        <v>53</v>
      </c>
      <c r="Y84" t="s">
        <v>25</v>
      </c>
      <c r="Z84">
        <v>100119</v>
      </c>
      <c r="AA84" t="s">
        <v>64</v>
      </c>
      <c r="AB84" t="s">
        <v>72</v>
      </c>
      <c r="AC84" s="9">
        <v>2</v>
      </c>
      <c r="AD84" s="9" t="str">
        <f t="shared" si="51"/>
        <v>Ok</v>
      </c>
      <c r="AE84" s="11">
        <f t="shared" si="52"/>
        <v>0</v>
      </c>
    </row>
    <row r="85" spans="1:31" x14ac:dyDescent="0.3">
      <c r="A85">
        <v>23</v>
      </c>
      <c r="B85">
        <v>4836376</v>
      </c>
      <c r="C85" t="s">
        <v>35</v>
      </c>
      <c r="D85">
        <v>1963277</v>
      </c>
      <c r="E85" t="s">
        <v>50</v>
      </c>
      <c r="F85" t="s">
        <v>19</v>
      </c>
      <c r="G85" t="s">
        <v>145</v>
      </c>
      <c r="H85" t="s">
        <v>146</v>
      </c>
      <c r="I85" t="s">
        <v>300</v>
      </c>
      <c r="J85">
        <v>51153917419</v>
      </c>
      <c r="K85" t="s">
        <v>242</v>
      </c>
      <c r="L85" t="s">
        <v>241</v>
      </c>
      <c r="M85">
        <v>160000</v>
      </c>
      <c r="N85" s="10">
        <v>1.8700000000000001E-2</v>
      </c>
      <c r="O85" s="10">
        <f t="shared" si="49"/>
        <v>2992</v>
      </c>
      <c r="P85" s="10" t="s">
        <v>458</v>
      </c>
      <c r="Q85" s="10" t="s">
        <v>458</v>
      </c>
      <c r="R85" s="10" t="str">
        <f>IF(COUNTIF($J$2:J85,J85)=1,SUMIFS($O:$O,$J:$J,J85)+SUMIFS($P:$P,$J:$J,J85)+SUMIFS($Q:$Q,$J:$J,J85),"")</f>
        <v/>
      </c>
      <c r="S85" s="10" t="s">
        <v>458</v>
      </c>
      <c r="T85" s="11" t="str">
        <f>IFERROR(INDEX(AD:AD,MATCH(J85,J:J,0)),"")</f>
        <v>Ok</v>
      </c>
      <c r="U85" s="12">
        <v>46063</v>
      </c>
      <c r="V85" s="10">
        <v>5414.4</v>
      </c>
      <c r="W85" s="10" t="str">
        <f t="shared" si="50"/>
        <v>N/A</v>
      </c>
      <c r="X85" t="s">
        <v>53</v>
      </c>
      <c r="Y85" t="s">
        <v>25</v>
      </c>
      <c r="Z85">
        <v>100119</v>
      </c>
      <c r="AA85" t="s">
        <v>64</v>
      </c>
      <c r="AB85" t="s">
        <v>72</v>
      </c>
      <c r="AC85" s="9">
        <v>2</v>
      </c>
      <c r="AD85" s="9" t="str">
        <f t="shared" si="51"/>
        <v>N/A</v>
      </c>
      <c r="AE85" s="11" t="e">
        <f t="shared" si="52"/>
        <v>#VALUE!</v>
      </c>
    </row>
    <row r="86" spans="1:31" x14ac:dyDescent="0.3">
      <c r="A86">
        <v>9</v>
      </c>
      <c r="B86">
        <v>4907895</v>
      </c>
      <c r="C86" t="s">
        <v>35</v>
      </c>
      <c r="D86">
        <v>1852662</v>
      </c>
      <c r="E86" t="s">
        <v>78</v>
      </c>
      <c r="F86" t="s">
        <v>24</v>
      </c>
      <c r="G86" t="s">
        <v>162</v>
      </c>
      <c r="H86" t="s">
        <v>163</v>
      </c>
      <c r="I86" t="s">
        <v>233</v>
      </c>
      <c r="J86">
        <v>51154235292</v>
      </c>
      <c r="K86" t="s">
        <v>247</v>
      </c>
      <c r="L86" t="s">
        <v>411</v>
      </c>
      <c r="M86">
        <v>1</v>
      </c>
      <c r="N86" s="10">
        <v>1875</v>
      </c>
      <c r="O86" s="10">
        <f t="shared" ref="O86:O88" si="53">M86*N86</f>
        <v>1875</v>
      </c>
      <c r="P86" s="10">
        <v>0</v>
      </c>
      <c r="Q86" s="10">
        <v>178.13</v>
      </c>
      <c r="R86" s="10">
        <f>IF(COUNTIF($J$2:J86,J86)=1,SUMIFS($O:$O,$J:$J,J86)+SUMIFS($P:$P,$J:$J,J86)+SUMIFS($Q:$Q,$J:$J,J86),"")</f>
        <v>4945.5700000000006</v>
      </c>
      <c r="S86" s="10">
        <v>4945.57</v>
      </c>
      <c r="T86" s="11" t="str">
        <f>IFERROR(INDEX(AD:AD,MATCH(J86,J:J,0)),"")</f>
        <v>Ok</v>
      </c>
      <c r="U86" s="12">
        <v>46081</v>
      </c>
      <c r="V86" s="10">
        <v>2053.13</v>
      </c>
      <c r="W86" s="10" t="str">
        <f t="shared" ref="W86:W88" si="54">IF(OR(S86="",V86=""),"N/A",IF(S86&lt;&gt;V86,"Short Paid","Not Paid"))</f>
        <v>Short Paid</v>
      </c>
      <c r="X86" t="s">
        <v>53</v>
      </c>
      <c r="Y86" t="s">
        <v>36</v>
      </c>
      <c r="Z86">
        <v>100269</v>
      </c>
      <c r="AA86" t="s">
        <v>216</v>
      </c>
      <c r="AB86" t="s">
        <v>70</v>
      </c>
      <c r="AC86" s="9">
        <v>3</v>
      </c>
      <c r="AD86" s="9" t="str">
        <f t="shared" ref="AD86:AD88" si="55">IF(AND(R86="",S86=""),"N/A",IF(R86=S86,"Ok","Check"))</f>
        <v>Ok</v>
      </c>
      <c r="AE86" s="11">
        <f t="shared" ref="AE86:AE88" si="56">R86-S86</f>
        <v>0</v>
      </c>
    </row>
    <row r="87" spans="1:31" x14ac:dyDescent="0.3">
      <c r="A87">
        <v>9</v>
      </c>
      <c r="B87">
        <v>4907895</v>
      </c>
      <c r="C87" t="s">
        <v>35</v>
      </c>
      <c r="D87">
        <v>1852662</v>
      </c>
      <c r="E87" t="s">
        <v>78</v>
      </c>
      <c r="F87" t="s">
        <v>24</v>
      </c>
      <c r="G87" t="s">
        <v>162</v>
      </c>
      <c r="H87" t="s">
        <v>163</v>
      </c>
      <c r="I87" t="s">
        <v>233</v>
      </c>
      <c r="J87">
        <v>51154235292</v>
      </c>
      <c r="K87" t="s">
        <v>247</v>
      </c>
      <c r="L87" t="s">
        <v>412</v>
      </c>
      <c r="M87">
        <v>100</v>
      </c>
      <c r="N87" s="10">
        <v>9.2899999999999991</v>
      </c>
      <c r="O87" s="10">
        <f t="shared" si="53"/>
        <v>928.99999999999989</v>
      </c>
      <c r="P87" s="10" t="s">
        <v>458</v>
      </c>
      <c r="Q87" s="10" t="s">
        <v>458</v>
      </c>
      <c r="R87" s="10" t="str">
        <f>IF(COUNTIF($J$2:J87,J87)=1,SUMIFS($O:$O,$J:$J,J87)+SUMIFS($P:$P,$J:$J,J87)+SUMIFS($Q:$Q,$J:$J,J87),"")</f>
        <v/>
      </c>
      <c r="S87" s="10" t="s">
        <v>458</v>
      </c>
      <c r="T87" s="11" t="str">
        <f>IFERROR(INDEX(AD:AD,MATCH(J87,J:J,0)),"")</f>
        <v>Ok</v>
      </c>
      <c r="U87" s="12">
        <v>46081</v>
      </c>
      <c r="V87" s="10">
        <v>2053.13</v>
      </c>
      <c r="W87" s="10" t="str">
        <f t="shared" si="54"/>
        <v>N/A</v>
      </c>
      <c r="X87" t="s">
        <v>53</v>
      </c>
      <c r="Y87" t="s">
        <v>36</v>
      </c>
      <c r="Z87">
        <v>100269</v>
      </c>
      <c r="AA87" t="s">
        <v>216</v>
      </c>
      <c r="AB87" t="s">
        <v>70</v>
      </c>
      <c r="AC87" s="9">
        <v>3</v>
      </c>
      <c r="AD87" s="9" t="str">
        <f t="shared" si="55"/>
        <v>N/A</v>
      </c>
      <c r="AE87" s="11" t="e">
        <f t="shared" si="56"/>
        <v>#VALUE!</v>
      </c>
    </row>
    <row r="88" spans="1:31" x14ac:dyDescent="0.3">
      <c r="A88">
        <v>9</v>
      </c>
      <c r="B88">
        <v>4907895</v>
      </c>
      <c r="C88" t="s">
        <v>35</v>
      </c>
      <c r="D88">
        <v>1852662</v>
      </c>
      <c r="E88" t="s">
        <v>78</v>
      </c>
      <c r="F88" t="s">
        <v>24</v>
      </c>
      <c r="G88" t="s">
        <v>162</v>
      </c>
      <c r="H88" t="s">
        <v>163</v>
      </c>
      <c r="I88" t="s">
        <v>342</v>
      </c>
      <c r="J88">
        <v>51154235292</v>
      </c>
      <c r="K88" t="s">
        <v>227</v>
      </c>
      <c r="L88" t="s">
        <v>371</v>
      </c>
      <c r="M88">
        <v>303</v>
      </c>
      <c r="N88" s="10">
        <v>6.48</v>
      </c>
      <c r="O88" s="10">
        <f t="shared" si="53"/>
        <v>1963.44</v>
      </c>
      <c r="P88" s="10" t="s">
        <v>458</v>
      </c>
      <c r="Q88" s="10" t="s">
        <v>458</v>
      </c>
      <c r="R88" s="10" t="str">
        <f>IF(COUNTIF($J$2:J88,J88)=1,SUMIFS($O:$O,$J:$J,J88)+SUMIFS($P:$P,$J:$J,J88)+SUMIFS($Q:$Q,$J:$J,J88),"")</f>
        <v/>
      </c>
      <c r="S88" s="10" t="s">
        <v>458</v>
      </c>
      <c r="T88" s="11" t="str">
        <f>IFERROR(INDEX(AD:AD,MATCH(J88,J:J,0)),"")</f>
        <v>Ok</v>
      </c>
      <c r="U88" s="12">
        <v>46081</v>
      </c>
      <c r="V88" s="10">
        <v>2053.13</v>
      </c>
      <c r="W88" s="10" t="str">
        <f t="shared" si="54"/>
        <v>N/A</v>
      </c>
      <c r="X88" t="s">
        <v>53</v>
      </c>
      <c r="Y88" t="s">
        <v>36</v>
      </c>
      <c r="Z88">
        <v>100269</v>
      </c>
      <c r="AA88" t="s">
        <v>216</v>
      </c>
      <c r="AB88" t="s">
        <v>70</v>
      </c>
      <c r="AC88" s="9">
        <v>3</v>
      </c>
      <c r="AD88" s="9" t="str">
        <f t="shared" si="55"/>
        <v>N/A</v>
      </c>
      <c r="AE88" s="11" t="e">
        <f t="shared" si="56"/>
        <v>#VALUE!</v>
      </c>
    </row>
    <row r="89" spans="1:31" x14ac:dyDescent="0.3">
      <c r="A89">
        <v>24</v>
      </c>
      <c r="B89">
        <v>4833315</v>
      </c>
      <c r="C89" t="s">
        <v>35</v>
      </c>
      <c r="D89">
        <v>1373071</v>
      </c>
      <c r="E89" t="s">
        <v>76</v>
      </c>
      <c r="F89" t="s">
        <v>40</v>
      </c>
      <c r="G89" t="s">
        <v>141</v>
      </c>
      <c r="H89" t="s">
        <v>142</v>
      </c>
      <c r="I89" t="s">
        <v>335</v>
      </c>
      <c r="J89">
        <v>51155316230</v>
      </c>
      <c r="K89" t="s">
        <v>223</v>
      </c>
      <c r="L89" t="s">
        <v>415</v>
      </c>
      <c r="M89">
        <v>12000</v>
      </c>
      <c r="N89" s="10">
        <v>0.16400000000000001</v>
      </c>
      <c r="O89" s="10">
        <f t="shared" ref="O89" si="57">M89*N89</f>
        <v>1968</v>
      </c>
      <c r="P89" s="10">
        <v>0</v>
      </c>
      <c r="Q89" s="10">
        <v>0</v>
      </c>
      <c r="R89" s="10">
        <f>IF(COUNTIF($J$2:J89,J89)=1,SUMIFS($O:$O,$J:$J,J89)+SUMIFS($P:$P,$J:$J,J89)+SUMIFS($Q:$Q,$J:$J,J89),"")</f>
        <v>30501.5</v>
      </c>
      <c r="S89" s="10">
        <v>30501.5</v>
      </c>
      <c r="T89" s="11" t="str">
        <f>IFERROR(INDEX(AD:AD,MATCH(J89,J:J,0)),"")</f>
        <v>Ok</v>
      </c>
      <c r="U89" s="12">
        <v>46010</v>
      </c>
      <c r="V89" s="10">
        <v>28533.5</v>
      </c>
      <c r="W89" s="10" t="str">
        <f t="shared" ref="W89" si="58">IF(OR(S89="",V89=""),"N/A",IF(S89&lt;&gt;V89,"Short Paid","Not Paid"))</f>
        <v>Short Paid</v>
      </c>
      <c r="X89" t="s">
        <v>53</v>
      </c>
      <c r="Y89" t="s">
        <v>25</v>
      </c>
      <c r="Z89">
        <v>100289</v>
      </c>
      <c r="AA89" t="s">
        <v>54</v>
      </c>
      <c r="AB89" t="s">
        <v>205</v>
      </c>
      <c r="AC89" s="9">
        <v>2</v>
      </c>
      <c r="AD89" s="9" t="str">
        <f t="shared" ref="AD89" si="59">IF(AND(R89="",S89=""),"N/A",IF(R89=S89,"Ok","Check"))</f>
        <v>Ok</v>
      </c>
      <c r="AE89" s="11">
        <f t="shared" ref="AE89:AE90" si="60">R89-S89</f>
        <v>0</v>
      </c>
    </row>
    <row r="90" spans="1:31" x14ac:dyDescent="0.3">
      <c r="A90">
        <v>24</v>
      </c>
      <c r="B90">
        <v>4833315</v>
      </c>
      <c r="C90" t="s">
        <v>35</v>
      </c>
      <c r="D90">
        <v>1373071</v>
      </c>
      <c r="E90" t="s">
        <v>76</v>
      </c>
      <c r="F90" t="s">
        <v>40</v>
      </c>
      <c r="G90" t="s">
        <v>141</v>
      </c>
      <c r="H90" t="s">
        <v>142</v>
      </c>
      <c r="I90" t="s">
        <v>228</v>
      </c>
      <c r="J90">
        <v>51155316230</v>
      </c>
      <c r="K90" t="s">
        <v>262</v>
      </c>
      <c r="L90" t="s">
        <v>416</v>
      </c>
      <c r="M90">
        <v>19150</v>
      </c>
      <c r="N90" s="10">
        <v>1.49</v>
      </c>
      <c r="O90" s="10">
        <f t="shared" ref="O90:O96" si="61">M90*N90</f>
        <v>28533.5</v>
      </c>
      <c r="P90" s="10" t="s">
        <v>458</v>
      </c>
      <c r="Q90" s="10" t="s">
        <v>458</v>
      </c>
      <c r="R90" s="10" t="str">
        <f>IF(COUNTIF($J$2:J90,J90)=1,SUMIFS($O:$O,$J:$J,J90)+SUMIFS($P:$P,$J:$J,J90)+SUMIFS($Q:$Q,$J:$J,J90),"")</f>
        <v/>
      </c>
      <c r="S90" s="10" t="s">
        <v>458</v>
      </c>
      <c r="T90" s="11" t="str">
        <f>IFERROR(INDEX(AD:AD,MATCH(J90,J:J,0)),"")</f>
        <v>Ok</v>
      </c>
      <c r="U90" s="12">
        <v>46010</v>
      </c>
      <c r="V90" s="10">
        <v>28533.5</v>
      </c>
      <c r="W90" s="10" t="str">
        <f t="shared" ref="W90:W96" si="62">IF(OR(S90="",V90=""),"N/A",IF(S90&lt;&gt;V90,"Short Paid","Not Paid"))</f>
        <v>N/A</v>
      </c>
      <c r="X90" t="s">
        <v>53</v>
      </c>
      <c r="Y90" t="s">
        <v>25</v>
      </c>
      <c r="Z90">
        <v>100289</v>
      </c>
      <c r="AA90" t="s">
        <v>54</v>
      </c>
      <c r="AB90" t="s">
        <v>205</v>
      </c>
      <c r="AC90" s="9">
        <v>2</v>
      </c>
      <c r="AD90" s="9" t="str">
        <f t="shared" ref="AD90:AD96" si="63">IF(AND(R90="",S90=""),"N/A",IF(R90=S90,"Ok","Check"))</f>
        <v>N/A</v>
      </c>
      <c r="AE90" s="11" t="e">
        <f t="shared" si="60"/>
        <v>#VALUE!</v>
      </c>
    </row>
    <row r="91" spans="1:31" x14ac:dyDescent="0.3">
      <c r="A91">
        <v>24</v>
      </c>
      <c r="B91">
        <v>4832758</v>
      </c>
      <c r="C91" t="s">
        <v>35</v>
      </c>
      <c r="D91">
        <v>1373071</v>
      </c>
      <c r="E91" t="s">
        <v>76</v>
      </c>
      <c r="F91" t="s">
        <v>18</v>
      </c>
      <c r="G91" t="s">
        <v>139</v>
      </c>
      <c r="H91" t="s">
        <v>140</v>
      </c>
      <c r="I91" t="s">
        <v>224</v>
      </c>
      <c r="J91">
        <v>51155473932</v>
      </c>
      <c r="K91" t="s">
        <v>413</v>
      </c>
      <c r="L91" t="s">
        <v>417</v>
      </c>
      <c r="M91">
        <v>6000</v>
      </c>
      <c r="N91" s="10">
        <v>8.5000000000000006E-2</v>
      </c>
      <c r="O91" s="10">
        <f t="shared" si="61"/>
        <v>510.00000000000006</v>
      </c>
      <c r="P91" s="10">
        <v>0</v>
      </c>
      <c r="Q91" s="10">
        <v>0</v>
      </c>
      <c r="R91" s="10">
        <f>IF(COUNTIF($J$2:J91,J91)=1,SUMIFS($O:$O,$J:$J,J91)+SUMIFS($P:$P,$J:$J,J91)+SUMIFS($Q:$Q,$J:$J,J91),"")</f>
        <v>2567.25</v>
      </c>
      <c r="S91" s="10">
        <v>2567.25</v>
      </c>
      <c r="T91" s="11" t="str">
        <f>IFERROR(INDEX(AD:AD,MATCH(J91,J:J,0)),"")</f>
        <v>Ok</v>
      </c>
      <c r="U91" s="12">
        <v>45965</v>
      </c>
      <c r="V91" s="10">
        <v>510</v>
      </c>
      <c r="W91" s="10" t="str">
        <f t="shared" si="62"/>
        <v>Short Paid</v>
      </c>
      <c r="X91" t="s">
        <v>53</v>
      </c>
      <c r="Y91" t="s">
        <v>25</v>
      </c>
      <c r="Z91">
        <v>100249</v>
      </c>
      <c r="AA91" t="s">
        <v>60</v>
      </c>
      <c r="AB91" t="s">
        <v>71</v>
      </c>
      <c r="AC91" s="9">
        <v>2</v>
      </c>
      <c r="AD91" s="9" t="str">
        <f t="shared" si="63"/>
        <v>Ok</v>
      </c>
      <c r="AE91" s="11">
        <f t="shared" ref="AE91:AE96" si="64">R91-S91</f>
        <v>0</v>
      </c>
    </row>
    <row r="92" spans="1:31" x14ac:dyDescent="0.3">
      <c r="A92">
        <v>24</v>
      </c>
      <c r="B92">
        <v>4832758</v>
      </c>
      <c r="C92" t="s">
        <v>35</v>
      </c>
      <c r="D92">
        <v>1373071</v>
      </c>
      <c r="E92" t="s">
        <v>76</v>
      </c>
      <c r="F92" t="s">
        <v>18</v>
      </c>
      <c r="G92" t="s">
        <v>139</v>
      </c>
      <c r="H92" t="s">
        <v>140</v>
      </c>
      <c r="I92" t="s">
        <v>310</v>
      </c>
      <c r="J92">
        <v>51155473932</v>
      </c>
      <c r="K92" t="s">
        <v>292</v>
      </c>
      <c r="L92" t="s">
        <v>294</v>
      </c>
      <c r="M92">
        <v>7500</v>
      </c>
      <c r="N92" s="10">
        <v>0.27429999999999999</v>
      </c>
      <c r="O92" s="10">
        <f t="shared" si="61"/>
        <v>2057.25</v>
      </c>
      <c r="P92" s="10" t="s">
        <v>458</v>
      </c>
      <c r="Q92" s="10" t="s">
        <v>458</v>
      </c>
      <c r="R92" s="10" t="str">
        <f>IF(COUNTIF($J$2:J92,J92)=1,SUMIFS($O:$O,$J:$J,J92)+SUMIFS($P:$P,$J:$J,J92)+SUMIFS($Q:$Q,$J:$J,J92),"")</f>
        <v/>
      </c>
      <c r="S92" s="10" t="s">
        <v>458</v>
      </c>
      <c r="T92" s="11" t="str">
        <f>IFERROR(INDEX(AD:AD,MATCH(J92,J:J,0)),"")</f>
        <v>Ok</v>
      </c>
      <c r="U92" s="12">
        <v>45965</v>
      </c>
      <c r="V92" s="10">
        <v>510</v>
      </c>
      <c r="W92" s="10" t="str">
        <f t="shared" si="62"/>
        <v>N/A</v>
      </c>
      <c r="X92" t="s">
        <v>53</v>
      </c>
      <c r="Y92" t="s">
        <v>25</v>
      </c>
      <c r="Z92">
        <v>100249</v>
      </c>
      <c r="AA92" t="s">
        <v>60</v>
      </c>
      <c r="AB92" t="s">
        <v>71</v>
      </c>
      <c r="AC92" s="9">
        <v>2</v>
      </c>
      <c r="AD92" s="9" t="str">
        <f t="shared" si="63"/>
        <v>N/A</v>
      </c>
      <c r="AE92" s="11" t="e">
        <f t="shared" si="64"/>
        <v>#VALUE!</v>
      </c>
    </row>
    <row r="93" spans="1:31" x14ac:dyDescent="0.3">
      <c r="A93">
        <v>20</v>
      </c>
      <c r="B93">
        <v>4856134</v>
      </c>
      <c r="C93" t="s">
        <v>35</v>
      </c>
      <c r="D93">
        <v>1395048</v>
      </c>
      <c r="E93" t="s">
        <v>89</v>
      </c>
      <c r="F93" t="s">
        <v>24</v>
      </c>
      <c r="G93" t="s">
        <v>147</v>
      </c>
      <c r="H93" t="s">
        <v>148</v>
      </c>
      <c r="I93" t="s">
        <v>283</v>
      </c>
      <c r="J93">
        <v>51155486918</v>
      </c>
      <c r="K93" t="s">
        <v>297</v>
      </c>
      <c r="L93" t="s">
        <v>346</v>
      </c>
      <c r="M93">
        <v>8000</v>
      </c>
      <c r="N93" s="10">
        <v>3.8620000000000002E-2</v>
      </c>
      <c r="O93" s="10">
        <f t="shared" si="61"/>
        <v>308.96000000000004</v>
      </c>
      <c r="P93" s="10">
        <v>25.49</v>
      </c>
      <c r="Q93" s="10">
        <v>0</v>
      </c>
      <c r="R93" s="10">
        <f>IF(COUNTIF($J$2:J93,J93)=1,SUMIFS($O:$O,$J:$J,J93)+SUMIFS($P:$P,$J:$J,J93)+SUMIFS($Q:$Q,$J:$J,J93),"")</f>
        <v>15194.749999999998</v>
      </c>
      <c r="S93" s="10">
        <v>15194.75</v>
      </c>
      <c r="T93" s="11" t="str">
        <f>IFERROR(INDEX(AD:AD,MATCH(J93,J:J,0)),"")</f>
        <v>Ok</v>
      </c>
      <c r="U93" s="12">
        <v>46084</v>
      </c>
      <c r="V93" s="10">
        <v>276.89999999999998</v>
      </c>
      <c r="W93" s="10" t="str">
        <f t="shared" si="62"/>
        <v>Short Paid</v>
      </c>
      <c r="X93" t="s">
        <v>53</v>
      </c>
      <c r="Y93" t="s">
        <v>36</v>
      </c>
      <c r="Z93">
        <v>100109</v>
      </c>
      <c r="AA93" t="s">
        <v>215</v>
      </c>
      <c r="AB93" t="s">
        <v>70</v>
      </c>
      <c r="AC93" s="9">
        <v>2</v>
      </c>
      <c r="AD93" s="9" t="str">
        <f t="shared" si="63"/>
        <v>Ok</v>
      </c>
      <c r="AE93" s="11">
        <f t="shared" si="64"/>
        <v>0</v>
      </c>
    </row>
    <row r="94" spans="1:31" x14ac:dyDescent="0.3">
      <c r="A94">
        <v>20</v>
      </c>
      <c r="B94">
        <v>4856134</v>
      </c>
      <c r="C94" t="s">
        <v>35</v>
      </c>
      <c r="D94">
        <v>1395048</v>
      </c>
      <c r="E94" t="s">
        <v>89</v>
      </c>
      <c r="F94" t="s">
        <v>24</v>
      </c>
      <c r="G94" t="s">
        <v>147</v>
      </c>
      <c r="H94" t="s">
        <v>148</v>
      </c>
      <c r="I94" t="s">
        <v>253</v>
      </c>
      <c r="J94">
        <v>51155486918</v>
      </c>
      <c r="K94" t="s">
        <v>414</v>
      </c>
      <c r="L94" t="s">
        <v>418</v>
      </c>
      <c r="M94">
        <v>161</v>
      </c>
      <c r="N94" s="10">
        <v>92.3</v>
      </c>
      <c r="O94" s="10">
        <f t="shared" si="61"/>
        <v>14860.3</v>
      </c>
      <c r="P94" s="10" t="s">
        <v>458</v>
      </c>
      <c r="Q94" s="10" t="s">
        <v>458</v>
      </c>
      <c r="R94" s="10" t="str">
        <f>IF(COUNTIF($J$2:J94,J94)=1,SUMIFS($O:$O,$J:$J,J94)+SUMIFS($P:$P,$J:$J,J94)+SUMIFS($Q:$Q,$J:$J,J94),"")</f>
        <v/>
      </c>
      <c r="S94" s="10" t="s">
        <v>458</v>
      </c>
      <c r="T94" s="11" t="str">
        <f>IFERROR(INDEX(AD:AD,MATCH(J94,J:J,0)),"")</f>
        <v>Ok</v>
      </c>
      <c r="U94" s="12">
        <v>46084</v>
      </c>
      <c r="V94" s="10">
        <v>276.89999999999998</v>
      </c>
      <c r="W94" s="10" t="str">
        <f t="shared" si="62"/>
        <v>N/A</v>
      </c>
      <c r="X94" t="s">
        <v>53</v>
      </c>
      <c r="Y94" t="s">
        <v>36</v>
      </c>
      <c r="Z94">
        <v>100109</v>
      </c>
      <c r="AA94" t="s">
        <v>215</v>
      </c>
      <c r="AB94" t="s">
        <v>70</v>
      </c>
      <c r="AC94" s="9">
        <v>2</v>
      </c>
      <c r="AD94" s="9" t="str">
        <f t="shared" si="63"/>
        <v>N/A</v>
      </c>
      <c r="AE94" s="11" t="e">
        <f t="shared" si="64"/>
        <v>#VALUE!</v>
      </c>
    </row>
    <row r="95" spans="1:31" x14ac:dyDescent="0.3">
      <c r="A95">
        <v>24</v>
      </c>
      <c r="B95">
        <v>4833593</v>
      </c>
      <c r="C95" t="s">
        <v>35</v>
      </c>
      <c r="D95">
        <v>1373071</v>
      </c>
      <c r="E95" t="s">
        <v>76</v>
      </c>
      <c r="F95" t="s">
        <v>20</v>
      </c>
      <c r="G95" t="s">
        <v>143</v>
      </c>
      <c r="H95" t="s">
        <v>144</v>
      </c>
      <c r="I95" t="s">
        <v>303</v>
      </c>
      <c r="J95">
        <v>51155787719</v>
      </c>
      <c r="K95" t="s">
        <v>221</v>
      </c>
      <c r="L95" t="s">
        <v>419</v>
      </c>
      <c r="M95">
        <v>234000</v>
      </c>
      <c r="N95" s="10">
        <v>7.3000000000000001E-3</v>
      </c>
      <c r="O95" s="10">
        <f t="shared" si="61"/>
        <v>1708.2</v>
      </c>
      <c r="P95" s="10">
        <v>17.079999999999998</v>
      </c>
      <c r="Q95" s="10">
        <v>0</v>
      </c>
      <c r="R95" s="10">
        <f>IF(COUNTIF($J$2:J95,J95)=1,SUMIFS($O:$O,$J:$J,J95)+SUMIFS($P:$P,$J:$J,J95)+SUMIFS($Q:$Q,$J:$J,J95),"")</f>
        <v>1932.28</v>
      </c>
      <c r="S95" s="10">
        <v>1932.28</v>
      </c>
      <c r="T95" s="11" t="str">
        <f>IFERROR(INDEX(AD:AD,MATCH(J95,J:J,0)),"")</f>
        <v>Ok</v>
      </c>
      <c r="U95" s="12">
        <v>45958</v>
      </c>
      <c r="V95" s="10">
        <v>1708.2</v>
      </c>
      <c r="W95" s="10" t="str">
        <f t="shared" si="62"/>
        <v>Short Paid</v>
      </c>
      <c r="X95" t="s">
        <v>53</v>
      </c>
      <c r="Y95" t="s">
        <v>25</v>
      </c>
      <c r="Z95">
        <v>100119</v>
      </c>
      <c r="AA95" t="s">
        <v>64</v>
      </c>
      <c r="AB95" t="s">
        <v>69</v>
      </c>
      <c r="AC95" s="9">
        <v>2</v>
      </c>
      <c r="AD95" s="9" t="str">
        <f t="shared" si="63"/>
        <v>Ok</v>
      </c>
      <c r="AE95" s="11">
        <f t="shared" si="64"/>
        <v>0</v>
      </c>
    </row>
    <row r="96" spans="1:31" x14ac:dyDescent="0.3">
      <c r="A96">
        <v>24</v>
      </c>
      <c r="B96">
        <v>4833593</v>
      </c>
      <c r="C96" t="s">
        <v>35</v>
      </c>
      <c r="D96">
        <v>1373071</v>
      </c>
      <c r="E96" t="s">
        <v>76</v>
      </c>
      <c r="F96" t="s">
        <v>20</v>
      </c>
      <c r="G96" t="s">
        <v>143</v>
      </c>
      <c r="H96" t="s">
        <v>144</v>
      </c>
      <c r="I96" t="s">
        <v>307</v>
      </c>
      <c r="J96">
        <v>51155787719</v>
      </c>
      <c r="K96" t="s">
        <v>239</v>
      </c>
      <c r="L96" t="s">
        <v>344</v>
      </c>
      <c r="M96">
        <v>10000</v>
      </c>
      <c r="N96" s="10">
        <v>2.07E-2</v>
      </c>
      <c r="O96" s="10">
        <f t="shared" si="61"/>
        <v>207</v>
      </c>
      <c r="P96" s="10" t="s">
        <v>458</v>
      </c>
      <c r="Q96" s="10" t="s">
        <v>458</v>
      </c>
      <c r="R96" s="10" t="str">
        <f>IF(COUNTIF($J$2:J96,J96)=1,SUMIFS($O:$O,$J:$J,J96)+SUMIFS($P:$P,$J:$J,J96)+SUMIFS($Q:$Q,$J:$J,J96),"")</f>
        <v/>
      </c>
      <c r="S96" s="10" t="s">
        <v>458</v>
      </c>
      <c r="T96" s="11" t="str">
        <f>IFERROR(INDEX(AD:AD,MATCH(J96,J:J,0)),"")</f>
        <v>Ok</v>
      </c>
      <c r="U96" s="12">
        <v>45958</v>
      </c>
      <c r="V96" s="10">
        <v>1708.2</v>
      </c>
      <c r="W96" s="10" t="str">
        <f t="shared" si="62"/>
        <v>N/A</v>
      </c>
      <c r="X96" t="s">
        <v>53</v>
      </c>
      <c r="Y96" t="s">
        <v>25</v>
      </c>
      <c r="Z96">
        <v>100119</v>
      </c>
      <c r="AA96" t="s">
        <v>64</v>
      </c>
      <c r="AB96" t="s">
        <v>69</v>
      </c>
      <c r="AC96" s="9">
        <v>2</v>
      </c>
      <c r="AD96" s="9" t="str">
        <f t="shared" si="63"/>
        <v>N/A</v>
      </c>
      <c r="AE96" s="11" t="e">
        <f t="shared" si="64"/>
        <v>#VALUE!</v>
      </c>
    </row>
    <row r="97" spans="1:31" x14ac:dyDescent="0.3">
      <c r="A97">
        <v>15</v>
      </c>
      <c r="B97">
        <v>4873109</v>
      </c>
      <c r="C97" t="s">
        <v>35</v>
      </c>
      <c r="D97">
        <v>1852662</v>
      </c>
      <c r="E97" t="s">
        <v>78</v>
      </c>
      <c r="F97" t="s">
        <v>24</v>
      </c>
      <c r="G97" t="s">
        <v>192</v>
      </c>
      <c r="H97" t="s">
        <v>193</v>
      </c>
      <c r="I97" t="s">
        <v>289</v>
      </c>
      <c r="J97">
        <v>51156173587</v>
      </c>
      <c r="K97" t="s">
        <v>247</v>
      </c>
      <c r="L97" t="s">
        <v>420</v>
      </c>
      <c r="M97">
        <v>1</v>
      </c>
      <c r="N97" s="10">
        <v>1875</v>
      </c>
      <c r="O97" s="10">
        <f t="shared" ref="O97:O102" si="65">M97*N97</f>
        <v>1875</v>
      </c>
      <c r="P97" s="10">
        <v>0</v>
      </c>
      <c r="Q97" s="10">
        <v>178.13</v>
      </c>
      <c r="R97" s="10">
        <f>IF(COUNTIF($J$2:J97,J97)=1,SUMIFS($O:$O,$J:$J,J97)+SUMIFS($P:$P,$J:$J,J97)+SUMIFS($Q:$Q,$J:$J,J97),"")</f>
        <v>2947.13</v>
      </c>
      <c r="S97" s="10">
        <v>2947.13</v>
      </c>
      <c r="T97" s="11" t="str">
        <f>IFERROR(INDEX(AD:AD,MATCH(J97,J:J,0)),"")</f>
        <v>Ok</v>
      </c>
      <c r="U97" s="12">
        <v>46157</v>
      </c>
      <c r="V97" s="10">
        <v>1072.1300000000001</v>
      </c>
      <c r="W97" s="10" t="str">
        <f t="shared" ref="W97:W102" si="66">IF(OR(S97="",V97=""),"N/A",IF(S97&lt;&gt;V97,"Short Paid","Not Paid"))</f>
        <v>Short Paid</v>
      </c>
      <c r="X97" t="s">
        <v>53</v>
      </c>
      <c r="Y97" t="s">
        <v>36</v>
      </c>
      <c r="Z97">
        <v>100149</v>
      </c>
      <c r="AA97" t="s">
        <v>207</v>
      </c>
      <c r="AB97" t="s">
        <v>70</v>
      </c>
      <c r="AC97" s="9">
        <v>2</v>
      </c>
      <c r="AD97" s="9" t="str">
        <f t="shared" ref="AD97:AD102" si="67">IF(AND(R97="",S97=""),"N/A",IF(R97=S97,"Ok","Check"))</f>
        <v>Ok</v>
      </c>
      <c r="AE97" s="11">
        <f t="shared" ref="AE97:AE102" si="68">R97-S97</f>
        <v>0</v>
      </c>
    </row>
    <row r="98" spans="1:31" x14ac:dyDescent="0.3">
      <c r="A98">
        <v>15</v>
      </c>
      <c r="B98">
        <v>4873109</v>
      </c>
      <c r="C98" t="s">
        <v>35</v>
      </c>
      <c r="D98">
        <v>1852662</v>
      </c>
      <c r="E98" t="s">
        <v>78</v>
      </c>
      <c r="F98" t="s">
        <v>24</v>
      </c>
      <c r="G98" t="s">
        <v>192</v>
      </c>
      <c r="H98" t="s">
        <v>193</v>
      </c>
      <c r="I98" t="s">
        <v>289</v>
      </c>
      <c r="J98">
        <v>51156173587</v>
      </c>
      <c r="K98" t="s">
        <v>247</v>
      </c>
      <c r="L98" t="s">
        <v>421</v>
      </c>
      <c r="M98">
        <v>100</v>
      </c>
      <c r="N98" s="10">
        <v>8.94</v>
      </c>
      <c r="O98" s="10">
        <f t="shared" si="65"/>
        <v>894</v>
      </c>
      <c r="P98" s="10" t="s">
        <v>458</v>
      </c>
      <c r="Q98" s="10" t="s">
        <v>458</v>
      </c>
      <c r="R98" s="10" t="str">
        <f>IF(COUNTIF($J$2:J98,J98)=1,SUMIFS($O:$O,$J:$J,J98)+SUMIFS($P:$P,$J:$J,J98)+SUMIFS($Q:$Q,$J:$J,J98),"")</f>
        <v/>
      </c>
      <c r="S98" s="10" t="s">
        <v>458</v>
      </c>
      <c r="T98" s="11" t="str">
        <f>IFERROR(INDEX(AD:AD,MATCH(J98,J:J,0)),"")</f>
        <v>Ok</v>
      </c>
      <c r="U98" s="12">
        <v>46157</v>
      </c>
      <c r="V98" s="10">
        <v>1072.1300000000001</v>
      </c>
      <c r="W98" s="10" t="str">
        <f t="shared" si="66"/>
        <v>N/A</v>
      </c>
      <c r="X98" t="s">
        <v>53</v>
      </c>
      <c r="Y98" t="s">
        <v>36</v>
      </c>
      <c r="Z98">
        <v>100149</v>
      </c>
      <c r="AA98" t="s">
        <v>207</v>
      </c>
      <c r="AB98" t="s">
        <v>70</v>
      </c>
      <c r="AC98" s="9">
        <v>2</v>
      </c>
      <c r="AD98" s="9" t="str">
        <f t="shared" si="67"/>
        <v>N/A</v>
      </c>
      <c r="AE98" s="11" t="e">
        <f t="shared" si="68"/>
        <v>#VALUE!</v>
      </c>
    </row>
    <row r="99" spans="1:31" x14ac:dyDescent="0.3">
      <c r="A99">
        <v>24</v>
      </c>
      <c r="B99">
        <v>4831923</v>
      </c>
      <c r="C99" t="s">
        <v>35</v>
      </c>
      <c r="D99">
        <v>1373071</v>
      </c>
      <c r="E99" t="s">
        <v>76</v>
      </c>
      <c r="F99" t="s">
        <v>20</v>
      </c>
      <c r="G99" t="s">
        <v>135</v>
      </c>
      <c r="H99" t="s">
        <v>136</v>
      </c>
      <c r="I99" t="s">
        <v>264</v>
      </c>
      <c r="J99">
        <v>51156187835</v>
      </c>
      <c r="K99" t="s">
        <v>221</v>
      </c>
      <c r="L99" t="s">
        <v>320</v>
      </c>
      <c r="M99">
        <v>57000</v>
      </c>
      <c r="N99" s="10">
        <v>0.17269999999999999</v>
      </c>
      <c r="O99" s="10">
        <f t="shared" si="65"/>
        <v>9843.9</v>
      </c>
      <c r="P99" s="10">
        <v>812.12</v>
      </c>
      <c r="Q99" s="10">
        <v>193.52</v>
      </c>
      <c r="R99" s="10">
        <f>IF(COUNTIF($J$2:J99,J99)=1,SUMIFS($O:$O,$J:$J,J99)+SUMIFS($P:$P,$J:$J,J99)+SUMIFS($Q:$Q,$J:$J,J99),"")</f>
        <v>11868.04</v>
      </c>
      <c r="S99" s="10">
        <v>11868.04</v>
      </c>
      <c r="T99" s="11" t="str">
        <f>IFERROR(INDEX(AD:AD,MATCH(J99,J:J,0)),"")</f>
        <v>Ok</v>
      </c>
      <c r="U99" s="12">
        <v>45945</v>
      </c>
      <c r="V99" s="10">
        <v>1212.02</v>
      </c>
      <c r="W99" s="10" t="str">
        <f t="shared" si="66"/>
        <v>Short Paid</v>
      </c>
      <c r="X99" t="s">
        <v>53</v>
      </c>
      <c r="Y99" t="s">
        <v>25</v>
      </c>
      <c r="Z99">
        <v>100199</v>
      </c>
      <c r="AA99" t="s">
        <v>57</v>
      </c>
      <c r="AB99" t="s">
        <v>69</v>
      </c>
      <c r="AC99" s="9">
        <v>2</v>
      </c>
      <c r="AD99" s="9" t="str">
        <f t="shared" si="67"/>
        <v>Ok</v>
      </c>
      <c r="AE99" s="11">
        <f t="shared" si="68"/>
        <v>0</v>
      </c>
    </row>
    <row r="100" spans="1:31" x14ac:dyDescent="0.3">
      <c r="A100">
        <v>24</v>
      </c>
      <c r="B100">
        <v>4831923</v>
      </c>
      <c r="C100" t="s">
        <v>35</v>
      </c>
      <c r="D100">
        <v>1373071</v>
      </c>
      <c r="E100" t="s">
        <v>76</v>
      </c>
      <c r="F100" t="s">
        <v>20</v>
      </c>
      <c r="G100" t="s">
        <v>135</v>
      </c>
      <c r="H100" t="s">
        <v>136</v>
      </c>
      <c r="I100" t="s">
        <v>338</v>
      </c>
      <c r="J100">
        <v>51156187835</v>
      </c>
      <c r="K100" t="s">
        <v>270</v>
      </c>
      <c r="L100" t="s">
        <v>422</v>
      </c>
      <c r="M100">
        <v>210000</v>
      </c>
      <c r="N100" s="10">
        <v>4.8500000000000001E-3</v>
      </c>
      <c r="O100" s="10">
        <f t="shared" si="65"/>
        <v>1018.5</v>
      </c>
      <c r="P100" s="10" t="s">
        <v>458</v>
      </c>
      <c r="Q100" s="10" t="s">
        <v>458</v>
      </c>
      <c r="R100" s="10" t="str">
        <f>IF(COUNTIF($J$2:J100,J100)=1,SUMIFS($O:$O,$J:$J,J100)+SUMIFS($P:$P,$J:$J,J100)+SUMIFS($Q:$Q,$J:$J,J100),"")</f>
        <v/>
      </c>
      <c r="S100" s="10" t="s">
        <v>458</v>
      </c>
      <c r="T100" s="11" t="str">
        <f>IFERROR(INDEX(AD:AD,MATCH(J100,J:J,0)),"")</f>
        <v>Ok</v>
      </c>
      <c r="U100" s="12">
        <v>45945</v>
      </c>
      <c r="V100" s="10">
        <v>1212.02</v>
      </c>
      <c r="W100" s="10" t="str">
        <f t="shared" si="66"/>
        <v>N/A</v>
      </c>
      <c r="X100" t="s">
        <v>53</v>
      </c>
      <c r="Y100" t="s">
        <v>25</v>
      </c>
      <c r="Z100">
        <v>100199</v>
      </c>
      <c r="AA100" t="s">
        <v>57</v>
      </c>
      <c r="AB100" t="s">
        <v>69</v>
      </c>
      <c r="AC100" s="9">
        <v>2</v>
      </c>
      <c r="AD100" s="9" t="str">
        <f t="shared" si="67"/>
        <v>N/A</v>
      </c>
      <c r="AE100" s="11" t="e">
        <f t="shared" si="68"/>
        <v>#VALUE!</v>
      </c>
    </row>
    <row r="101" spans="1:31" x14ac:dyDescent="0.3">
      <c r="A101">
        <v>24</v>
      </c>
      <c r="B101">
        <v>4832202</v>
      </c>
      <c r="C101" t="s">
        <v>35</v>
      </c>
      <c r="D101">
        <v>1373071</v>
      </c>
      <c r="E101" t="s">
        <v>76</v>
      </c>
      <c r="F101" t="s">
        <v>19</v>
      </c>
      <c r="G101" t="s">
        <v>137</v>
      </c>
      <c r="H101" t="s">
        <v>138</v>
      </c>
      <c r="I101" t="s">
        <v>260</v>
      </c>
      <c r="J101">
        <v>51156232734</v>
      </c>
      <c r="K101" t="s">
        <v>270</v>
      </c>
      <c r="L101" t="s">
        <v>423</v>
      </c>
      <c r="M101">
        <v>6000</v>
      </c>
      <c r="N101" s="10">
        <v>0.11210000000000002</v>
      </c>
      <c r="O101" s="10">
        <f t="shared" si="65"/>
        <v>672.60000000000014</v>
      </c>
      <c r="P101" s="10">
        <v>0</v>
      </c>
      <c r="Q101" s="10">
        <v>96.19</v>
      </c>
      <c r="R101" s="10">
        <f>IF(COUNTIF($J$2:J101,J101)=1,SUMIFS($O:$O,$J:$J,J101)+SUMIFS($P:$P,$J:$J,J101)+SUMIFS($Q:$Q,$J:$J,J101),"")</f>
        <v>14230.99</v>
      </c>
      <c r="S101" s="10">
        <v>14230.990000000002</v>
      </c>
      <c r="T101" s="11" t="str">
        <f>IFERROR(INDEX(AD:AD,MATCH(J101,J:J,0)),"")</f>
        <v>Ok</v>
      </c>
      <c r="U101" s="12">
        <v>45945</v>
      </c>
      <c r="V101" s="10">
        <v>768.79</v>
      </c>
      <c r="W101" s="10" t="str">
        <f t="shared" si="66"/>
        <v>Short Paid</v>
      </c>
      <c r="X101" t="s">
        <v>53</v>
      </c>
      <c r="Y101" t="s">
        <v>25</v>
      </c>
      <c r="Z101">
        <v>100209</v>
      </c>
      <c r="AA101" t="s">
        <v>59</v>
      </c>
      <c r="AB101" t="s">
        <v>72</v>
      </c>
      <c r="AC101" s="9">
        <v>2</v>
      </c>
      <c r="AD101" s="9" t="str">
        <f t="shared" si="67"/>
        <v>Ok</v>
      </c>
      <c r="AE101" s="11">
        <f t="shared" si="68"/>
        <v>0</v>
      </c>
    </row>
    <row r="102" spans="1:31" x14ac:dyDescent="0.3">
      <c r="A102">
        <v>24</v>
      </c>
      <c r="B102">
        <v>4832202</v>
      </c>
      <c r="C102" t="s">
        <v>35</v>
      </c>
      <c r="D102">
        <v>1373071</v>
      </c>
      <c r="E102" t="s">
        <v>76</v>
      </c>
      <c r="F102" t="s">
        <v>19</v>
      </c>
      <c r="G102" t="s">
        <v>137</v>
      </c>
      <c r="H102" t="s">
        <v>138</v>
      </c>
      <c r="I102" t="s">
        <v>309</v>
      </c>
      <c r="J102">
        <v>51156232734</v>
      </c>
      <c r="K102" t="s">
        <v>227</v>
      </c>
      <c r="L102" t="s">
        <v>226</v>
      </c>
      <c r="M102">
        <v>162</v>
      </c>
      <c r="N102" s="10">
        <v>83.1</v>
      </c>
      <c r="O102" s="10">
        <f t="shared" si="65"/>
        <v>13462.199999999999</v>
      </c>
      <c r="P102" s="10" t="s">
        <v>458</v>
      </c>
      <c r="Q102" s="10" t="s">
        <v>458</v>
      </c>
      <c r="R102" s="10" t="str">
        <f>IF(COUNTIF($J$2:J102,J102)=1,SUMIFS($O:$O,$J:$J,J102)+SUMIFS($P:$P,$J:$J,J102)+SUMIFS($Q:$Q,$J:$J,J102),"")</f>
        <v/>
      </c>
      <c r="S102" s="10" t="s">
        <v>458</v>
      </c>
      <c r="T102" s="11" t="str">
        <f>IFERROR(INDEX(AD:AD,MATCH(J102,J:J,0)),"")</f>
        <v>Ok</v>
      </c>
      <c r="U102" s="12">
        <v>45945</v>
      </c>
      <c r="V102" s="10">
        <v>768.79</v>
      </c>
      <c r="W102" s="10" t="str">
        <f t="shared" si="66"/>
        <v>N/A</v>
      </c>
      <c r="X102" t="s">
        <v>53</v>
      </c>
      <c r="Y102" t="s">
        <v>25</v>
      </c>
      <c r="Z102">
        <v>100209</v>
      </c>
      <c r="AA102" t="s">
        <v>59</v>
      </c>
      <c r="AB102" t="s">
        <v>72</v>
      </c>
      <c r="AC102" s="9">
        <v>2</v>
      </c>
      <c r="AD102" s="9" t="str">
        <f t="shared" si="67"/>
        <v>N/A</v>
      </c>
      <c r="AE102" s="11" t="e">
        <f t="shared" si="68"/>
        <v>#VALUE!</v>
      </c>
    </row>
    <row r="103" spans="1:31" x14ac:dyDescent="0.3">
      <c r="A103">
        <v>14</v>
      </c>
      <c r="B103">
        <v>4890363</v>
      </c>
      <c r="C103" t="s">
        <v>35</v>
      </c>
      <c r="D103">
        <v>1461333</v>
      </c>
      <c r="E103" t="s">
        <v>49</v>
      </c>
      <c r="F103" t="s">
        <v>20</v>
      </c>
      <c r="G103" t="s">
        <v>158</v>
      </c>
      <c r="H103" t="s">
        <v>159</v>
      </c>
      <c r="I103" t="s">
        <v>233</v>
      </c>
      <c r="J103">
        <v>51156371485</v>
      </c>
      <c r="K103" t="s">
        <v>274</v>
      </c>
      <c r="L103" t="s">
        <v>358</v>
      </c>
      <c r="M103">
        <v>1</v>
      </c>
      <c r="N103" s="10">
        <v>566</v>
      </c>
      <c r="O103" s="10">
        <f t="shared" ref="O103:O109" si="69">M103*N103</f>
        <v>566</v>
      </c>
      <c r="P103" s="10">
        <v>0</v>
      </c>
      <c r="Q103" s="10">
        <v>53.77</v>
      </c>
      <c r="R103" s="10">
        <f>IF(COUNTIF($J$2:J103,J103)=1,SUMIFS($O:$O,$J:$J,J103)+SUMIFS($P:$P,$J:$J,J103)+SUMIFS($Q:$Q,$J:$J,J103),"")</f>
        <v>330619.82000000007</v>
      </c>
      <c r="S103" s="10">
        <v>330619.82</v>
      </c>
      <c r="T103" s="11" t="str">
        <f>IFERROR(INDEX(AD:AD,MATCH(J103,J:J,0)),"")</f>
        <v>Ok</v>
      </c>
      <c r="U103" s="12">
        <v>46126</v>
      </c>
      <c r="V103" s="10">
        <v>566</v>
      </c>
      <c r="W103" s="10" t="str">
        <f t="shared" ref="W103:W109" si="70">IF(OR(S103="",V103=""),"N/A",IF(S103&lt;&gt;V103,"Short Paid","Not Paid"))</f>
        <v>Short Paid</v>
      </c>
      <c r="X103" t="s">
        <v>53</v>
      </c>
      <c r="Y103" t="s">
        <v>25</v>
      </c>
      <c r="Z103">
        <v>100199</v>
      </c>
      <c r="AA103" t="s">
        <v>57</v>
      </c>
      <c r="AB103" t="s">
        <v>69</v>
      </c>
      <c r="AC103" s="9">
        <v>3</v>
      </c>
      <c r="AD103" s="9" t="str">
        <f t="shared" ref="AD103:AD109" si="71">IF(AND(R103="",S103=""),"N/A",IF(R103=S103,"Ok","Check"))</f>
        <v>Ok</v>
      </c>
      <c r="AE103" s="11">
        <f t="shared" ref="AE103:AE109" si="72">R103-S103</f>
        <v>0</v>
      </c>
    </row>
    <row r="104" spans="1:31" x14ac:dyDescent="0.3">
      <c r="A104">
        <v>14</v>
      </c>
      <c r="B104">
        <v>4890363</v>
      </c>
      <c r="C104" t="s">
        <v>35</v>
      </c>
      <c r="D104">
        <v>1461333</v>
      </c>
      <c r="E104" t="s">
        <v>49</v>
      </c>
      <c r="F104" t="s">
        <v>20</v>
      </c>
      <c r="G104" t="s">
        <v>158</v>
      </c>
      <c r="H104" t="s">
        <v>159</v>
      </c>
      <c r="I104" t="s">
        <v>233</v>
      </c>
      <c r="J104">
        <v>51156371485</v>
      </c>
      <c r="K104" t="s">
        <v>274</v>
      </c>
      <c r="L104" t="s">
        <v>424</v>
      </c>
      <c r="M104">
        <v>3992</v>
      </c>
      <c r="N104" s="10">
        <v>82.15</v>
      </c>
      <c r="O104" s="10">
        <f t="shared" si="69"/>
        <v>327942.80000000005</v>
      </c>
      <c r="P104" s="10" t="s">
        <v>458</v>
      </c>
      <c r="Q104" s="10" t="s">
        <v>458</v>
      </c>
      <c r="R104" s="10" t="str">
        <f>IF(COUNTIF($J$2:J104,J104)=1,SUMIFS($O:$O,$J:$J,J104)+SUMIFS($P:$P,$J:$J,J104)+SUMIFS($Q:$Q,$J:$J,J104),"")</f>
        <v/>
      </c>
      <c r="S104" s="10" t="s">
        <v>458</v>
      </c>
      <c r="T104" s="11" t="str">
        <f>IFERROR(INDEX(AD:AD,MATCH(J104,J:J,0)),"")</f>
        <v>Ok</v>
      </c>
      <c r="U104" s="12">
        <v>46126</v>
      </c>
      <c r="V104" s="10">
        <v>566</v>
      </c>
      <c r="W104" s="10" t="str">
        <f t="shared" si="70"/>
        <v>N/A</v>
      </c>
      <c r="X104" t="s">
        <v>53</v>
      </c>
      <c r="Y104" t="s">
        <v>25</v>
      </c>
      <c r="Z104">
        <v>100199</v>
      </c>
      <c r="AA104" t="s">
        <v>57</v>
      </c>
      <c r="AB104" t="s">
        <v>69</v>
      </c>
      <c r="AC104" s="9">
        <v>3</v>
      </c>
      <c r="AD104" s="9" t="str">
        <f t="shared" si="71"/>
        <v>N/A</v>
      </c>
      <c r="AE104" s="11" t="e">
        <f t="shared" si="72"/>
        <v>#VALUE!</v>
      </c>
    </row>
    <row r="105" spans="1:31" x14ac:dyDescent="0.3">
      <c r="A105">
        <v>14</v>
      </c>
      <c r="B105">
        <v>4890363</v>
      </c>
      <c r="C105" t="s">
        <v>35</v>
      </c>
      <c r="D105">
        <v>1461333</v>
      </c>
      <c r="E105" t="s">
        <v>49</v>
      </c>
      <c r="F105" t="s">
        <v>20</v>
      </c>
      <c r="G105" t="s">
        <v>158</v>
      </c>
      <c r="H105" t="s">
        <v>159</v>
      </c>
      <c r="I105" t="s">
        <v>311</v>
      </c>
      <c r="J105">
        <v>51156371485</v>
      </c>
      <c r="K105" t="s">
        <v>292</v>
      </c>
      <c r="L105" t="s">
        <v>294</v>
      </c>
      <c r="M105">
        <v>7500</v>
      </c>
      <c r="N105" s="10">
        <v>0.27429999999999999</v>
      </c>
      <c r="O105" s="10">
        <f t="shared" si="69"/>
        <v>2057.25</v>
      </c>
      <c r="P105" s="10" t="s">
        <v>458</v>
      </c>
      <c r="Q105" s="10" t="s">
        <v>458</v>
      </c>
      <c r="R105" s="10" t="str">
        <f>IF(COUNTIF($J$2:J105,J105)=1,SUMIFS($O:$O,$J:$J,J105)+SUMIFS($P:$P,$J:$J,J105)+SUMIFS($Q:$Q,$J:$J,J105),"")</f>
        <v/>
      </c>
      <c r="S105" s="10" t="s">
        <v>458</v>
      </c>
      <c r="T105" s="11" t="str">
        <f>IFERROR(INDEX(AD:AD,MATCH(J105,J:J,0)),"")</f>
        <v>Ok</v>
      </c>
      <c r="U105" s="12">
        <v>46126</v>
      </c>
      <c r="V105" s="10">
        <v>566</v>
      </c>
      <c r="W105" s="10" t="str">
        <f t="shared" si="70"/>
        <v>N/A</v>
      </c>
      <c r="X105" t="s">
        <v>53</v>
      </c>
      <c r="Y105" t="s">
        <v>25</v>
      </c>
      <c r="Z105">
        <v>100199</v>
      </c>
      <c r="AA105" t="s">
        <v>57</v>
      </c>
      <c r="AB105" t="s">
        <v>69</v>
      </c>
      <c r="AC105" s="9">
        <v>3</v>
      </c>
      <c r="AD105" s="9" t="str">
        <f t="shared" si="71"/>
        <v>N/A</v>
      </c>
      <c r="AE105" s="11" t="e">
        <f t="shared" si="72"/>
        <v>#VALUE!</v>
      </c>
    </row>
    <row r="106" spans="1:31" x14ac:dyDescent="0.3">
      <c r="A106">
        <v>24</v>
      </c>
      <c r="B106">
        <v>4832480</v>
      </c>
      <c r="C106" t="s">
        <v>35</v>
      </c>
      <c r="D106">
        <v>1373071</v>
      </c>
      <c r="E106" t="s">
        <v>76</v>
      </c>
      <c r="F106" t="s">
        <v>20</v>
      </c>
      <c r="G106" t="s">
        <v>131</v>
      </c>
      <c r="H106" t="s">
        <v>132</v>
      </c>
      <c r="I106" t="s">
        <v>267</v>
      </c>
      <c r="J106">
        <v>51156503103</v>
      </c>
      <c r="K106" t="s">
        <v>262</v>
      </c>
      <c r="L106" t="s">
        <v>425</v>
      </c>
      <c r="M106">
        <v>3000</v>
      </c>
      <c r="N106" s="10">
        <v>0.32</v>
      </c>
      <c r="O106" s="10">
        <f t="shared" si="69"/>
        <v>960</v>
      </c>
      <c r="P106" s="10">
        <v>0</v>
      </c>
      <c r="Q106" s="10">
        <v>0</v>
      </c>
      <c r="R106" s="10">
        <f>IF(COUNTIF($J$2:J106,J106)=1,SUMIFS($O:$O,$J:$J,J106)+SUMIFS($P:$P,$J:$J,J106)+SUMIFS($Q:$Q,$J:$J,J106),"")</f>
        <v>1178.3168000000001</v>
      </c>
      <c r="S106" s="10">
        <v>1396.6399999999999</v>
      </c>
      <c r="T106" s="11" t="str">
        <f>IFERROR(INDEX(AD:AD,MATCH(J106,J:J,0)),"")</f>
        <v>Check</v>
      </c>
      <c r="U106" s="12">
        <v>45954</v>
      </c>
      <c r="V106" s="10">
        <v>960</v>
      </c>
      <c r="W106" s="10" t="str">
        <f t="shared" si="70"/>
        <v>Short Paid</v>
      </c>
      <c r="X106" t="s">
        <v>53</v>
      </c>
      <c r="Y106" t="s">
        <v>25</v>
      </c>
      <c r="Z106">
        <v>100239</v>
      </c>
      <c r="AA106" t="s">
        <v>58</v>
      </c>
      <c r="AB106" t="s">
        <v>69</v>
      </c>
      <c r="AC106" s="9">
        <v>2</v>
      </c>
      <c r="AD106" s="9" t="str">
        <f t="shared" si="71"/>
        <v>Check</v>
      </c>
      <c r="AE106" s="11">
        <f t="shared" si="72"/>
        <v>-218.32319999999982</v>
      </c>
    </row>
    <row r="107" spans="1:31" x14ac:dyDescent="0.3">
      <c r="A107">
        <v>24</v>
      </c>
      <c r="B107">
        <v>4832480</v>
      </c>
      <c r="C107" t="s">
        <v>35</v>
      </c>
      <c r="D107">
        <v>1373071</v>
      </c>
      <c r="E107" t="s">
        <v>76</v>
      </c>
      <c r="F107" t="s">
        <v>20</v>
      </c>
      <c r="G107" t="s">
        <v>131</v>
      </c>
      <c r="H107" t="s">
        <v>132</v>
      </c>
      <c r="I107" t="s">
        <v>238</v>
      </c>
      <c r="J107">
        <v>51156503103</v>
      </c>
      <c r="K107" t="s">
        <v>257</v>
      </c>
      <c r="L107" t="s">
        <v>426</v>
      </c>
      <c r="M107">
        <v>208</v>
      </c>
      <c r="N107" s="10">
        <v>1.0496000000000001</v>
      </c>
      <c r="O107" s="10">
        <f t="shared" si="69"/>
        <v>218.31680000000003</v>
      </c>
      <c r="P107" s="10" t="s">
        <v>458</v>
      </c>
      <c r="Q107" s="10" t="s">
        <v>458</v>
      </c>
      <c r="R107" s="10" t="str">
        <f>IF(COUNTIF($J$2:J107,J107)=1,SUMIFS($O:$O,$J:$J,J107)+SUMIFS($P:$P,$J:$J,J107)+SUMIFS($Q:$Q,$J:$J,J107),"")</f>
        <v/>
      </c>
      <c r="S107" s="10" t="s">
        <v>458</v>
      </c>
      <c r="T107" s="11" t="str">
        <f>IFERROR(INDEX(AD:AD,MATCH(J107,J:J,0)),"")</f>
        <v>Check</v>
      </c>
      <c r="U107" s="12">
        <v>45954</v>
      </c>
      <c r="V107" s="10">
        <v>960</v>
      </c>
      <c r="W107" s="10" t="str">
        <f t="shared" si="70"/>
        <v>N/A</v>
      </c>
      <c r="X107" t="s">
        <v>53</v>
      </c>
      <c r="Y107" t="s">
        <v>25</v>
      </c>
      <c r="Z107">
        <v>100239</v>
      </c>
      <c r="AA107" t="s">
        <v>58</v>
      </c>
      <c r="AB107" t="s">
        <v>69</v>
      </c>
      <c r="AC107" s="9">
        <v>2</v>
      </c>
      <c r="AD107" s="9" t="str">
        <f t="shared" si="71"/>
        <v>N/A</v>
      </c>
      <c r="AE107" s="11" t="e">
        <f t="shared" si="72"/>
        <v>#VALUE!</v>
      </c>
    </row>
    <row r="108" spans="1:31" x14ac:dyDescent="0.3">
      <c r="A108">
        <v>24</v>
      </c>
      <c r="B108">
        <v>4831088</v>
      </c>
      <c r="C108" t="s">
        <v>35</v>
      </c>
      <c r="D108">
        <v>1478191</v>
      </c>
      <c r="E108" t="s">
        <v>88</v>
      </c>
      <c r="F108" t="s">
        <v>23</v>
      </c>
      <c r="G108" t="s">
        <v>133</v>
      </c>
      <c r="H108" t="s">
        <v>134</v>
      </c>
      <c r="I108" t="s">
        <v>279</v>
      </c>
      <c r="J108">
        <v>51156568598</v>
      </c>
      <c r="K108" t="s">
        <v>258</v>
      </c>
      <c r="L108" t="s">
        <v>427</v>
      </c>
      <c r="M108">
        <v>2000</v>
      </c>
      <c r="N108" s="10">
        <v>3.5</v>
      </c>
      <c r="O108" s="10">
        <f t="shared" si="69"/>
        <v>7000</v>
      </c>
      <c r="P108" s="10">
        <v>1093.72</v>
      </c>
      <c r="Q108" s="10">
        <v>0</v>
      </c>
      <c r="R108" s="10">
        <f>IF(COUNTIF($J$2:J108,J108)=1,SUMIFS($O:$O,$J:$J,J108)+SUMIFS($P:$P,$J:$J,J108)+SUMIFS($Q:$Q,$J:$J,J108),"")</f>
        <v>10320.619999999999</v>
      </c>
      <c r="S108" s="10">
        <v>10320.619999999999</v>
      </c>
      <c r="T108" s="11" t="str">
        <f>IFERROR(INDEX(AD:AD,MATCH(J108,J:J,0)),"")</f>
        <v>Ok</v>
      </c>
      <c r="U108" s="12">
        <v>46128</v>
      </c>
      <c r="V108" s="10">
        <v>7910</v>
      </c>
      <c r="W108" s="10" t="str">
        <f t="shared" si="70"/>
        <v>Short Paid</v>
      </c>
      <c r="X108" t="s">
        <v>53</v>
      </c>
      <c r="Y108" t="s">
        <v>52</v>
      </c>
      <c r="Z108">
        <v>100179</v>
      </c>
      <c r="AA108" t="s">
        <v>209</v>
      </c>
      <c r="AB108" t="s">
        <v>68</v>
      </c>
      <c r="AC108" s="9">
        <v>2</v>
      </c>
      <c r="AD108" s="9" t="str">
        <f t="shared" si="71"/>
        <v>Ok</v>
      </c>
      <c r="AE108" s="11">
        <f t="shared" si="72"/>
        <v>0</v>
      </c>
    </row>
    <row r="109" spans="1:31" x14ac:dyDescent="0.3">
      <c r="A109">
        <v>24</v>
      </c>
      <c r="B109">
        <v>4831088</v>
      </c>
      <c r="C109" t="s">
        <v>35</v>
      </c>
      <c r="D109">
        <v>1478191</v>
      </c>
      <c r="E109" t="s">
        <v>88</v>
      </c>
      <c r="F109" t="s">
        <v>23</v>
      </c>
      <c r="G109" t="s">
        <v>133</v>
      </c>
      <c r="H109" t="s">
        <v>134</v>
      </c>
      <c r="I109" t="s">
        <v>319</v>
      </c>
      <c r="J109">
        <v>51156568598</v>
      </c>
      <c r="K109" t="s">
        <v>284</v>
      </c>
      <c r="L109" t="s">
        <v>428</v>
      </c>
      <c r="M109">
        <v>2500</v>
      </c>
      <c r="N109" s="10">
        <v>0.89076</v>
      </c>
      <c r="O109" s="10">
        <f t="shared" si="69"/>
        <v>2226.9</v>
      </c>
      <c r="P109" s="10" t="s">
        <v>458</v>
      </c>
      <c r="Q109" s="10" t="s">
        <v>458</v>
      </c>
      <c r="R109" s="10" t="str">
        <f>IF(COUNTIF($J$2:J109,J109)=1,SUMIFS($O:$O,$J:$J,J109)+SUMIFS($P:$P,$J:$J,J109)+SUMIFS($Q:$Q,$J:$J,J109),"")</f>
        <v/>
      </c>
      <c r="S109" s="10" t="s">
        <v>458</v>
      </c>
      <c r="T109" s="11" t="str">
        <f>IFERROR(INDEX(AD:AD,MATCH(J109,J:J,0)),"")</f>
        <v>Ok</v>
      </c>
      <c r="U109" s="12">
        <v>46128</v>
      </c>
      <c r="V109" s="10">
        <v>7910</v>
      </c>
      <c r="W109" s="10" t="str">
        <f t="shared" si="70"/>
        <v>N/A</v>
      </c>
      <c r="X109" t="s">
        <v>53</v>
      </c>
      <c r="Y109" t="s">
        <v>52</v>
      </c>
      <c r="Z109">
        <v>100179</v>
      </c>
      <c r="AA109" t="s">
        <v>209</v>
      </c>
      <c r="AB109" t="s">
        <v>68</v>
      </c>
      <c r="AC109" s="9">
        <v>2</v>
      </c>
      <c r="AD109" s="9" t="str">
        <f t="shared" si="71"/>
        <v>N/A</v>
      </c>
      <c r="AE109" s="11" t="e">
        <f t="shared" si="72"/>
        <v>#VALUE!</v>
      </c>
    </row>
    <row r="110" spans="1:31" x14ac:dyDescent="0.3">
      <c r="A110">
        <v>8</v>
      </c>
      <c r="B110">
        <v>4913739</v>
      </c>
      <c r="C110" t="s">
        <v>35</v>
      </c>
      <c r="D110">
        <v>1007349</v>
      </c>
      <c r="E110" t="s">
        <v>79</v>
      </c>
      <c r="F110" t="s">
        <v>24</v>
      </c>
      <c r="G110" t="s">
        <v>197</v>
      </c>
      <c r="H110" t="s">
        <v>198</v>
      </c>
      <c r="I110" t="s">
        <v>271</v>
      </c>
      <c r="J110">
        <v>51157283561</v>
      </c>
      <c r="K110" t="s">
        <v>330</v>
      </c>
      <c r="L110" t="s">
        <v>329</v>
      </c>
      <c r="M110">
        <v>20000</v>
      </c>
      <c r="N110" s="10">
        <v>1.932E-2</v>
      </c>
      <c r="O110" s="10">
        <f t="shared" ref="O110:O112" si="73">M110*N110</f>
        <v>386.40000000000003</v>
      </c>
      <c r="P110" s="10">
        <v>0</v>
      </c>
      <c r="Q110" s="10">
        <v>553.3900000000001</v>
      </c>
      <c r="R110" s="10">
        <f>IF(COUNTIF($J$2:J110,J110)=1,SUMIFS($O:$O,$J:$J,J110)+SUMIFS($P:$P,$J:$J,J110)+SUMIFS($Q:$Q,$J:$J,J110),"")</f>
        <v>2601.6040000000003</v>
      </c>
      <c r="S110" s="10">
        <v>2988</v>
      </c>
      <c r="T110" s="11" t="str">
        <f>IFERROR(INDEX(AD:AD,MATCH(J110,J:J,0)),"")</f>
        <v>Check</v>
      </c>
      <c r="U110" s="12">
        <v>46129</v>
      </c>
      <c r="V110" s="10">
        <v>185.32</v>
      </c>
      <c r="W110" s="10" t="str">
        <f t="shared" ref="W110:W112" si="74">IF(OR(S110="",V110=""),"N/A",IF(S110&lt;&gt;V110,"Short Paid","Not Paid"))</f>
        <v>Short Paid</v>
      </c>
      <c r="X110" t="s">
        <v>53</v>
      </c>
      <c r="Y110" t="s">
        <v>36</v>
      </c>
      <c r="Z110">
        <v>100109</v>
      </c>
      <c r="AA110" t="s">
        <v>215</v>
      </c>
      <c r="AB110" t="s">
        <v>70</v>
      </c>
      <c r="AC110" s="9">
        <v>3</v>
      </c>
      <c r="AD110" s="9" t="str">
        <f t="shared" ref="AD110:AD112" si="75">IF(AND(R110="",S110=""),"N/A",IF(R110=S110,"Ok","Check"))</f>
        <v>Check</v>
      </c>
      <c r="AE110" s="11">
        <f t="shared" ref="AE110:AE112" si="76">R110-S110</f>
        <v>-386.39599999999973</v>
      </c>
    </row>
    <row r="111" spans="1:31" x14ac:dyDescent="0.3">
      <c r="A111">
        <v>8</v>
      </c>
      <c r="B111">
        <v>4913739</v>
      </c>
      <c r="C111" t="s">
        <v>35</v>
      </c>
      <c r="D111">
        <v>1007349</v>
      </c>
      <c r="E111" t="s">
        <v>79</v>
      </c>
      <c r="F111" t="s">
        <v>24</v>
      </c>
      <c r="G111" t="s">
        <v>197</v>
      </c>
      <c r="H111" t="s">
        <v>198</v>
      </c>
      <c r="I111" t="s">
        <v>315</v>
      </c>
      <c r="J111">
        <v>51157283561</v>
      </c>
      <c r="K111" t="s">
        <v>236</v>
      </c>
      <c r="L111" t="s">
        <v>429</v>
      </c>
      <c r="M111">
        <v>1200</v>
      </c>
      <c r="N111" s="10">
        <v>0.70799999999999996</v>
      </c>
      <c r="O111" s="10">
        <f t="shared" si="73"/>
        <v>849.59999999999991</v>
      </c>
      <c r="P111" s="10" t="s">
        <v>458</v>
      </c>
      <c r="Q111" s="10" t="s">
        <v>458</v>
      </c>
      <c r="R111" s="10" t="str">
        <f>IF(COUNTIF($J$2:J111,J111)=1,SUMIFS($O:$O,$J:$J,J111)+SUMIFS($P:$P,$J:$J,J111)+SUMIFS($Q:$Q,$J:$J,J111),"")</f>
        <v/>
      </c>
      <c r="S111" s="10" t="s">
        <v>458</v>
      </c>
      <c r="T111" s="11" t="str">
        <f>IFERROR(INDEX(AD:AD,MATCH(J111,J:J,0)),"")</f>
        <v>Check</v>
      </c>
      <c r="U111" s="12">
        <v>46129</v>
      </c>
      <c r="V111" s="10">
        <v>185.32</v>
      </c>
      <c r="W111" s="10" t="str">
        <f t="shared" si="74"/>
        <v>N/A</v>
      </c>
      <c r="X111" t="s">
        <v>53</v>
      </c>
      <c r="Y111" t="s">
        <v>36</v>
      </c>
      <c r="Z111">
        <v>100109</v>
      </c>
      <c r="AA111" t="s">
        <v>215</v>
      </c>
      <c r="AB111" t="s">
        <v>70</v>
      </c>
      <c r="AC111" s="9">
        <v>3</v>
      </c>
      <c r="AD111" s="9" t="str">
        <f t="shared" si="75"/>
        <v>N/A</v>
      </c>
      <c r="AE111" s="11" t="e">
        <f t="shared" si="76"/>
        <v>#VALUE!</v>
      </c>
    </row>
    <row r="112" spans="1:31" x14ac:dyDescent="0.3">
      <c r="A112">
        <v>8</v>
      </c>
      <c r="B112">
        <v>4913739</v>
      </c>
      <c r="C112" t="s">
        <v>35</v>
      </c>
      <c r="D112">
        <v>1007349</v>
      </c>
      <c r="E112" t="s">
        <v>79</v>
      </c>
      <c r="F112" t="s">
        <v>24</v>
      </c>
      <c r="G112" t="s">
        <v>197</v>
      </c>
      <c r="H112" t="s">
        <v>198</v>
      </c>
      <c r="I112" t="s">
        <v>315</v>
      </c>
      <c r="J112">
        <v>51157283561</v>
      </c>
      <c r="K112" t="s">
        <v>236</v>
      </c>
      <c r="L112" t="s">
        <v>430</v>
      </c>
      <c r="M112">
        <v>702</v>
      </c>
      <c r="N112" s="10">
        <v>1.157</v>
      </c>
      <c r="O112" s="10">
        <f t="shared" si="73"/>
        <v>812.21400000000006</v>
      </c>
      <c r="P112" s="10" t="s">
        <v>458</v>
      </c>
      <c r="Q112" s="10" t="s">
        <v>458</v>
      </c>
      <c r="R112" s="10" t="str">
        <f>IF(COUNTIF($J$2:J112,J112)=1,SUMIFS($O:$O,$J:$J,J112)+SUMIFS($P:$P,$J:$J,J112)+SUMIFS($Q:$Q,$J:$J,J112),"")</f>
        <v/>
      </c>
      <c r="S112" s="10" t="s">
        <v>458</v>
      </c>
      <c r="T112" s="11" t="str">
        <f>IFERROR(INDEX(AD:AD,MATCH(J112,J:J,0)),"")</f>
        <v>Check</v>
      </c>
      <c r="U112" s="12">
        <v>46129</v>
      </c>
      <c r="V112" s="10">
        <v>185.32</v>
      </c>
      <c r="W112" s="10" t="str">
        <f t="shared" si="74"/>
        <v>N/A</v>
      </c>
      <c r="X112" t="s">
        <v>53</v>
      </c>
      <c r="Y112" t="s">
        <v>36</v>
      </c>
      <c r="Z112">
        <v>100109</v>
      </c>
      <c r="AA112" t="s">
        <v>215</v>
      </c>
      <c r="AB112" t="s">
        <v>70</v>
      </c>
      <c r="AC112" s="9">
        <v>3</v>
      </c>
      <c r="AD112" s="9" t="str">
        <f t="shared" si="75"/>
        <v>N/A</v>
      </c>
      <c r="AE112" s="11" t="e">
        <f t="shared" si="76"/>
        <v>#VALUE!</v>
      </c>
    </row>
    <row r="113" spans="1:31" x14ac:dyDescent="0.3">
      <c r="A113">
        <v>7</v>
      </c>
      <c r="B113">
        <v>4925705</v>
      </c>
      <c r="C113" t="s">
        <v>35</v>
      </c>
      <c r="D113">
        <v>1461333</v>
      </c>
      <c r="E113" t="s">
        <v>49</v>
      </c>
      <c r="F113" t="s">
        <v>20</v>
      </c>
      <c r="G113" t="s">
        <v>199</v>
      </c>
      <c r="H113" t="s">
        <v>200</v>
      </c>
      <c r="I113" t="s">
        <v>276</v>
      </c>
      <c r="J113">
        <v>51157546438</v>
      </c>
      <c r="K113" t="s">
        <v>263</v>
      </c>
      <c r="L113" t="s">
        <v>431</v>
      </c>
      <c r="M113">
        <v>1</v>
      </c>
      <c r="N113" s="10">
        <v>213</v>
      </c>
      <c r="O113" s="10">
        <f t="shared" ref="O113:O114" si="77">M113*N113</f>
        <v>213</v>
      </c>
      <c r="P113" s="10">
        <v>0</v>
      </c>
      <c r="Q113" s="10">
        <v>0</v>
      </c>
      <c r="R113" s="10">
        <f>IF(COUNTIF($J$2:J113,J113)=1,SUMIFS($O:$O,$J:$J,J113)+SUMIFS($P:$P,$J:$J,J113)+SUMIFS($Q:$Q,$J:$J,J113),"")</f>
        <v>3127.44</v>
      </c>
      <c r="S113" s="10">
        <v>6041.88</v>
      </c>
      <c r="T113" s="11" t="str">
        <f>IFERROR(INDEX(AD:AD,MATCH(J113,J:J,0)),"")</f>
        <v>Check</v>
      </c>
      <c r="U113" s="12">
        <v>46137</v>
      </c>
      <c r="V113" s="10">
        <v>5828.88</v>
      </c>
      <c r="W113" s="10" t="str">
        <f t="shared" ref="W113:W114" si="78">IF(OR(S113="",V113=""),"N/A",IF(S113&lt;&gt;V113,"Short Paid","Not Paid"))</f>
        <v>Short Paid</v>
      </c>
      <c r="X113" t="s">
        <v>53</v>
      </c>
      <c r="Y113" t="s">
        <v>25</v>
      </c>
      <c r="Z113">
        <v>100129</v>
      </c>
      <c r="AA113" t="s">
        <v>65</v>
      </c>
      <c r="AB113" t="s">
        <v>69</v>
      </c>
      <c r="AC113" s="9">
        <v>2</v>
      </c>
      <c r="AD113" s="9" t="str">
        <f t="shared" ref="AD113:AD114" si="79">IF(AND(R113="",S113=""),"N/A",IF(R113=S113,"Ok","Check"))</f>
        <v>Check</v>
      </c>
      <c r="AE113" s="11">
        <f t="shared" ref="AE113:AE114" si="80">R113-S113</f>
        <v>-2914.44</v>
      </c>
    </row>
    <row r="114" spans="1:31" x14ac:dyDescent="0.3">
      <c r="A114">
        <v>7</v>
      </c>
      <c r="B114">
        <v>4925705</v>
      </c>
      <c r="C114" t="s">
        <v>35</v>
      </c>
      <c r="D114">
        <v>1461333</v>
      </c>
      <c r="E114" t="s">
        <v>49</v>
      </c>
      <c r="F114" t="s">
        <v>20</v>
      </c>
      <c r="G114" t="s">
        <v>199</v>
      </c>
      <c r="H114" t="s">
        <v>200</v>
      </c>
      <c r="I114" t="s">
        <v>276</v>
      </c>
      <c r="J114">
        <v>51157546438</v>
      </c>
      <c r="K114" t="s">
        <v>263</v>
      </c>
      <c r="L114" t="s">
        <v>432</v>
      </c>
      <c r="M114">
        <v>4</v>
      </c>
      <c r="N114" s="10">
        <v>728.61</v>
      </c>
      <c r="O114" s="10">
        <f t="shared" si="77"/>
        <v>2914.44</v>
      </c>
      <c r="P114" s="10" t="s">
        <v>458</v>
      </c>
      <c r="Q114" s="10" t="s">
        <v>458</v>
      </c>
      <c r="R114" s="10" t="str">
        <f>IF(COUNTIF($J$2:J114,J114)=1,SUMIFS($O:$O,$J:$J,J114)+SUMIFS($P:$P,$J:$J,J114)+SUMIFS($Q:$Q,$J:$J,J114),"")</f>
        <v/>
      </c>
      <c r="S114" s="10" t="s">
        <v>458</v>
      </c>
      <c r="T114" s="11" t="str">
        <f>IFERROR(INDEX(AD:AD,MATCH(J114,J:J,0)),"")</f>
        <v>Check</v>
      </c>
      <c r="U114" s="12">
        <v>46137</v>
      </c>
      <c r="V114" s="10">
        <v>5828.88</v>
      </c>
      <c r="W114" s="10" t="str">
        <f t="shared" si="78"/>
        <v>N/A</v>
      </c>
      <c r="X114" t="s">
        <v>53</v>
      </c>
      <c r="Y114" t="s">
        <v>25</v>
      </c>
      <c r="Z114">
        <v>100129</v>
      </c>
      <c r="AA114" t="s">
        <v>65</v>
      </c>
      <c r="AB114" t="s">
        <v>69</v>
      </c>
      <c r="AC114" s="9">
        <v>2</v>
      </c>
      <c r="AD114" s="9" t="str">
        <f t="shared" si="79"/>
        <v>N/A</v>
      </c>
      <c r="AE114" s="11" t="e">
        <f t="shared" si="80"/>
        <v>#VALUE!</v>
      </c>
    </row>
    <row r="115" spans="1:31" x14ac:dyDescent="0.3">
      <c r="A115">
        <v>0</v>
      </c>
      <c r="B115">
        <v>4981084</v>
      </c>
      <c r="C115" t="s">
        <v>35</v>
      </c>
      <c r="D115">
        <v>1173725</v>
      </c>
      <c r="E115" t="s">
        <v>80</v>
      </c>
      <c r="F115" t="s">
        <v>24</v>
      </c>
      <c r="G115" t="s">
        <v>166</v>
      </c>
      <c r="H115" t="s">
        <v>167</v>
      </c>
      <c r="I115" t="s">
        <v>308</v>
      </c>
      <c r="J115">
        <v>51160471959</v>
      </c>
      <c r="K115" t="s">
        <v>370</v>
      </c>
      <c r="L115" t="s">
        <v>433</v>
      </c>
      <c r="M115">
        <v>480</v>
      </c>
      <c r="N115" s="10">
        <v>9.0129999999999999</v>
      </c>
      <c r="O115" s="10">
        <f t="shared" ref="O115:O116" si="81">M115*N115</f>
        <v>4326.24</v>
      </c>
      <c r="P115" s="10">
        <v>0</v>
      </c>
      <c r="Q115" s="10">
        <v>0</v>
      </c>
      <c r="R115" s="10">
        <f>IF(COUNTIF($J$2:J115,J115)=1,SUMIFS($O:$O,$J:$J,J115)+SUMIFS($P:$P,$J:$J,J115)+SUMIFS($Q:$Q,$J:$J,J115),"")</f>
        <v>9841.89</v>
      </c>
      <c r="S115" s="10">
        <v>9841.89</v>
      </c>
      <c r="T115" s="11" t="str">
        <f>IFERROR(INDEX(AD:AD,MATCH(J115,J:J,0)),"")</f>
        <v>Ok</v>
      </c>
      <c r="U115" s="12">
        <v>46150</v>
      </c>
      <c r="V115" s="10">
        <v>3785.45</v>
      </c>
      <c r="W115" s="10" t="str">
        <f t="shared" ref="W115:W116" si="82">IF(OR(S115="",V115=""),"N/A",IF(S115&lt;&gt;V115,"Short Paid","Not Paid"))</f>
        <v>Short Paid</v>
      </c>
      <c r="X115" t="s">
        <v>53</v>
      </c>
      <c r="Y115" t="s">
        <v>36</v>
      </c>
      <c r="Z115">
        <v>100269</v>
      </c>
      <c r="AA115" t="s">
        <v>216</v>
      </c>
      <c r="AB115" t="s">
        <v>70</v>
      </c>
      <c r="AC115" s="9">
        <v>2</v>
      </c>
      <c r="AD115" s="9" t="str">
        <f t="shared" ref="AD115:AD116" si="83">IF(AND(R115="",S115=""),"N/A",IF(R115=S115,"Ok","Check"))</f>
        <v>Ok</v>
      </c>
      <c r="AE115" s="11">
        <f t="shared" ref="AE115:AE116" si="84">R115-S115</f>
        <v>0</v>
      </c>
    </row>
    <row r="116" spans="1:31" x14ac:dyDescent="0.3">
      <c r="A116">
        <v>0</v>
      </c>
      <c r="B116">
        <v>4981084</v>
      </c>
      <c r="C116" t="s">
        <v>35</v>
      </c>
      <c r="D116">
        <v>1173725</v>
      </c>
      <c r="E116" t="s">
        <v>80</v>
      </c>
      <c r="F116" t="s">
        <v>24</v>
      </c>
      <c r="G116" t="s">
        <v>166</v>
      </c>
      <c r="H116" t="s">
        <v>167</v>
      </c>
      <c r="I116" t="s">
        <v>277</v>
      </c>
      <c r="J116">
        <v>51160471959</v>
      </c>
      <c r="K116" s="12">
        <v>36586</v>
      </c>
      <c r="L116" t="s">
        <v>434</v>
      </c>
      <c r="M116">
        <v>1</v>
      </c>
      <c r="N116" s="10">
        <v>5515.65</v>
      </c>
      <c r="O116" s="10">
        <f t="shared" si="81"/>
        <v>5515.65</v>
      </c>
      <c r="P116" s="10" t="s">
        <v>458</v>
      </c>
      <c r="Q116" s="10" t="s">
        <v>458</v>
      </c>
      <c r="R116" s="10" t="str">
        <f>IF(COUNTIF($J$2:J116,J116)=1,SUMIFS($O:$O,$J:$J,J116)+SUMIFS($P:$P,$J:$J,J116)+SUMIFS($Q:$Q,$J:$J,J116),"")</f>
        <v/>
      </c>
      <c r="S116" s="10" t="s">
        <v>458</v>
      </c>
      <c r="T116" s="11" t="str">
        <f>IFERROR(INDEX(AD:AD,MATCH(J116,J:J,0)),"")</f>
        <v>Ok</v>
      </c>
      <c r="U116" s="12">
        <v>46150</v>
      </c>
      <c r="V116" s="10">
        <v>3785.45</v>
      </c>
      <c r="W116" s="10" t="str">
        <f t="shared" si="82"/>
        <v>N/A</v>
      </c>
      <c r="X116" t="s">
        <v>53</v>
      </c>
      <c r="Y116" t="s">
        <v>36</v>
      </c>
      <c r="Z116">
        <v>100269</v>
      </c>
      <c r="AA116" t="s">
        <v>216</v>
      </c>
      <c r="AB116" t="s">
        <v>70</v>
      </c>
      <c r="AC116" s="9">
        <v>2</v>
      </c>
      <c r="AD116" s="9" t="str">
        <f t="shared" si="83"/>
        <v>N/A</v>
      </c>
      <c r="AE116" s="11" t="e">
        <f t="shared" si="84"/>
        <v>#VALUE!</v>
      </c>
    </row>
    <row r="117" spans="1:31" x14ac:dyDescent="0.3">
      <c r="A117">
        <v>232</v>
      </c>
      <c r="B117">
        <v>4390698</v>
      </c>
      <c r="C117" t="s">
        <v>35</v>
      </c>
      <c r="D117">
        <v>1383202</v>
      </c>
      <c r="E117" t="s">
        <v>74</v>
      </c>
      <c r="F117" t="s">
        <v>20</v>
      </c>
      <c r="G117" t="s">
        <v>168</v>
      </c>
      <c r="H117" t="s">
        <v>169</v>
      </c>
      <c r="I117" t="s">
        <v>281</v>
      </c>
      <c r="J117">
        <v>51161509697</v>
      </c>
      <c r="K117" t="s">
        <v>349</v>
      </c>
      <c r="L117" t="s">
        <v>435</v>
      </c>
      <c r="M117">
        <v>259</v>
      </c>
      <c r="N117" s="10">
        <v>97.36</v>
      </c>
      <c r="O117" s="10">
        <f t="shared" ref="O117:O126" si="85">M117*N117</f>
        <v>25216.240000000002</v>
      </c>
      <c r="P117" s="10">
        <v>0</v>
      </c>
      <c r="Q117" s="10">
        <v>89.25</v>
      </c>
      <c r="R117" s="10">
        <f>IF(COUNTIF($J$2:J117,J117)=1,SUMIFS($O:$O,$J:$J,J117)+SUMIFS($P:$P,$J:$J,J117)+SUMIFS($Q:$Q,$J:$J,J117),"")</f>
        <v>25680.49</v>
      </c>
      <c r="S117" s="10">
        <v>25680.49</v>
      </c>
      <c r="T117" s="11" t="str">
        <f>IFERROR(INDEX(AD:AD,MATCH(J117,J:J,0)),"")</f>
        <v>Ok</v>
      </c>
      <c r="U117" s="12">
        <v>45939</v>
      </c>
      <c r="V117" s="10">
        <v>89.25</v>
      </c>
      <c r="W117" s="10" t="str">
        <f t="shared" ref="W117:W126" si="86">IF(OR(S117="",V117=""),"N/A",IF(S117&lt;&gt;V117,"Short Paid","Not Paid"))</f>
        <v>Short Paid</v>
      </c>
      <c r="X117" t="s">
        <v>53</v>
      </c>
      <c r="Y117" t="s">
        <v>25</v>
      </c>
      <c r="Z117">
        <v>100289</v>
      </c>
      <c r="AA117" t="s">
        <v>54</v>
      </c>
      <c r="AB117" t="s">
        <v>69</v>
      </c>
      <c r="AC117" s="9">
        <v>2</v>
      </c>
      <c r="AD117" s="9" t="str">
        <f t="shared" ref="AD117:AD126" si="87">IF(AND(R117="",S117=""),"N/A",IF(R117=S117,"Ok","Check"))</f>
        <v>Ok</v>
      </c>
      <c r="AE117" s="11">
        <f t="shared" ref="AE117:AE126" si="88">R117-S117</f>
        <v>0</v>
      </c>
    </row>
    <row r="118" spans="1:31" x14ac:dyDescent="0.3">
      <c r="A118">
        <v>232</v>
      </c>
      <c r="B118">
        <v>4390698</v>
      </c>
      <c r="C118" t="s">
        <v>35</v>
      </c>
      <c r="D118">
        <v>1383202</v>
      </c>
      <c r="E118" t="s">
        <v>74</v>
      </c>
      <c r="F118" t="s">
        <v>20</v>
      </c>
      <c r="G118" t="s">
        <v>168</v>
      </c>
      <c r="H118" t="s">
        <v>169</v>
      </c>
      <c r="I118" t="s">
        <v>281</v>
      </c>
      <c r="J118">
        <v>51161509697</v>
      </c>
      <c r="K118" t="s">
        <v>349</v>
      </c>
      <c r="L118" t="s">
        <v>436</v>
      </c>
      <c r="M118">
        <v>1</v>
      </c>
      <c r="N118" s="10">
        <v>375</v>
      </c>
      <c r="O118" s="10">
        <f t="shared" si="85"/>
        <v>375</v>
      </c>
      <c r="P118" s="10" t="s">
        <v>458</v>
      </c>
      <c r="Q118" s="10" t="s">
        <v>458</v>
      </c>
      <c r="R118" s="10" t="str">
        <f>IF(COUNTIF($J$2:J118,J118)=1,SUMIFS($O:$O,$J:$J,J118)+SUMIFS($P:$P,$J:$J,J118)+SUMIFS($Q:$Q,$J:$J,J118),"")</f>
        <v/>
      </c>
      <c r="S118" s="10" t="s">
        <v>458</v>
      </c>
      <c r="T118" s="11" t="str">
        <f>IFERROR(INDEX(AD:AD,MATCH(J118,J:J,0)),"")</f>
        <v>Ok</v>
      </c>
      <c r="U118" s="12">
        <v>45939</v>
      </c>
      <c r="V118" s="10">
        <v>89.25</v>
      </c>
      <c r="W118" s="10" t="str">
        <f t="shared" si="86"/>
        <v>N/A</v>
      </c>
      <c r="X118" t="s">
        <v>53</v>
      </c>
      <c r="Y118" t="s">
        <v>25</v>
      </c>
      <c r="Z118">
        <v>100289</v>
      </c>
      <c r="AA118" t="s">
        <v>54</v>
      </c>
      <c r="AB118" t="s">
        <v>69</v>
      </c>
      <c r="AC118" s="9">
        <v>2</v>
      </c>
      <c r="AD118" s="9" t="str">
        <f t="shared" si="87"/>
        <v>N/A</v>
      </c>
      <c r="AE118" s="11" t="e">
        <f t="shared" si="88"/>
        <v>#VALUE!</v>
      </c>
    </row>
    <row r="119" spans="1:31" x14ac:dyDescent="0.3">
      <c r="A119">
        <v>128</v>
      </c>
      <c r="B119">
        <v>4433581</v>
      </c>
      <c r="C119" t="s">
        <v>35</v>
      </c>
      <c r="D119">
        <v>1210881</v>
      </c>
      <c r="E119" t="s">
        <v>452</v>
      </c>
      <c r="F119" t="s">
        <v>18</v>
      </c>
      <c r="G119" t="s">
        <v>437</v>
      </c>
      <c r="H119" t="s">
        <v>438</v>
      </c>
      <c r="I119" t="s">
        <v>312</v>
      </c>
      <c r="J119">
        <v>51161830567</v>
      </c>
      <c r="K119" t="s">
        <v>299</v>
      </c>
      <c r="L119" t="s">
        <v>439</v>
      </c>
      <c r="M119">
        <v>36000</v>
      </c>
      <c r="N119" s="10">
        <v>1.711E-2</v>
      </c>
      <c r="O119" s="10">
        <f t="shared" si="85"/>
        <v>615.96</v>
      </c>
      <c r="P119" s="10">
        <v>0</v>
      </c>
      <c r="Q119" s="10">
        <v>0</v>
      </c>
      <c r="R119" s="10">
        <f>IF(COUNTIF($J$2:J119,J119)=1,SUMIFS($O:$O,$J:$J,J119)+SUMIFS($P:$P,$J:$J,J119)+SUMIFS($Q:$Q,$J:$J,J119),"")</f>
        <v>15645.77</v>
      </c>
      <c r="S119" s="10">
        <v>31612.19</v>
      </c>
      <c r="T119" s="11" t="str">
        <f>IFERROR(INDEX(AD:AD,MATCH(J119,J:J,0)),"")</f>
        <v>Check</v>
      </c>
      <c r="U119" s="12">
        <v>45964</v>
      </c>
      <c r="V119" s="10">
        <v>365.73</v>
      </c>
      <c r="W119" s="10" t="str">
        <f t="shared" si="86"/>
        <v>Short Paid</v>
      </c>
      <c r="X119" t="s">
        <v>53</v>
      </c>
      <c r="Y119" t="s">
        <v>25</v>
      </c>
      <c r="Z119">
        <v>100289</v>
      </c>
      <c r="AA119" t="s">
        <v>54</v>
      </c>
      <c r="AB119" t="s">
        <v>71</v>
      </c>
      <c r="AC119" s="9">
        <v>6</v>
      </c>
      <c r="AD119" s="9" t="str">
        <f t="shared" si="87"/>
        <v>Check</v>
      </c>
      <c r="AE119" s="11">
        <f t="shared" si="88"/>
        <v>-15966.419999999998</v>
      </c>
    </row>
    <row r="120" spans="1:31" x14ac:dyDescent="0.3">
      <c r="A120">
        <v>128</v>
      </c>
      <c r="B120">
        <v>4433581</v>
      </c>
      <c r="C120" t="s">
        <v>35</v>
      </c>
      <c r="D120">
        <v>1210881</v>
      </c>
      <c r="E120" t="s">
        <v>452</v>
      </c>
      <c r="F120" t="s">
        <v>18</v>
      </c>
      <c r="G120" t="s">
        <v>437</v>
      </c>
      <c r="H120" t="s">
        <v>438</v>
      </c>
      <c r="I120" t="s">
        <v>312</v>
      </c>
      <c r="J120">
        <v>51161830567</v>
      </c>
      <c r="K120" t="s">
        <v>299</v>
      </c>
      <c r="L120" t="s">
        <v>440</v>
      </c>
      <c r="M120">
        <v>9000</v>
      </c>
      <c r="N120" s="10">
        <v>5.5710000000000003E-2</v>
      </c>
      <c r="O120" s="10">
        <f t="shared" si="85"/>
        <v>501.39000000000004</v>
      </c>
      <c r="P120" s="10" t="s">
        <v>458</v>
      </c>
      <c r="Q120" s="10" t="s">
        <v>458</v>
      </c>
      <c r="R120" s="10" t="str">
        <f>IF(COUNTIF($J$2:J120,J120)=1,SUMIFS($O:$O,$J:$J,J120)+SUMIFS($P:$P,$J:$J,J120)+SUMIFS($Q:$Q,$J:$J,J120),"")</f>
        <v/>
      </c>
      <c r="S120" s="10" t="s">
        <v>458</v>
      </c>
      <c r="T120" s="11" t="str">
        <f>IFERROR(INDEX(AD:AD,MATCH(J120,J:J,0)),"")</f>
        <v>Check</v>
      </c>
      <c r="U120" s="12">
        <v>45964</v>
      </c>
      <c r="V120" s="10">
        <v>365.73</v>
      </c>
      <c r="W120" s="10" t="str">
        <f t="shared" si="86"/>
        <v>N/A</v>
      </c>
      <c r="X120" t="s">
        <v>53</v>
      </c>
      <c r="Y120" t="s">
        <v>25</v>
      </c>
      <c r="Z120">
        <v>100289</v>
      </c>
      <c r="AA120" t="s">
        <v>54</v>
      </c>
      <c r="AB120" t="s">
        <v>71</v>
      </c>
      <c r="AC120" s="9">
        <v>6</v>
      </c>
      <c r="AD120" s="9" t="str">
        <f t="shared" si="87"/>
        <v>N/A</v>
      </c>
      <c r="AE120" s="11" t="e">
        <f t="shared" si="88"/>
        <v>#VALUE!</v>
      </c>
    </row>
    <row r="121" spans="1:31" x14ac:dyDescent="0.3">
      <c r="A121">
        <v>128</v>
      </c>
      <c r="B121">
        <v>4433581</v>
      </c>
      <c r="C121" t="s">
        <v>35</v>
      </c>
      <c r="D121">
        <v>1210881</v>
      </c>
      <c r="E121" t="s">
        <v>452</v>
      </c>
      <c r="F121" t="s">
        <v>18</v>
      </c>
      <c r="G121" t="s">
        <v>437</v>
      </c>
      <c r="H121" t="s">
        <v>438</v>
      </c>
      <c r="I121" t="s">
        <v>312</v>
      </c>
      <c r="J121">
        <v>51161830567</v>
      </c>
      <c r="K121" t="s">
        <v>292</v>
      </c>
      <c r="L121" t="s">
        <v>441</v>
      </c>
      <c r="M121">
        <v>2000</v>
      </c>
      <c r="N121" s="10">
        <v>2.0550999999999999</v>
      </c>
      <c r="O121" s="10">
        <f t="shared" si="85"/>
        <v>4110.2</v>
      </c>
      <c r="P121" s="10" t="s">
        <v>458</v>
      </c>
      <c r="Q121" s="10" t="s">
        <v>458</v>
      </c>
      <c r="R121" s="10" t="str">
        <f>IF(COUNTIF($J$2:J121,J121)=1,SUMIFS($O:$O,$J:$J,J121)+SUMIFS($P:$P,$J:$J,J121)+SUMIFS($Q:$Q,$J:$J,J121),"")</f>
        <v/>
      </c>
      <c r="S121" s="10" t="s">
        <v>458</v>
      </c>
      <c r="T121" s="11" t="str">
        <f>IFERROR(INDEX(AD:AD,MATCH(J121,J:J,0)),"")</f>
        <v>Check</v>
      </c>
      <c r="U121" s="12">
        <v>45964</v>
      </c>
      <c r="V121" s="10">
        <v>365.73</v>
      </c>
      <c r="W121" s="10" t="str">
        <f t="shared" si="86"/>
        <v>N/A</v>
      </c>
      <c r="X121" t="s">
        <v>53</v>
      </c>
      <c r="Y121" t="s">
        <v>25</v>
      </c>
      <c r="Z121">
        <v>100289</v>
      </c>
      <c r="AA121" t="s">
        <v>54</v>
      </c>
      <c r="AB121" t="s">
        <v>71</v>
      </c>
      <c r="AC121" s="9">
        <v>6</v>
      </c>
      <c r="AD121" s="9" t="str">
        <f t="shared" si="87"/>
        <v>N/A</v>
      </c>
      <c r="AE121" s="11" t="e">
        <f t="shared" si="88"/>
        <v>#VALUE!</v>
      </c>
    </row>
    <row r="122" spans="1:31" x14ac:dyDescent="0.3">
      <c r="A122">
        <v>128</v>
      </c>
      <c r="B122">
        <v>4433581</v>
      </c>
      <c r="C122" t="s">
        <v>35</v>
      </c>
      <c r="D122">
        <v>1210881</v>
      </c>
      <c r="E122" t="s">
        <v>452</v>
      </c>
      <c r="F122" t="s">
        <v>18</v>
      </c>
      <c r="G122" t="s">
        <v>437</v>
      </c>
      <c r="H122" t="s">
        <v>438</v>
      </c>
      <c r="I122" t="s">
        <v>312</v>
      </c>
      <c r="J122">
        <v>51161830567</v>
      </c>
      <c r="K122" t="s">
        <v>292</v>
      </c>
      <c r="L122" t="s">
        <v>442</v>
      </c>
      <c r="M122">
        <v>7500</v>
      </c>
      <c r="N122" s="10">
        <v>0.35289999999999999</v>
      </c>
      <c r="O122" s="10">
        <f t="shared" si="85"/>
        <v>2646.75</v>
      </c>
      <c r="P122" s="10" t="s">
        <v>458</v>
      </c>
      <c r="Q122" s="10" t="s">
        <v>458</v>
      </c>
      <c r="R122" s="10" t="str">
        <f>IF(COUNTIF($J$2:J122,J122)=1,SUMIFS($O:$O,$J:$J,J122)+SUMIFS($P:$P,$J:$J,J122)+SUMIFS($Q:$Q,$J:$J,J122),"")</f>
        <v/>
      </c>
      <c r="S122" s="10" t="s">
        <v>458</v>
      </c>
      <c r="T122" s="11" t="str">
        <f>IFERROR(INDEX(AD:AD,MATCH(J122,J:J,0)),"")</f>
        <v>Check</v>
      </c>
      <c r="U122" s="12">
        <v>45964</v>
      </c>
      <c r="V122" s="10">
        <v>365.73</v>
      </c>
      <c r="W122" s="10" t="str">
        <f t="shared" si="86"/>
        <v>N/A</v>
      </c>
      <c r="X122" t="s">
        <v>53</v>
      </c>
      <c r="Y122" t="s">
        <v>25</v>
      </c>
      <c r="Z122">
        <v>100289</v>
      </c>
      <c r="AA122" t="s">
        <v>54</v>
      </c>
      <c r="AB122" t="s">
        <v>71</v>
      </c>
      <c r="AC122" s="9">
        <v>6</v>
      </c>
      <c r="AD122" s="9" t="str">
        <f t="shared" si="87"/>
        <v>N/A</v>
      </c>
      <c r="AE122" s="11" t="e">
        <f t="shared" si="88"/>
        <v>#VALUE!</v>
      </c>
    </row>
    <row r="123" spans="1:31" x14ac:dyDescent="0.3">
      <c r="A123">
        <v>128</v>
      </c>
      <c r="B123">
        <v>4433581</v>
      </c>
      <c r="C123" t="s">
        <v>35</v>
      </c>
      <c r="D123">
        <v>1210881</v>
      </c>
      <c r="E123" t="s">
        <v>452</v>
      </c>
      <c r="F123" t="s">
        <v>18</v>
      </c>
      <c r="G123" t="s">
        <v>437</v>
      </c>
      <c r="H123" t="s">
        <v>438</v>
      </c>
      <c r="I123" t="s">
        <v>312</v>
      </c>
      <c r="J123">
        <v>51161830567</v>
      </c>
      <c r="K123" t="s">
        <v>292</v>
      </c>
      <c r="L123" t="s">
        <v>443</v>
      </c>
      <c r="M123">
        <v>6000</v>
      </c>
      <c r="N123" s="10">
        <v>0.7752</v>
      </c>
      <c r="O123" s="10">
        <f t="shared" si="85"/>
        <v>4651.2</v>
      </c>
      <c r="P123" s="10" t="s">
        <v>458</v>
      </c>
      <c r="Q123" s="10" t="s">
        <v>458</v>
      </c>
      <c r="R123" s="10" t="str">
        <f>IF(COUNTIF($J$2:J123,J123)=1,SUMIFS($O:$O,$J:$J,J123)+SUMIFS($P:$P,$J:$J,J123)+SUMIFS($Q:$Q,$J:$J,J123),"")</f>
        <v/>
      </c>
      <c r="S123" s="10" t="s">
        <v>458</v>
      </c>
      <c r="T123" s="11" t="str">
        <f>IFERROR(INDEX(AD:AD,MATCH(J123,J:J,0)),"")</f>
        <v>Check</v>
      </c>
      <c r="U123" s="12">
        <v>45964</v>
      </c>
      <c r="V123" s="10">
        <v>365.73</v>
      </c>
      <c r="W123" s="10" t="str">
        <f t="shared" si="86"/>
        <v>N/A</v>
      </c>
      <c r="X123" t="s">
        <v>53</v>
      </c>
      <c r="Y123" t="s">
        <v>25</v>
      </c>
      <c r="Z123">
        <v>100289</v>
      </c>
      <c r="AA123" t="s">
        <v>54</v>
      </c>
      <c r="AB123" t="s">
        <v>71</v>
      </c>
      <c r="AC123" s="9">
        <v>6</v>
      </c>
      <c r="AD123" s="9" t="str">
        <f t="shared" si="87"/>
        <v>N/A</v>
      </c>
      <c r="AE123" s="11" t="e">
        <f t="shared" si="88"/>
        <v>#VALUE!</v>
      </c>
    </row>
    <row r="124" spans="1:31" x14ac:dyDescent="0.3">
      <c r="A124">
        <v>128</v>
      </c>
      <c r="B124">
        <v>4433581</v>
      </c>
      <c r="C124" t="s">
        <v>35</v>
      </c>
      <c r="D124">
        <v>1210881</v>
      </c>
      <c r="E124" t="s">
        <v>452</v>
      </c>
      <c r="F124" t="s">
        <v>18</v>
      </c>
      <c r="G124" t="s">
        <v>437</v>
      </c>
      <c r="H124" t="s">
        <v>438</v>
      </c>
      <c r="I124" t="s">
        <v>312</v>
      </c>
      <c r="J124">
        <v>51161830567</v>
      </c>
      <c r="K124" t="s">
        <v>292</v>
      </c>
      <c r="L124" t="s">
        <v>444</v>
      </c>
      <c r="M124">
        <v>3000</v>
      </c>
      <c r="N124" s="10">
        <v>1.04009</v>
      </c>
      <c r="O124" s="10">
        <f t="shared" si="85"/>
        <v>3120.27</v>
      </c>
      <c r="P124" s="10" t="s">
        <v>458</v>
      </c>
      <c r="Q124" s="10" t="s">
        <v>458</v>
      </c>
      <c r="R124" s="10" t="str">
        <f>IF(COUNTIF($J$2:J124,J124)=1,SUMIFS($O:$O,$J:$J,J124)+SUMIFS($P:$P,$J:$J,J124)+SUMIFS($Q:$Q,$J:$J,J124),"")</f>
        <v/>
      </c>
      <c r="S124" s="10" t="s">
        <v>458</v>
      </c>
      <c r="T124" s="11" t="str">
        <f>IFERROR(INDEX(AD:AD,MATCH(J124,J:J,0)),"")</f>
        <v>Check</v>
      </c>
      <c r="U124" s="12">
        <v>45964</v>
      </c>
      <c r="V124" s="10">
        <v>365.73</v>
      </c>
      <c r="W124" s="10" t="str">
        <f t="shared" si="86"/>
        <v>N/A</v>
      </c>
      <c r="X124" t="s">
        <v>53</v>
      </c>
      <c r="Y124" t="s">
        <v>25</v>
      </c>
      <c r="Z124">
        <v>100289</v>
      </c>
      <c r="AA124" t="s">
        <v>54</v>
      </c>
      <c r="AB124" t="s">
        <v>71</v>
      </c>
      <c r="AC124" s="9">
        <v>6</v>
      </c>
      <c r="AD124" s="9" t="str">
        <f t="shared" si="87"/>
        <v>N/A</v>
      </c>
      <c r="AE124" s="11" t="e">
        <f t="shared" si="88"/>
        <v>#VALUE!</v>
      </c>
    </row>
    <row r="125" spans="1:31" x14ac:dyDescent="0.3">
      <c r="A125">
        <v>2</v>
      </c>
      <c r="B125">
        <v>4964665</v>
      </c>
      <c r="C125" t="s">
        <v>35</v>
      </c>
      <c r="D125">
        <v>1480319</v>
      </c>
      <c r="E125" t="s">
        <v>453</v>
      </c>
      <c r="F125" t="s">
        <v>24</v>
      </c>
      <c r="G125" t="s">
        <v>164</v>
      </c>
      <c r="H125" t="s">
        <v>165</v>
      </c>
      <c r="I125" t="s">
        <v>303</v>
      </c>
      <c r="J125">
        <v>51161901358</v>
      </c>
      <c r="K125" t="s">
        <v>257</v>
      </c>
      <c r="L125" t="s">
        <v>352</v>
      </c>
      <c r="M125">
        <v>11520</v>
      </c>
      <c r="N125" s="10">
        <v>0.35560000000000003</v>
      </c>
      <c r="O125" s="10">
        <f t="shared" si="85"/>
        <v>4096.5120000000006</v>
      </c>
      <c r="P125" s="10">
        <v>0</v>
      </c>
      <c r="Q125" s="10">
        <v>2142.48</v>
      </c>
      <c r="R125" s="10">
        <f>IF(COUNTIF($J$2:J125,J125)=1,SUMIFS($O:$O,$J:$J,J125)+SUMIFS($P:$P,$J:$J,J125)+SUMIFS($Q:$Q,$J:$J,J125),"")</f>
        <v>8238.9920000000002</v>
      </c>
      <c r="S125" s="10">
        <v>8246.99</v>
      </c>
      <c r="T125" s="11" t="str">
        <f>IFERROR(INDEX(AD:AD,MATCH(J125,J:J,0)),"")</f>
        <v>Check</v>
      </c>
      <c r="U125" s="12">
        <v>46125</v>
      </c>
      <c r="V125" s="10">
        <v>1800</v>
      </c>
      <c r="W125" s="10" t="str">
        <f t="shared" si="86"/>
        <v>Short Paid</v>
      </c>
      <c r="X125" t="s">
        <v>53</v>
      </c>
      <c r="Y125" t="s">
        <v>36</v>
      </c>
      <c r="Z125">
        <v>100189</v>
      </c>
      <c r="AA125" t="s">
        <v>214</v>
      </c>
      <c r="AB125" t="s">
        <v>70</v>
      </c>
      <c r="AC125" s="9">
        <v>2</v>
      </c>
      <c r="AD125" s="9" t="str">
        <f t="shared" si="87"/>
        <v>Check</v>
      </c>
      <c r="AE125" s="11">
        <f t="shared" si="88"/>
        <v>-7.9979999999995925</v>
      </c>
    </row>
    <row r="126" spans="1:31" x14ac:dyDescent="0.3">
      <c r="A126">
        <v>2</v>
      </c>
      <c r="B126">
        <v>4964665</v>
      </c>
      <c r="C126" t="s">
        <v>35</v>
      </c>
      <c r="D126">
        <v>1480319</v>
      </c>
      <c r="E126" t="s">
        <v>453</v>
      </c>
      <c r="F126" t="s">
        <v>24</v>
      </c>
      <c r="G126" t="s">
        <v>164</v>
      </c>
      <c r="H126" t="s">
        <v>165</v>
      </c>
      <c r="I126" t="s">
        <v>298</v>
      </c>
      <c r="J126">
        <v>51161901358</v>
      </c>
      <c r="K126" t="s">
        <v>221</v>
      </c>
      <c r="L126" t="s">
        <v>445</v>
      </c>
      <c r="M126">
        <v>2500</v>
      </c>
      <c r="N126" s="10">
        <v>0.8</v>
      </c>
      <c r="O126" s="10">
        <f t="shared" si="85"/>
        <v>2000</v>
      </c>
      <c r="P126" s="10" t="s">
        <v>458</v>
      </c>
      <c r="Q126" s="10" t="s">
        <v>458</v>
      </c>
      <c r="R126" s="10" t="str">
        <f>IF(COUNTIF($J$2:J126,J126)=1,SUMIFS($O:$O,$J:$J,J126)+SUMIFS($P:$P,$J:$J,J126)+SUMIFS($Q:$Q,$J:$J,J126),"")</f>
        <v/>
      </c>
      <c r="S126" s="10" t="s">
        <v>458</v>
      </c>
      <c r="T126" s="11" t="str">
        <f>IFERROR(INDEX(AD:AD,MATCH(J126,J:J,0)),"")</f>
        <v>Check</v>
      </c>
      <c r="U126" s="12">
        <v>46125</v>
      </c>
      <c r="V126" s="10">
        <v>1800</v>
      </c>
      <c r="W126" s="10" t="str">
        <f t="shared" si="86"/>
        <v>N/A</v>
      </c>
      <c r="X126" t="s">
        <v>53</v>
      </c>
      <c r="Y126" t="s">
        <v>36</v>
      </c>
      <c r="Z126">
        <v>100189</v>
      </c>
      <c r="AA126" t="s">
        <v>214</v>
      </c>
      <c r="AB126" t="s">
        <v>70</v>
      </c>
      <c r="AC126" s="9">
        <v>2</v>
      </c>
      <c r="AD126" s="9" t="str">
        <f t="shared" si="87"/>
        <v>N/A</v>
      </c>
      <c r="AE126" s="11" t="e">
        <f t="shared" si="88"/>
        <v>#VALUE!</v>
      </c>
    </row>
    <row r="127" spans="1:31" x14ac:dyDescent="0.3">
      <c r="A127">
        <v>113</v>
      </c>
      <c r="B127">
        <v>4438889</v>
      </c>
      <c r="C127" t="s">
        <v>35</v>
      </c>
      <c r="D127">
        <v>1373071</v>
      </c>
      <c r="E127" t="s">
        <v>76</v>
      </c>
      <c r="F127" t="s">
        <v>40</v>
      </c>
      <c r="G127" t="s">
        <v>176</v>
      </c>
      <c r="H127" t="s">
        <v>177</v>
      </c>
      <c r="I127" t="s">
        <v>249</v>
      </c>
      <c r="J127">
        <v>51163724457</v>
      </c>
      <c r="K127" t="s">
        <v>262</v>
      </c>
      <c r="L127" t="s">
        <v>446</v>
      </c>
      <c r="M127">
        <v>2500</v>
      </c>
      <c r="N127" s="10">
        <v>0.52359999999999995</v>
      </c>
      <c r="O127" s="10">
        <f t="shared" ref="O127:O132" si="89">M127*N127</f>
        <v>1308.9999999999998</v>
      </c>
      <c r="P127" s="10">
        <v>0</v>
      </c>
      <c r="Q127" s="10">
        <v>0</v>
      </c>
      <c r="R127" s="10">
        <f>IF(COUNTIF($J$2:J127,J127)=1,SUMIFS($O:$O,$J:$J,J127)+SUMIFS($P:$P,$J:$J,J127)+SUMIFS($Q:$Q,$J:$J,J127),"")</f>
        <v>143685.5</v>
      </c>
      <c r="S127" s="10">
        <v>146897</v>
      </c>
      <c r="T127" s="11" t="str">
        <f>IFERROR(INDEX(AD:AD,MATCH(J127,J:J,0)),"")</f>
        <v>Check</v>
      </c>
      <c r="U127" s="12">
        <v>45952</v>
      </c>
      <c r="V127" s="10">
        <v>146897</v>
      </c>
      <c r="W127" s="10" t="str">
        <f t="shared" ref="W127:W132" si="90">IF(OR(S127="",V127=""),"N/A",IF(S127&lt;&gt;V127,"Short Paid","Not Paid"))</f>
        <v>Not Paid</v>
      </c>
      <c r="X127" t="s">
        <v>53</v>
      </c>
      <c r="Y127" t="s">
        <v>25</v>
      </c>
      <c r="Z127">
        <v>100289</v>
      </c>
      <c r="AA127" t="s">
        <v>54</v>
      </c>
      <c r="AB127" t="s">
        <v>205</v>
      </c>
      <c r="AC127" s="9">
        <v>4</v>
      </c>
      <c r="AD127" s="9" t="str">
        <f t="shared" ref="AD127:AD132" si="91">IF(AND(R127="",S127=""),"N/A",IF(R127=S127,"Ok","Check"))</f>
        <v>Check</v>
      </c>
      <c r="AE127" s="11">
        <f t="shared" ref="AE127:AE132" si="92">R127-S127</f>
        <v>-3211.5</v>
      </c>
    </row>
    <row r="128" spans="1:31" x14ac:dyDescent="0.3">
      <c r="A128">
        <v>113</v>
      </c>
      <c r="B128">
        <v>4438889</v>
      </c>
      <c r="C128" t="s">
        <v>35</v>
      </c>
      <c r="D128">
        <v>1373071</v>
      </c>
      <c r="E128" t="s">
        <v>76</v>
      </c>
      <c r="F128" t="s">
        <v>40</v>
      </c>
      <c r="G128" t="s">
        <v>176</v>
      </c>
      <c r="H128" t="s">
        <v>177</v>
      </c>
      <c r="I128" t="s">
        <v>249</v>
      </c>
      <c r="J128">
        <v>51163724457</v>
      </c>
      <c r="K128" t="s">
        <v>262</v>
      </c>
      <c r="L128" t="s">
        <v>447</v>
      </c>
      <c r="M128">
        <v>44000</v>
      </c>
      <c r="N128" s="10">
        <v>3.17</v>
      </c>
      <c r="O128" s="10">
        <f t="shared" si="89"/>
        <v>139480</v>
      </c>
      <c r="P128" s="10" t="s">
        <v>458</v>
      </c>
      <c r="Q128" s="10" t="s">
        <v>458</v>
      </c>
      <c r="R128" s="10" t="str">
        <f>IF(COUNTIF($J$2:J128,J128)=1,SUMIFS($O:$O,$J:$J,J128)+SUMIFS($P:$P,$J:$J,J128)+SUMIFS($Q:$Q,$J:$J,J128),"")</f>
        <v/>
      </c>
      <c r="S128" s="10" t="s">
        <v>458</v>
      </c>
      <c r="T128" s="11" t="str">
        <f>IFERROR(INDEX(AD:AD,MATCH(J128,J:J,0)),"")</f>
        <v>Check</v>
      </c>
      <c r="U128" s="12">
        <v>45952</v>
      </c>
      <c r="V128" s="10">
        <v>146897</v>
      </c>
      <c r="W128" s="10" t="str">
        <f t="shared" si="90"/>
        <v>N/A</v>
      </c>
      <c r="X128" t="s">
        <v>53</v>
      </c>
      <c r="Y128" t="s">
        <v>25</v>
      </c>
      <c r="Z128">
        <v>100289</v>
      </c>
      <c r="AA128" t="s">
        <v>54</v>
      </c>
      <c r="AB128" t="s">
        <v>205</v>
      </c>
      <c r="AC128" s="9">
        <v>4</v>
      </c>
      <c r="AD128" s="9" t="str">
        <f t="shared" si="91"/>
        <v>N/A</v>
      </c>
      <c r="AE128" s="11" t="e">
        <f t="shared" si="92"/>
        <v>#VALUE!</v>
      </c>
    </row>
    <row r="129" spans="1:31" x14ac:dyDescent="0.3">
      <c r="A129">
        <v>113</v>
      </c>
      <c r="B129">
        <v>4438889</v>
      </c>
      <c r="C129" t="s">
        <v>35</v>
      </c>
      <c r="D129">
        <v>1373071</v>
      </c>
      <c r="E129" t="s">
        <v>76</v>
      </c>
      <c r="F129" t="s">
        <v>40</v>
      </c>
      <c r="G129" t="s">
        <v>176</v>
      </c>
      <c r="H129" t="s">
        <v>177</v>
      </c>
      <c r="I129" t="s">
        <v>249</v>
      </c>
      <c r="J129">
        <v>51163724457</v>
      </c>
      <c r="K129" t="s">
        <v>221</v>
      </c>
      <c r="L129" t="s">
        <v>448</v>
      </c>
      <c r="M129">
        <v>4500</v>
      </c>
      <c r="N129" s="10">
        <v>0.58699999999999997</v>
      </c>
      <c r="O129" s="10">
        <f t="shared" si="89"/>
        <v>2641.5</v>
      </c>
      <c r="P129" s="10" t="s">
        <v>458</v>
      </c>
      <c r="Q129" s="10" t="s">
        <v>458</v>
      </c>
      <c r="R129" s="10" t="str">
        <f>IF(COUNTIF($J$2:J129,J129)=1,SUMIFS($O:$O,$J:$J,J129)+SUMIFS($P:$P,$J:$J,J129)+SUMIFS($Q:$Q,$J:$J,J129),"")</f>
        <v/>
      </c>
      <c r="S129" s="10" t="s">
        <v>458</v>
      </c>
      <c r="T129" s="11" t="str">
        <f>IFERROR(INDEX(AD:AD,MATCH(J129,J:J,0)),"")</f>
        <v>Check</v>
      </c>
      <c r="U129" s="12">
        <v>45952</v>
      </c>
      <c r="V129" s="10">
        <v>146897</v>
      </c>
      <c r="W129" s="10" t="str">
        <f t="shared" si="90"/>
        <v>N/A</v>
      </c>
      <c r="X129" t="s">
        <v>53</v>
      </c>
      <c r="Y129" t="s">
        <v>25</v>
      </c>
      <c r="Z129">
        <v>100289</v>
      </c>
      <c r="AA129" t="s">
        <v>54</v>
      </c>
      <c r="AB129" t="s">
        <v>205</v>
      </c>
      <c r="AC129" s="9">
        <v>4</v>
      </c>
      <c r="AD129" s="9" t="str">
        <f t="shared" si="91"/>
        <v>N/A</v>
      </c>
      <c r="AE129" s="11" t="e">
        <f t="shared" si="92"/>
        <v>#VALUE!</v>
      </c>
    </row>
    <row r="130" spans="1:31" x14ac:dyDescent="0.3">
      <c r="A130">
        <v>113</v>
      </c>
      <c r="B130">
        <v>4438889</v>
      </c>
      <c r="C130" t="s">
        <v>35</v>
      </c>
      <c r="D130">
        <v>1373071</v>
      </c>
      <c r="E130" t="s">
        <v>76</v>
      </c>
      <c r="F130" t="s">
        <v>40</v>
      </c>
      <c r="G130" t="s">
        <v>176</v>
      </c>
      <c r="H130" t="s">
        <v>177</v>
      </c>
      <c r="I130" t="s">
        <v>249</v>
      </c>
      <c r="J130">
        <v>51163724457</v>
      </c>
      <c r="K130" t="s">
        <v>413</v>
      </c>
      <c r="L130" t="s">
        <v>417</v>
      </c>
      <c r="M130">
        <v>3000</v>
      </c>
      <c r="N130" s="10">
        <v>8.5000000000000006E-2</v>
      </c>
      <c r="O130" s="10">
        <f t="shared" si="89"/>
        <v>255.00000000000003</v>
      </c>
      <c r="P130" s="10" t="s">
        <v>458</v>
      </c>
      <c r="Q130" s="10" t="s">
        <v>458</v>
      </c>
      <c r="R130" s="10" t="str">
        <f>IF(COUNTIF($J$2:J130,J130)=1,SUMIFS($O:$O,$J:$J,J130)+SUMIFS($P:$P,$J:$J,J130)+SUMIFS($Q:$Q,$J:$J,J130),"")</f>
        <v/>
      </c>
      <c r="S130" s="10" t="s">
        <v>458</v>
      </c>
      <c r="T130" s="11" t="str">
        <f>IFERROR(INDEX(AD:AD,MATCH(J130,J:J,0)),"")</f>
        <v>Check</v>
      </c>
      <c r="U130" s="12">
        <v>45952</v>
      </c>
      <c r="V130" s="10">
        <v>146897</v>
      </c>
      <c r="W130" s="10" t="str">
        <f t="shared" si="90"/>
        <v>N/A</v>
      </c>
      <c r="X130" t="s">
        <v>53</v>
      </c>
      <c r="Y130" t="s">
        <v>25</v>
      </c>
      <c r="Z130">
        <v>100289</v>
      </c>
      <c r="AA130" t="s">
        <v>54</v>
      </c>
      <c r="AB130" t="s">
        <v>205</v>
      </c>
      <c r="AC130" s="9">
        <v>4</v>
      </c>
      <c r="AD130" s="9" t="str">
        <f t="shared" si="91"/>
        <v>N/A</v>
      </c>
      <c r="AE130" s="11" t="e">
        <f t="shared" si="92"/>
        <v>#VALUE!</v>
      </c>
    </row>
    <row r="131" spans="1:31" x14ac:dyDescent="0.3">
      <c r="A131">
        <v>120</v>
      </c>
      <c r="B131">
        <v>4438001</v>
      </c>
      <c r="C131" t="s">
        <v>35</v>
      </c>
      <c r="D131">
        <v>1461333</v>
      </c>
      <c r="E131" t="s">
        <v>49</v>
      </c>
      <c r="F131" t="s">
        <v>20</v>
      </c>
      <c r="G131" t="s">
        <v>174</v>
      </c>
      <c r="H131" t="s">
        <v>175</v>
      </c>
      <c r="I131" t="s">
        <v>229</v>
      </c>
      <c r="J131">
        <v>51164569185</v>
      </c>
      <c r="K131" t="s">
        <v>263</v>
      </c>
      <c r="L131" t="s">
        <v>449</v>
      </c>
      <c r="M131">
        <v>1</v>
      </c>
      <c r="N131" s="10">
        <v>1000</v>
      </c>
      <c r="O131" s="10">
        <f t="shared" si="89"/>
        <v>1000</v>
      </c>
      <c r="P131" s="10">
        <v>0</v>
      </c>
      <c r="Q131" s="10">
        <v>0</v>
      </c>
      <c r="R131" s="10">
        <f>IF(COUNTIF($J$2:J131,J131)=1,SUMIFS($O:$O,$J:$J,J131)+SUMIFS($P:$P,$J:$J,J131)+SUMIFS($Q:$Q,$J:$J,J131),"")</f>
        <v>12884.560000000001</v>
      </c>
      <c r="S131" s="10">
        <v>15034.56</v>
      </c>
      <c r="T131" s="11" t="str">
        <f>IFERROR(INDEX(AD:AD,MATCH(J131,J:J,0)),"")</f>
        <v>Check</v>
      </c>
      <c r="U131" s="12">
        <v>45983</v>
      </c>
      <c r="V131" s="10">
        <v>1033.44</v>
      </c>
      <c r="W131" s="10" t="str">
        <f t="shared" si="90"/>
        <v>Short Paid</v>
      </c>
      <c r="X131" t="s">
        <v>53</v>
      </c>
      <c r="Y131" t="s">
        <v>25</v>
      </c>
      <c r="Z131">
        <v>100129</v>
      </c>
      <c r="AA131" t="s">
        <v>65</v>
      </c>
      <c r="AB131" t="s">
        <v>69</v>
      </c>
      <c r="AC131" s="9">
        <v>2</v>
      </c>
      <c r="AD131" s="9" t="str">
        <f t="shared" si="91"/>
        <v>Check</v>
      </c>
      <c r="AE131" s="11">
        <f t="shared" si="92"/>
        <v>-2149.9999999999982</v>
      </c>
    </row>
    <row r="132" spans="1:31" x14ac:dyDescent="0.3">
      <c r="A132">
        <v>120</v>
      </c>
      <c r="B132">
        <v>4438001</v>
      </c>
      <c r="C132" t="s">
        <v>35</v>
      </c>
      <c r="D132">
        <v>1461333</v>
      </c>
      <c r="E132" t="s">
        <v>49</v>
      </c>
      <c r="F132" t="s">
        <v>20</v>
      </c>
      <c r="G132" t="s">
        <v>174</v>
      </c>
      <c r="H132" t="s">
        <v>175</v>
      </c>
      <c r="I132" t="s">
        <v>229</v>
      </c>
      <c r="J132">
        <v>51164569185</v>
      </c>
      <c r="K132" t="s">
        <v>263</v>
      </c>
      <c r="L132" t="s">
        <v>450</v>
      </c>
      <c r="M132">
        <v>46</v>
      </c>
      <c r="N132" s="10">
        <v>258.36</v>
      </c>
      <c r="O132" s="10">
        <f t="shared" si="89"/>
        <v>11884.560000000001</v>
      </c>
      <c r="P132" s="10" t="s">
        <v>458</v>
      </c>
      <c r="Q132" s="10" t="s">
        <v>458</v>
      </c>
      <c r="R132" s="10" t="str">
        <f>IF(COUNTIF($J$2:J132,J132)=1,SUMIFS($O:$O,$J:$J,J132)+SUMIFS($P:$P,$J:$J,J132)+SUMIFS($Q:$Q,$J:$J,J132),"")</f>
        <v/>
      </c>
      <c r="S132" s="10" t="s">
        <v>458</v>
      </c>
      <c r="T132" s="11" t="str">
        <f>IFERROR(INDEX(AD:AD,MATCH(J132,J:J,0)),"")</f>
        <v>Check</v>
      </c>
      <c r="U132" s="12">
        <v>45983</v>
      </c>
      <c r="V132" s="10">
        <v>1033.44</v>
      </c>
      <c r="W132" s="10" t="str">
        <f t="shared" si="90"/>
        <v>N/A</v>
      </c>
      <c r="X132" t="s">
        <v>53</v>
      </c>
      <c r="Y132" t="s">
        <v>25</v>
      </c>
      <c r="Z132">
        <v>100129</v>
      </c>
      <c r="AA132" t="s">
        <v>65</v>
      </c>
      <c r="AB132" t="s">
        <v>69</v>
      </c>
      <c r="AC132" s="9">
        <v>2</v>
      </c>
      <c r="AD132" s="9" t="str">
        <f t="shared" si="91"/>
        <v>N/A</v>
      </c>
      <c r="AE132" s="11" t="e">
        <f t="shared" si="92"/>
        <v>#VALUE!</v>
      </c>
    </row>
    <row r="133" spans="1:31" x14ac:dyDescent="0.3">
      <c r="AD133" s="16"/>
      <c r="AE133" s="11"/>
    </row>
    <row r="134" spans="1:31" x14ac:dyDescent="0.3">
      <c r="AD134" s="16"/>
      <c r="AE134" s="11"/>
    </row>
    <row r="135" spans="1:31" x14ac:dyDescent="0.3">
      <c r="AD135" s="16"/>
      <c r="AE135" s="11"/>
    </row>
    <row r="136" spans="1:31" x14ac:dyDescent="0.3">
      <c r="AD136" s="16"/>
      <c r="AE136" s="11"/>
    </row>
    <row r="137" spans="1:31" x14ac:dyDescent="0.3">
      <c r="AD137" s="16"/>
      <c r="AE137" s="11"/>
    </row>
    <row r="138" spans="1:31" x14ac:dyDescent="0.3">
      <c r="AD138" s="16"/>
      <c r="AE138" s="11"/>
    </row>
    <row r="139" spans="1:31" x14ac:dyDescent="0.3">
      <c r="AD139" s="16"/>
      <c r="AE139" s="11"/>
    </row>
    <row r="140" spans="1:31" x14ac:dyDescent="0.3">
      <c r="AD140" s="16"/>
      <c r="AE140" s="11"/>
    </row>
    <row r="141" spans="1:31" x14ac:dyDescent="0.3">
      <c r="AD141" s="16"/>
      <c r="AE141" s="11"/>
    </row>
    <row r="142" spans="1:31" x14ac:dyDescent="0.3">
      <c r="AD142" s="16"/>
      <c r="AE142" s="11"/>
    </row>
    <row r="143" spans="1:31" x14ac:dyDescent="0.3">
      <c r="AD143" s="16"/>
      <c r="AE143" s="11"/>
    </row>
    <row r="144" spans="1:31" x14ac:dyDescent="0.3">
      <c r="AD144" s="16"/>
      <c r="AE144" s="11"/>
    </row>
    <row r="145" spans="30:31" x14ac:dyDescent="0.3">
      <c r="AD145" s="16"/>
      <c r="AE145" s="11"/>
    </row>
    <row r="146" spans="30:31" x14ac:dyDescent="0.3">
      <c r="AD146" s="16"/>
      <c r="AE146" s="11"/>
    </row>
    <row r="147" spans="30:31" x14ac:dyDescent="0.3">
      <c r="AD147" s="16"/>
      <c r="AE147" s="11"/>
    </row>
    <row r="148" spans="30:31" x14ac:dyDescent="0.3">
      <c r="AD148" s="16"/>
      <c r="AE148" s="11"/>
    </row>
    <row r="149" spans="30:31" x14ac:dyDescent="0.3">
      <c r="AD149" s="16"/>
      <c r="AE149" s="11"/>
    </row>
    <row r="150" spans="30:31" x14ac:dyDescent="0.3">
      <c r="AD150" s="16"/>
      <c r="AE150" s="11"/>
    </row>
    <row r="151" spans="30:31" x14ac:dyDescent="0.3">
      <c r="AD151" s="16"/>
      <c r="AE151" s="11"/>
    </row>
    <row r="152" spans="30:31" x14ac:dyDescent="0.3">
      <c r="AD152" s="16"/>
      <c r="AE152" s="11"/>
    </row>
    <row r="153" spans="30:31" x14ac:dyDescent="0.3">
      <c r="AD153" s="16"/>
      <c r="AE153" s="11"/>
    </row>
    <row r="154" spans="30:31" x14ac:dyDescent="0.3">
      <c r="AD154" s="16"/>
      <c r="AE154" s="11"/>
    </row>
    <row r="155" spans="30:31" x14ac:dyDescent="0.3">
      <c r="AD155" s="16"/>
      <c r="AE155" s="11"/>
    </row>
    <row r="156" spans="30:31" x14ac:dyDescent="0.3">
      <c r="AD156" s="16"/>
      <c r="AE156" s="11"/>
    </row>
    <row r="157" spans="30:31" x14ac:dyDescent="0.3">
      <c r="AD157" s="16"/>
      <c r="AE157" s="11"/>
    </row>
    <row r="158" spans="30:31" x14ac:dyDescent="0.3">
      <c r="AD158" s="16"/>
      <c r="AE158" s="11"/>
    </row>
    <row r="159" spans="30:31" x14ac:dyDescent="0.3">
      <c r="AD159" s="16"/>
      <c r="AE159" s="11"/>
    </row>
    <row r="160" spans="30:31" x14ac:dyDescent="0.3">
      <c r="AD160" s="16"/>
      <c r="AE160" s="11"/>
    </row>
    <row r="161" spans="30:31" x14ac:dyDescent="0.3">
      <c r="AD161" s="16"/>
      <c r="AE161" s="11"/>
    </row>
    <row r="162" spans="30:31" x14ac:dyDescent="0.3">
      <c r="AD162" s="16"/>
      <c r="AE162" s="11"/>
    </row>
    <row r="163" spans="30:31" x14ac:dyDescent="0.3">
      <c r="AD163" s="16"/>
      <c r="AE163" s="11"/>
    </row>
    <row r="164" spans="30:31" x14ac:dyDescent="0.3">
      <c r="AD164" s="16"/>
      <c r="AE164" s="11"/>
    </row>
    <row r="165" spans="30:31" x14ac:dyDescent="0.3">
      <c r="AD165" s="16"/>
      <c r="AE165" s="11"/>
    </row>
    <row r="166" spans="30:31" x14ac:dyDescent="0.3">
      <c r="AD166" s="16"/>
      <c r="AE166" s="11"/>
    </row>
    <row r="167" spans="30:31" x14ac:dyDescent="0.3">
      <c r="AD167" s="16"/>
      <c r="AE167" s="11"/>
    </row>
    <row r="168" spans="30:31" x14ac:dyDescent="0.3">
      <c r="AD168" s="16"/>
      <c r="AE168" s="11"/>
    </row>
    <row r="169" spans="30:31" x14ac:dyDescent="0.3">
      <c r="AD169" s="16"/>
      <c r="AE169" s="11"/>
    </row>
    <row r="170" spans="30:31" x14ac:dyDescent="0.3">
      <c r="AD170" s="16"/>
      <c r="AE170" s="11"/>
    </row>
    <row r="171" spans="30:31" x14ac:dyDescent="0.3">
      <c r="AD171" s="16"/>
      <c r="AE171" s="11"/>
    </row>
    <row r="172" spans="30:31" x14ac:dyDescent="0.3">
      <c r="AD172" s="16"/>
      <c r="AE172" s="11"/>
    </row>
    <row r="173" spans="30:31" x14ac:dyDescent="0.3">
      <c r="AD173" s="16"/>
      <c r="AE173" s="11"/>
    </row>
    <row r="174" spans="30:31" x14ac:dyDescent="0.3">
      <c r="AD174" s="16"/>
      <c r="AE174" s="11"/>
    </row>
    <row r="175" spans="30:31" x14ac:dyDescent="0.3">
      <c r="AD175" s="16"/>
      <c r="AE175" s="11"/>
    </row>
    <row r="176" spans="30:31" x14ac:dyDescent="0.3">
      <c r="AD176" s="16"/>
      <c r="AE176" s="11"/>
    </row>
    <row r="177" spans="30:31" x14ac:dyDescent="0.3">
      <c r="AD177" s="16"/>
      <c r="AE177" s="11"/>
    </row>
    <row r="178" spans="30:31" x14ac:dyDescent="0.3">
      <c r="AD178" s="16"/>
      <c r="AE178" s="11"/>
    </row>
    <row r="179" spans="30:31" x14ac:dyDescent="0.3">
      <c r="AD179" s="16"/>
      <c r="AE179" s="11"/>
    </row>
    <row r="180" spans="30:31" x14ac:dyDescent="0.3">
      <c r="AD180" s="16"/>
      <c r="AE180" s="11"/>
    </row>
    <row r="181" spans="30:31" x14ac:dyDescent="0.3">
      <c r="AD181" s="16"/>
      <c r="AE181" s="11"/>
    </row>
    <row r="182" spans="30:31" x14ac:dyDescent="0.3">
      <c r="AD182" s="16"/>
      <c r="AE182" s="11"/>
    </row>
    <row r="183" spans="30:31" x14ac:dyDescent="0.3">
      <c r="AD183" s="16"/>
      <c r="AE183" s="11"/>
    </row>
    <row r="184" spans="30:31" x14ac:dyDescent="0.3">
      <c r="AD184" s="16"/>
      <c r="AE184" s="11"/>
    </row>
    <row r="185" spans="30:31" x14ac:dyDescent="0.3">
      <c r="AD185" s="16"/>
      <c r="AE185" s="11"/>
    </row>
    <row r="186" spans="30:31" x14ac:dyDescent="0.3">
      <c r="AD186" s="16"/>
      <c r="AE186" s="11"/>
    </row>
    <row r="187" spans="30:31" x14ac:dyDescent="0.3">
      <c r="AD187" s="16"/>
      <c r="AE187" s="11"/>
    </row>
    <row r="188" spans="30:31" x14ac:dyDescent="0.3">
      <c r="AD188" s="16"/>
      <c r="AE188" s="11"/>
    </row>
    <row r="189" spans="30:31" x14ac:dyDescent="0.3">
      <c r="AD189" s="16"/>
      <c r="AE189" s="11"/>
    </row>
    <row r="190" spans="30:31" x14ac:dyDescent="0.3">
      <c r="AD190" s="16"/>
      <c r="AE190" s="11"/>
    </row>
    <row r="191" spans="30:31" x14ac:dyDescent="0.3">
      <c r="AD191" s="16"/>
      <c r="AE191" s="11"/>
    </row>
    <row r="192" spans="30:31" x14ac:dyDescent="0.3">
      <c r="AD192" s="16"/>
      <c r="AE192" s="11"/>
    </row>
    <row r="193" spans="30:31" x14ac:dyDescent="0.3">
      <c r="AD193" s="16"/>
      <c r="AE193" s="11"/>
    </row>
    <row r="194" spans="30:31" x14ac:dyDescent="0.3">
      <c r="AD194" s="16"/>
      <c r="AE194" s="11"/>
    </row>
    <row r="195" spans="30:31" x14ac:dyDescent="0.3">
      <c r="AD195" s="16"/>
      <c r="AE195" s="11"/>
    </row>
    <row r="196" spans="30:31" x14ac:dyDescent="0.3">
      <c r="AD196" s="16"/>
      <c r="AE196" s="11"/>
    </row>
    <row r="197" spans="30:31" x14ac:dyDescent="0.3">
      <c r="AD197" s="16"/>
      <c r="AE197" s="11"/>
    </row>
    <row r="198" spans="30:31" x14ac:dyDescent="0.3">
      <c r="AD198" s="16"/>
      <c r="AE198" s="11"/>
    </row>
    <row r="199" spans="30:31" x14ac:dyDescent="0.3">
      <c r="AD199" s="16"/>
      <c r="AE199" s="11"/>
    </row>
    <row r="200" spans="30:31" x14ac:dyDescent="0.3">
      <c r="AD200" s="16"/>
      <c r="AE200" s="11"/>
    </row>
    <row r="201" spans="30:31" x14ac:dyDescent="0.3">
      <c r="AD201" s="16"/>
      <c r="AE201" s="11"/>
    </row>
    <row r="202" spans="30:31" x14ac:dyDescent="0.3">
      <c r="AD202" s="16"/>
      <c r="AE202" s="11"/>
    </row>
    <row r="203" spans="30:31" x14ac:dyDescent="0.3">
      <c r="AD203" s="16"/>
      <c r="AE203" s="11"/>
    </row>
    <row r="204" spans="30:31" x14ac:dyDescent="0.3">
      <c r="AD204" s="16"/>
      <c r="AE204" s="11"/>
    </row>
    <row r="205" spans="30:31" x14ac:dyDescent="0.3">
      <c r="AD205" s="16"/>
      <c r="AE205" s="11"/>
    </row>
    <row r="206" spans="30:31" x14ac:dyDescent="0.3">
      <c r="AD206" s="16"/>
      <c r="AE206" s="11"/>
    </row>
    <row r="207" spans="30:31" x14ac:dyDescent="0.3">
      <c r="AD207" s="16"/>
      <c r="AE207" s="11"/>
    </row>
    <row r="208" spans="30:31" x14ac:dyDescent="0.3">
      <c r="AD208" s="16"/>
      <c r="AE208" s="11"/>
    </row>
    <row r="209" spans="30:31" x14ac:dyDescent="0.3">
      <c r="AD209" s="16"/>
      <c r="AE209" s="11"/>
    </row>
    <row r="210" spans="30:31" x14ac:dyDescent="0.3">
      <c r="AD210" s="16"/>
      <c r="AE210" s="11"/>
    </row>
    <row r="211" spans="30:31" x14ac:dyDescent="0.3">
      <c r="AD211" s="16"/>
      <c r="AE211" s="11"/>
    </row>
    <row r="212" spans="30:31" x14ac:dyDescent="0.3">
      <c r="AD212" s="16"/>
      <c r="AE212" s="11"/>
    </row>
    <row r="213" spans="30:31" x14ac:dyDescent="0.3">
      <c r="AD213" s="16"/>
      <c r="AE213" s="11"/>
    </row>
    <row r="214" spans="30:31" x14ac:dyDescent="0.3">
      <c r="AD214" s="16"/>
      <c r="AE214" s="11"/>
    </row>
    <row r="215" spans="30:31" x14ac:dyDescent="0.3">
      <c r="AD215" s="16"/>
      <c r="AE215" s="11"/>
    </row>
    <row r="216" spans="30:31" x14ac:dyDescent="0.3">
      <c r="AD216" s="16"/>
      <c r="AE216" s="11"/>
    </row>
    <row r="217" spans="30:31" x14ac:dyDescent="0.3">
      <c r="AD217" s="16"/>
      <c r="AE217" s="11"/>
    </row>
    <row r="218" spans="30:31" x14ac:dyDescent="0.3">
      <c r="AD218" s="16"/>
      <c r="AE218" s="11"/>
    </row>
    <row r="219" spans="30:31" x14ac:dyDescent="0.3">
      <c r="AD219" s="16"/>
      <c r="AE219" s="11"/>
    </row>
    <row r="220" spans="30:31" x14ac:dyDescent="0.3">
      <c r="AD220" s="16"/>
      <c r="AE220" s="11"/>
    </row>
    <row r="221" spans="30:31" x14ac:dyDescent="0.3">
      <c r="AD221" s="16"/>
      <c r="AE221" s="11"/>
    </row>
    <row r="222" spans="30:31" x14ac:dyDescent="0.3">
      <c r="AD222" s="16"/>
      <c r="AE222" s="11"/>
    </row>
    <row r="223" spans="30:31" x14ac:dyDescent="0.3">
      <c r="AD223" s="16"/>
      <c r="AE223" s="11"/>
    </row>
    <row r="224" spans="30:31" x14ac:dyDescent="0.3">
      <c r="AD224" s="16"/>
      <c r="AE224" s="11"/>
    </row>
    <row r="225" spans="30:31" x14ac:dyDescent="0.3">
      <c r="AD225" s="16"/>
      <c r="AE225" s="11"/>
    </row>
    <row r="226" spans="30:31" x14ac:dyDescent="0.3">
      <c r="AD226" s="16"/>
      <c r="AE226" s="11"/>
    </row>
    <row r="227" spans="30:31" x14ac:dyDescent="0.3">
      <c r="AD227" s="16"/>
      <c r="AE227" s="11"/>
    </row>
    <row r="228" spans="30:31" x14ac:dyDescent="0.3">
      <c r="AD228" s="16"/>
      <c r="AE228" s="11"/>
    </row>
    <row r="229" spans="30:31" x14ac:dyDescent="0.3">
      <c r="AD229" s="16"/>
      <c r="AE229" s="11"/>
    </row>
    <row r="230" spans="30:31" x14ac:dyDescent="0.3">
      <c r="AD230" s="16"/>
      <c r="AE230" s="11"/>
    </row>
    <row r="231" spans="30:31" x14ac:dyDescent="0.3">
      <c r="AD231" s="16"/>
      <c r="AE231" s="11"/>
    </row>
    <row r="232" spans="30:31" x14ac:dyDescent="0.3">
      <c r="AD232" s="16"/>
      <c r="AE232" s="11"/>
    </row>
    <row r="233" spans="30:31" x14ac:dyDescent="0.3">
      <c r="AD233" s="16"/>
      <c r="AE233" s="11"/>
    </row>
    <row r="234" spans="30:31" x14ac:dyDescent="0.3">
      <c r="AD234" s="16"/>
      <c r="AE234" s="11"/>
    </row>
    <row r="235" spans="30:31" x14ac:dyDescent="0.3">
      <c r="AD235" s="16"/>
      <c r="AE235" s="11"/>
    </row>
    <row r="236" spans="30:31" x14ac:dyDescent="0.3">
      <c r="AD236" s="16"/>
      <c r="AE236" s="11"/>
    </row>
    <row r="237" spans="30:31" x14ac:dyDescent="0.3">
      <c r="AD237" s="16"/>
      <c r="AE237" s="11"/>
    </row>
    <row r="238" spans="30:31" x14ac:dyDescent="0.3">
      <c r="AD238" s="16"/>
      <c r="AE238" s="11"/>
    </row>
    <row r="239" spans="30:31" x14ac:dyDescent="0.3">
      <c r="AD239" s="16"/>
      <c r="AE239" s="11"/>
    </row>
    <row r="240" spans="30:31" x14ac:dyDescent="0.3">
      <c r="AD240" s="16"/>
      <c r="AE240" s="11"/>
    </row>
    <row r="241" spans="30:31" x14ac:dyDescent="0.3">
      <c r="AD241" s="16"/>
      <c r="AE241" s="11"/>
    </row>
    <row r="242" spans="30:31" x14ac:dyDescent="0.3">
      <c r="AD242" s="16"/>
      <c r="AE242" s="11"/>
    </row>
    <row r="243" spans="30:31" x14ac:dyDescent="0.3">
      <c r="AD243" s="16"/>
      <c r="AE243" s="11"/>
    </row>
    <row r="244" spans="30:31" x14ac:dyDescent="0.3">
      <c r="AD244" s="16"/>
      <c r="AE244" s="11"/>
    </row>
    <row r="245" spans="30:31" x14ac:dyDescent="0.3">
      <c r="AD245" s="16"/>
      <c r="AE245" s="11"/>
    </row>
    <row r="246" spans="30:31" x14ac:dyDescent="0.3">
      <c r="AD246" s="16"/>
      <c r="AE246" s="11"/>
    </row>
    <row r="247" spans="30:31" x14ac:dyDescent="0.3">
      <c r="AD247" s="16"/>
      <c r="AE247" s="11"/>
    </row>
    <row r="248" spans="30:31" x14ac:dyDescent="0.3">
      <c r="AD248" s="16"/>
      <c r="AE248" s="11"/>
    </row>
    <row r="249" spans="30:31" x14ac:dyDescent="0.3">
      <c r="AD249" s="16"/>
      <c r="AE249" s="11"/>
    </row>
    <row r="250" spans="30:31" x14ac:dyDescent="0.3">
      <c r="AD250" s="16"/>
      <c r="AE250" s="11"/>
    </row>
    <row r="251" spans="30:31" x14ac:dyDescent="0.3">
      <c r="AD251" s="16"/>
      <c r="AE251" s="11"/>
    </row>
    <row r="252" spans="30:31" x14ac:dyDescent="0.3">
      <c r="AD252" s="16"/>
      <c r="AE252" s="11"/>
    </row>
    <row r="253" spans="30:31" x14ac:dyDescent="0.3">
      <c r="AD253" s="16"/>
      <c r="AE253" s="11"/>
    </row>
    <row r="254" spans="30:31" x14ac:dyDescent="0.3">
      <c r="AD254" s="16"/>
      <c r="AE254" s="11"/>
    </row>
    <row r="255" spans="30:31" x14ac:dyDescent="0.3">
      <c r="AD255" s="16"/>
      <c r="AE255" s="11"/>
    </row>
    <row r="256" spans="30:31" x14ac:dyDescent="0.3">
      <c r="AD256" s="16"/>
      <c r="AE256" s="11"/>
    </row>
    <row r="257" spans="30:31" x14ac:dyDescent="0.3">
      <c r="AD257" s="16"/>
      <c r="AE257" s="11"/>
    </row>
    <row r="258" spans="30:31" x14ac:dyDescent="0.3">
      <c r="AD258" s="16"/>
      <c r="AE258" s="11"/>
    </row>
    <row r="259" spans="30:31" x14ac:dyDescent="0.3">
      <c r="AD259" s="16"/>
      <c r="AE259" s="11"/>
    </row>
    <row r="260" spans="30:31" x14ac:dyDescent="0.3">
      <c r="AD260" s="16"/>
      <c r="AE260" s="11"/>
    </row>
    <row r="261" spans="30:31" x14ac:dyDescent="0.3">
      <c r="AD261" s="16"/>
      <c r="AE261" s="11"/>
    </row>
    <row r="262" spans="30:31" x14ac:dyDescent="0.3">
      <c r="AD262" s="16"/>
      <c r="AE262" s="11"/>
    </row>
    <row r="263" spans="30:31" x14ac:dyDescent="0.3">
      <c r="AD263" s="16"/>
      <c r="AE263" s="11"/>
    </row>
    <row r="264" spans="30:31" x14ac:dyDescent="0.3">
      <c r="AD264" s="16"/>
      <c r="AE264" s="11"/>
    </row>
    <row r="265" spans="30:31" x14ac:dyDescent="0.3">
      <c r="AD265" s="16"/>
      <c r="AE265" s="11"/>
    </row>
    <row r="266" spans="30:31" x14ac:dyDescent="0.3">
      <c r="AD266" s="16"/>
    </row>
    <row r="267" spans="30:31" x14ac:dyDescent="0.3">
      <c r="AD267" s="16"/>
    </row>
    <row r="268" spans="30:31" x14ac:dyDescent="0.3">
      <c r="AD268" s="16"/>
    </row>
    <row r="269" spans="30:31" x14ac:dyDescent="0.3">
      <c r="AD269" s="16"/>
    </row>
    <row r="270" spans="30:31" x14ac:dyDescent="0.3">
      <c r="AD270" s="16"/>
    </row>
    <row r="271" spans="30:31" x14ac:dyDescent="0.3">
      <c r="AD271" s="16"/>
    </row>
    <row r="272" spans="30:31" x14ac:dyDescent="0.3">
      <c r="AD272" s="16"/>
    </row>
    <row r="273" spans="30:30" x14ac:dyDescent="0.3">
      <c r="AD273" s="16"/>
    </row>
    <row r="274" spans="30:30" x14ac:dyDescent="0.3">
      <c r="AD274" s="16"/>
    </row>
    <row r="275" spans="30:30" x14ac:dyDescent="0.3">
      <c r="AD275" s="16"/>
    </row>
    <row r="276" spans="30:30" x14ac:dyDescent="0.3">
      <c r="AD276" s="16"/>
    </row>
    <row r="277" spans="30:30" x14ac:dyDescent="0.3">
      <c r="AD277" s="16"/>
    </row>
    <row r="278" spans="30:30" x14ac:dyDescent="0.3">
      <c r="AD278" s="16"/>
    </row>
    <row r="279" spans="30:30" x14ac:dyDescent="0.3">
      <c r="AD279" s="16"/>
    </row>
    <row r="280" spans="30:30" x14ac:dyDescent="0.3">
      <c r="AD280" s="16"/>
    </row>
    <row r="281" spans="30:30" x14ac:dyDescent="0.3">
      <c r="AD281" s="16"/>
    </row>
    <row r="282" spans="30:30" x14ac:dyDescent="0.3">
      <c r="AD282" s="16"/>
    </row>
    <row r="283" spans="30:30" x14ac:dyDescent="0.3">
      <c r="AD283" s="16"/>
    </row>
    <row r="284" spans="30:30" x14ac:dyDescent="0.3">
      <c r="AD284" s="16"/>
    </row>
    <row r="285" spans="30:30" x14ac:dyDescent="0.3">
      <c r="AD285" s="16"/>
    </row>
    <row r="286" spans="30:30" x14ac:dyDescent="0.3">
      <c r="AD286" s="16"/>
    </row>
    <row r="287" spans="30:30" x14ac:dyDescent="0.3">
      <c r="AD287" s="16"/>
    </row>
    <row r="288" spans="30:30" x14ac:dyDescent="0.3">
      <c r="AD288" s="16"/>
    </row>
    <row r="289" spans="30:30" x14ac:dyDescent="0.3">
      <c r="AD289" s="16"/>
    </row>
    <row r="290" spans="30:30" x14ac:dyDescent="0.3">
      <c r="AD290" s="16"/>
    </row>
    <row r="291" spans="30:30" x14ac:dyDescent="0.3">
      <c r="AD291" s="16"/>
    </row>
    <row r="292" spans="30:30" x14ac:dyDescent="0.3">
      <c r="AD292" s="16"/>
    </row>
    <row r="293" spans="30:30" x14ac:dyDescent="0.3">
      <c r="AD293" s="16"/>
    </row>
    <row r="294" spans="30:30" x14ac:dyDescent="0.3">
      <c r="AD294" s="16"/>
    </row>
    <row r="295" spans="30:30" x14ac:dyDescent="0.3">
      <c r="AD295" s="16"/>
    </row>
    <row r="296" spans="30:30" x14ac:dyDescent="0.3">
      <c r="AD296" s="16"/>
    </row>
    <row r="297" spans="30:30" x14ac:dyDescent="0.3">
      <c r="AD297" s="16"/>
    </row>
    <row r="298" spans="30:30" x14ac:dyDescent="0.3">
      <c r="AD298" s="16"/>
    </row>
    <row r="299" spans="30:30" x14ac:dyDescent="0.3">
      <c r="AD299" s="16"/>
    </row>
    <row r="300" spans="30:30" x14ac:dyDescent="0.3">
      <c r="AD300" s="16"/>
    </row>
    <row r="301" spans="30:30" x14ac:dyDescent="0.3">
      <c r="AD301" s="16"/>
    </row>
    <row r="302" spans="30:30" x14ac:dyDescent="0.3">
      <c r="AD302" s="16"/>
    </row>
    <row r="303" spans="30:30" x14ac:dyDescent="0.3">
      <c r="AD303" s="16"/>
    </row>
    <row r="304" spans="30:30" x14ac:dyDescent="0.3">
      <c r="AD304" s="16"/>
    </row>
    <row r="305" spans="30:30" x14ac:dyDescent="0.3">
      <c r="AD305" s="16"/>
    </row>
    <row r="306" spans="30:30" x14ac:dyDescent="0.3">
      <c r="AD306" s="16"/>
    </row>
    <row r="307" spans="30:30" x14ac:dyDescent="0.3">
      <c r="AD307" s="16"/>
    </row>
    <row r="308" spans="30:30" x14ac:dyDescent="0.3">
      <c r="AD308" s="16"/>
    </row>
    <row r="309" spans="30:30" x14ac:dyDescent="0.3">
      <c r="AD309" s="16"/>
    </row>
    <row r="310" spans="30:30" x14ac:dyDescent="0.3">
      <c r="AD310" s="16"/>
    </row>
    <row r="311" spans="30:30" x14ac:dyDescent="0.3">
      <c r="AD311" s="16"/>
    </row>
    <row r="312" spans="30:30" x14ac:dyDescent="0.3">
      <c r="AD312" s="16"/>
    </row>
    <row r="313" spans="30:30" x14ac:dyDescent="0.3">
      <c r="AD313" s="16"/>
    </row>
    <row r="314" spans="30:30" x14ac:dyDescent="0.3">
      <c r="AD314" s="16"/>
    </row>
    <row r="315" spans="30:30" x14ac:dyDescent="0.3">
      <c r="AD315" s="16"/>
    </row>
    <row r="316" spans="30:30" x14ac:dyDescent="0.3">
      <c r="AD316" s="16"/>
    </row>
    <row r="317" spans="30:30" x14ac:dyDescent="0.3">
      <c r="AD317" s="16"/>
    </row>
    <row r="318" spans="30:30" x14ac:dyDescent="0.3">
      <c r="AD318" s="16"/>
    </row>
    <row r="319" spans="30:30" x14ac:dyDescent="0.3">
      <c r="AD319" s="16"/>
    </row>
    <row r="320" spans="30:30" x14ac:dyDescent="0.3">
      <c r="AD320" s="16"/>
    </row>
    <row r="321" spans="30:30" x14ac:dyDescent="0.3">
      <c r="AD321" s="16"/>
    </row>
    <row r="322" spans="30:30" x14ac:dyDescent="0.3">
      <c r="AD322" s="16"/>
    </row>
    <row r="323" spans="30:30" x14ac:dyDescent="0.3">
      <c r="AD323" s="16"/>
    </row>
    <row r="324" spans="30:30" x14ac:dyDescent="0.3">
      <c r="AD324" s="16"/>
    </row>
    <row r="325" spans="30:30" x14ac:dyDescent="0.3">
      <c r="AD325" s="16"/>
    </row>
    <row r="326" spans="30:30" x14ac:dyDescent="0.3">
      <c r="AD326" s="16"/>
    </row>
    <row r="327" spans="30:30" x14ac:dyDescent="0.3">
      <c r="AD327" s="16"/>
    </row>
    <row r="328" spans="30:30" x14ac:dyDescent="0.3">
      <c r="AD328" s="16"/>
    </row>
    <row r="329" spans="30:30" x14ac:dyDescent="0.3">
      <c r="AD329" s="16"/>
    </row>
    <row r="330" spans="30:30" x14ac:dyDescent="0.3">
      <c r="AD330" s="16"/>
    </row>
    <row r="331" spans="30:30" x14ac:dyDescent="0.3">
      <c r="AD331" s="16"/>
    </row>
    <row r="332" spans="30:30" x14ac:dyDescent="0.3">
      <c r="AD332" s="16"/>
    </row>
    <row r="333" spans="30:30" x14ac:dyDescent="0.3">
      <c r="AD333" s="16"/>
    </row>
    <row r="334" spans="30:30" x14ac:dyDescent="0.3">
      <c r="AD334" s="16"/>
    </row>
    <row r="335" spans="30:30" x14ac:dyDescent="0.3">
      <c r="AD335" s="16"/>
    </row>
    <row r="336" spans="30:30" x14ac:dyDescent="0.3">
      <c r="AD336" s="16"/>
    </row>
    <row r="337" spans="30:30" x14ac:dyDescent="0.3">
      <c r="AD337" s="16"/>
    </row>
    <row r="338" spans="30:30" x14ac:dyDescent="0.3">
      <c r="AD338" s="16"/>
    </row>
    <row r="339" spans="30:30" x14ac:dyDescent="0.3">
      <c r="AD339" s="16"/>
    </row>
    <row r="340" spans="30:30" x14ac:dyDescent="0.3">
      <c r="AD340" s="16"/>
    </row>
    <row r="341" spans="30:30" x14ac:dyDescent="0.3">
      <c r="AD341" s="16"/>
    </row>
    <row r="342" spans="30:30" x14ac:dyDescent="0.3">
      <c r="AD342" s="16"/>
    </row>
    <row r="343" spans="30:30" x14ac:dyDescent="0.3">
      <c r="AD343" s="16"/>
    </row>
    <row r="344" spans="30:30" x14ac:dyDescent="0.3">
      <c r="AD344" s="16"/>
    </row>
    <row r="345" spans="30:30" x14ac:dyDescent="0.3">
      <c r="AD345" s="16"/>
    </row>
    <row r="346" spans="30:30" x14ac:dyDescent="0.3">
      <c r="AD346" s="16"/>
    </row>
    <row r="347" spans="30:30" x14ac:dyDescent="0.3">
      <c r="AD347" s="16"/>
    </row>
    <row r="348" spans="30:30" x14ac:dyDescent="0.3">
      <c r="AD348" s="16"/>
    </row>
    <row r="349" spans="30:30" x14ac:dyDescent="0.3">
      <c r="AD349" s="16"/>
    </row>
    <row r="350" spans="30:30" x14ac:dyDescent="0.3">
      <c r="AD350" s="16"/>
    </row>
    <row r="351" spans="30:30" x14ac:dyDescent="0.3">
      <c r="AD351" s="16"/>
    </row>
    <row r="352" spans="30:30" x14ac:dyDescent="0.3">
      <c r="AD352" s="16"/>
    </row>
    <row r="353" spans="30:30" x14ac:dyDescent="0.3">
      <c r="AD353" s="16"/>
    </row>
    <row r="354" spans="30:30" x14ac:dyDescent="0.3">
      <c r="AD354" s="16"/>
    </row>
    <row r="355" spans="30:30" x14ac:dyDescent="0.3">
      <c r="AD355" s="16"/>
    </row>
    <row r="356" spans="30:30" x14ac:dyDescent="0.3">
      <c r="AD356" s="16"/>
    </row>
    <row r="357" spans="30:30" x14ac:dyDescent="0.3">
      <c r="AD357" s="16"/>
    </row>
    <row r="358" spans="30:30" x14ac:dyDescent="0.3">
      <c r="AD358" s="16"/>
    </row>
    <row r="359" spans="30:30" x14ac:dyDescent="0.3">
      <c r="AD359" s="16"/>
    </row>
    <row r="360" spans="30:30" x14ac:dyDescent="0.3">
      <c r="AD360" s="16"/>
    </row>
    <row r="361" spans="30:30" x14ac:dyDescent="0.3">
      <c r="AD361" s="16"/>
    </row>
    <row r="362" spans="30:30" x14ac:dyDescent="0.3">
      <c r="AD362" s="16"/>
    </row>
    <row r="363" spans="30:30" x14ac:dyDescent="0.3">
      <c r="AD363" s="16"/>
    </row>
    <row r="364" spans="30:30" x14ac:dyDescent="0.3">
      <c r="AD364" s="16"/>
    </row>
    <row r="365" spans="30:30" x14ac:dyDescent="0.3">
      <c r="AD365" s="16"/>
    </row>
    <row r="366" spans="30:30" x14ac:dyDescent="0.3">
      <c r="AD366" s="16"/>
    </row>
    <row r="367" spans="30:30" x14ac:dyDescent="0.3">
      <c r="AD367" s="16"/>
    </row>
    <row r="368" spans="30:30" x14ac:dyDescent="0.3">
      <c r="AD368" s="16"/>
    </row>
    <row r="369" spans="30:30" x14ac:dyDescent="0.3">
      <c r="AD369" s="16"/>
    </row>
    <row r="370" spans="30:30" x14ac:dyDescent="0.3">
      <c r="AD370" s="16"/>
    </row>
    <row r="371" spans="30:30" x14ac:dyDescent="0.3">
      <c r="AD371" s="16"/>
    </row>
    <row r="372" spans="30:30" x14ac:dyDescent="0.3">
      <c r="AD372" s="16"/>
    </row>
    <row r="373" spans="30:30" x14ac:dyDescent="0.3">
      <c r="AD373" s="16"/>
    </row>
    <row r="374" spans="30:30" x14ac:dyDescent="0.3">
      <c r="AD374" s="16"/>
    </row>
    <row r="375" spans="30:30" x14ac:dyDescent="0.3">
      <c r="AD375" s="16"/>
    </row>
    <row r="376" spans="30:30" x14ac:dyDescent="0.3">
      <c r="AD376" s="16"/>
    </row>
    <row r="377" spans="30:30" x14ac:dyDescent="0.3">
      <c r="AD377" s="16"/>
    </row>
    <row r="378" spans="30:30" x14ac:dyDescent="0.3">
      <c r="AD378" s="16"/>
    </row>
    <row r="379" spans="30:30" x14ac:dyDescent="0.3">
      <c r="AD379" s="16"/>
    </row>
    <row r="380" spans="30:30" x14ac:dyDescent="0.3">
      <c r="AD380" s="16"/>
    </row>
    <row r="381" spans="30:30" x14ac:dyDescent="0.3">
      <c r="AD381" s="16"/>
    </row>
    <row r="382" spans="30:30" x14ac:dyDescent="0.3">
      <c r="AD382" s="16"/>
    </row>
    <row r="383" spans="30:30" x14ac:dyDescent="0.3">
      <c r="AD383" s="16"/>
    </row>
    <row r="384" spans="30:30" x14ac:dyDescent="0.3">
      <c r="AD384" s="16"/>
    </row>
    <row r="385" spans="30:30" x14ac:dyDescent="0.3">
      <c r="AD385" s="16"/>
    </row>
    <row r="386" spans="30:30" x14ac:dyDescent="0.3">
      <c r="AD386" s="16"/>
    </row>
    <row r="387" spans="30:30" x14ac:dyDescent="0.3">
      <c r="AD387" s="16"/>
    </row>
    <row r="388" spans="30:30" x14ac:dyDescent="0.3">
      <c r="AD388" s="16"/>
    </row>
    <row r="389" spans="30:30" x14ac:dyDescent="0.3">
      <c r="AD389" s="16"/>
    </row>
    <row r="390" spans="30:30" x14ac:dyDescent="0.3">
      <c r="AD390" s="16"/>
    </row>
    <row r="391" spans="30:30" x14ac:dyDescent="0.3">
      <c r="AD391" s="16"/>
    </row>
    <row r="392" spans="30:30" x14ac:dyDescent="0.3">
      <c r="AD392" s="16"/>
    </row>
    <row r="393" spans="30:30" x14ac:dyDescent="0.3">
      <c r="AD393" s="16"/>
    </row>
    <row r="394" spans="30:30" x14ac:dyDescent="0.3">
      <c r="AD394" s="16"/>
    </row>
    <row r="395" spans="30:30" x14ac:dyDescent="0.3">
      <c r="AD395" s="16"/>
    </row>
    <row r="396" spans="30:30" x14ac:dyDescent="0.3">
      <c r="AD396" s="16"/>
    </row>
    <row r="397" spans="30:30" x14ac:dyDescent="0.3">
      <c r="AD397" s="16"/>
    </row>
    <row r="398" spans="30:30" x14ac:dyDescent="0.3">
      <c r="AD398" s="16"/>
    </row>
    <row r="399" spans="30:30" x14ac:dyDescent="0.3">
      <c r="AD399" s="16"/>
    </row>
    <row r="400" spans="30:30" x14ac:dyDescent="0.3">
      <c r="AD400" s="16"/>
    </row>
    <row r="401" spans="30:30" x14ac:dyDescent="0.3">
      <c r="AD401" s="16"/>
    </row>
    <row r="402" spans="30:30" x14ac:dyDescent="0.3">
      <c r="AD402" s="16"/>
    </row>
    <row r="403" spans="30:30" x14ac:dyDescent="0.3">
      <c r="AD403" s="16"/>
    </row>
    <row r="404" spans="30:30" x14ac:dyDescent="0.3">
      <c r="AD404" s="16"/>
    </row>
    <row r="405" spans="30:30" x14ac:dyDescent="0.3">
      <c r="AD405" s="16"/>
    </row>
    <row r="406" spans="30:30" x14ac:dyDescent="0.3">
      <c r="AD406" s="16"/>
    </row>
    <row r="407" spans="30:30" x14ac:dyDescent="0.3">
      <c r="AD407" s="16"/>
    </row>
    <row r="408" spans="30:30" x14ac:dyDescent="0.3">
      <c r="AD408" s="16"/>
    </row>
    <row r="409" spans="30:30" x14ac:dyDescent="0.3">
      <c r="AD409" s="16"/>
    </row>
    <row r="410" spans="30:30" x14ac:dyDescent="0.3">
      <c r="AD410" s="16"/>
    </row>
    <row r="411" spans="30:30" x14ac:dyDescent="0.3">
      <c r="AD411" s="16"/>
    </row>
    <row r="412" spans="30:30" x14ac:dyDescent="0.3">
      <c r="AD412" s="16"/>
    </row>
    <row r="413" spans="30:30" x14ac:dyDescent="0.3">
      <c r="AD413" s="16"/>
    </row>
    <row r="414" spans="30:30" x14ac:dyDescent="0.3">
      <c r="AD414" s="16"/>
    </row>
    <row r="415" spans="30:30" x14ac:dyDescent="0.3">
      <c r="AD415" s="16"/>
    </row>
    <row r="416" spans="30:30" x14ac:dyDescent="0.3">
      <c r="AD416" s="16"/>
    </row>
    <row r="417" spans="30:30" x14ac:dyDescent="0.3">
      <c r="AD417" s="16"/>
    </row>
    <row r="418" spans="30:30" x14ac:dyDescent="0.3">
      <c r="AD418" s="16"/>
    </row>
    <row r="419" spans="30:30" x14ac:dyDescent="0.3">
      <c r="AD419" s="16"/>
    </row>
    <row r="420" spans="30:30" x14ac:dyDescent="0.3">
      <c r="AD420" s="16"/>
    </row>
    <row r="421" spans="30:30" x14ac:dyDescent="0.3">
      <c r="AD421" s="16"/>
    </row>
    <row r="422" spans="30:30" x14ac:dyDescent="0.3">
      <c r="AD422" s="16"/>
    </row>
    <row r="423" spans="30:30" x14ac:dyDescent="0.3">
      <c r="AD423" s="16"/>
    </row>
    <row r="424" spans="30:30" x14ac:dyDescent="0.3">
      <c r="AD424" s="16"/>
    </row>
    <row r="425" spans="30:30" x14ac:dyDescent="0.3">
      <c r="AD425" s="16"/>
    </row>
    <row r="426" spans="30:30" x14ac:dyDescent="0.3">
      <c r="AD426" s="16"/>
    </row>
    <row r="427" spans="30:30" x14ac:dyDescent="0.3">
      <c r="AD427" s="16"/>
    </row>
    <row r="428" spans="30:30" x14ac:dyDescent="0.3">
      <c r="AD428" s="16"/>
    </row>
    <row r="429" spans="30:30" x14ac:dyDescent="0.3">
      <c r="AD429" s="16"/>
    </row>
    <row r="430" spans="30:30" x14ac:dyDescent="0.3">
      <c r="AD430" s="16"/>
    </row>
    <row r="431" spans="30:30" x14ac:dyDescent="0.3">
      <c r="AD431" s="16"/>
    </row>
    <row r="432" spans="30:30" x14ac:dyDescent="0.3">
      <c r="AD432" s="16"/>
    </row>
    <row r="433" spans="30:30" x14ac:dyDescent="0.3">
      <c r="AD433" s="16"/>
    </row>
    <row r="434" spans="30:30" x14ac:dyDescent="0.3">
      <c r="AD434" s="16"/>
    </row>
    <row r="435" spans="30:30" x14ac:dyDescent="0.3">
      <c r="AD435" s="16"/>
    </row>
    <row r="436" spans="30:30" x14ac:dyDescent="0.3">
      <c r="AD436" s="16"/>
    </row>
    <row r="437" spans="30:30" x14ac:dyDescent="0.3">
      <c r="AD437" s="16"/>
    </row>
    <row r="438" spans="30:30" x14ac:dyDescent="0.3">
      <c r="AD438" s="16"/>
    </row>
    <row r="439" spans="30:30" x14ac:dyDescent="0.3">
      <c r="AD439" s="16"/>
    </row>
    <row r="440" spans="30:30" x14ac:dyDescent="0.3">
      <c r="AD440" s="16"/>
    </row>
    <row r="441" spans="30:30" x14ac:dyDescent="0.3">
      <c r="AD441" s="16"/>
    </row>
    <row r="442" spans="30:30" x14ac:dyDescent="0.3">
      <c r="AD442" s="16"/>
    </row>
    <row r="443" spans="30:30" x14ac:dyDescent="0.3">
      <c r="AD443" s="16"/>
    </row>
    <row r="444" spans="30:30" x14ac:dyDescent="0.3">
      <c r="AD444" s="16"/>
    </row>
    <row r="445" spans="30:30" x14ac:dyDescent="0.3">
      <c r="AD445" s="16"/>
    </row>
    <row r="446" spans="30:30" x14ac:dyDescent="0.3">
      <c r="AD446" s="16"/>
    </row>
    <row r="447" spans="30:30" x14ac:dyDescent="0.3">
      <c r="AD447" s="16"/>
    </row>
    <row r="448" spans="30:30" x14ac:dyDescent="0.3">
      <c r="AD448" s="16"/>
    </row>
    <row r="449" spans="30:30" x14ac:dyDescent="0.3">
      <c r="AD449" s="16"/>
    </row>
    <row r="450" spans="30:30" x14ac:dyDescent="0.3">
      <c r="AD450" s="16"/>
    </row>
    <row r="451" spans="30:30" x14ac:dyDescent="0.3">
      <c r="AD451" s="16"/>
    </row>
    <row r="452" spans="30:30" x14ac:dyDescent="0.3">
      <c r="AD452" s="16"/>
    </row>
    <row r="453" spans="30:30" x14ac:dyDescent="0.3">
      <c r="AD453" s="16"/>
    </row>
    <row r="454" spans="30:30" x14ac:dyDescent="0.3">
      <c r="AD454" s="16"/>
    </row>
    <row r="455" spans="30:30" x14ac:dyDescent="0.3">
      <c r="AD455" s="16"/>
    </row>
    <row r="456" spans="30:30" x14ac:dyDescent="0.3">
      <c r="AD456" s="16"/>
    </row>
    <row r="457" spans="30:30" x14ac:dyDescent="0.3">
      <c r="AD457" s="16"/>
    </row>
    <row r="458" spans="30:30" x14ac:dyDescent="0.3">
      <c r="AD458" s="16"/>
    </row>
    <row r="459" spans="30:30" x14ac:dyDescent="0.3">
      <c r="AD459" s="16"/>
    </row>
    <row r="460" spans="30:30" x14ac:dyDescent="0.3">
      <c r="AD460" s="16"/>
    </row>
    <row r="461" spans="30:30" x14ac:dyDescent="0.3">
      <c r="AD461" s="16"/>
    </row>
    <row r="462" spans="30:30" x14ac:dyDescent="0.3">
      <c r="AD462" s="16"/>
    </row>
    <row r="463" spans="30:30" x14ac:dyDescent="0.3">
      <c r="AD463" s="16"/>
    </row>
    <row r="464" spans="30:30" x14ac:dyDescent="0.3">
      <c r="AD464" s="16"/>
    </row>
    <row r="465" spans="30:30" x14ac:dyDescent="0.3">
      <c r="AD465" s="16"/>
    </row>
    <row r="466" spans="30:30" x14ac:dyDescent="0.3">
      <c r="AD466" s="16"/>
    </row>
    <row r="467" spans="30:30" x14ac:dyDescent="0.3">
      <c r="AD467" s="16"/>
    </row>
    <row r="468" spans="30:30" x14ac:dyDescent="0.3">
      <c r="AD468" s="16"/>
    </row>
    <row r="469" spans="30:30" x14ac:dyDescent="0.3">
      <c r="AD469" s="16"/>
    </row>
    <row r="470" spans="30:30" x14ac:dyDescent="0.3">
      <c r="AD470" s="16"/>
    </row>
    <row r="471" spans="30:30" x14ac:dyDescent="0.3">
      <c r="AD471" s="16"/>
    </row>
    <row r="472" spans="30:30" x14ac:dyDescent="0.3">
      <c r="AD472" s="16"/>
    </row>
    <row r="473" spans="30:30" x14ac:dyDescent="0.3">
      <c r="AD473" s="16"/>
    </row>
    <row r="474" spans="30:30" x14ac:dyDescent="0.3">
      <c r="AD474" s="16"/>
    </row>
    <row r="475" spans="30:30" x14ac:dyDescent="0.3">
      <c r="AD475" s="16"/>
    </row>
    <row r="476" spans="30:30" x14ac:dyDescent="0.3">
      <c r="AD476" s="16"/>
    </row>
    <row r="477" spans="30:30" x14ac:dyDescent="0.3">
      <c r="AD477" s="16"/>
    </row>
    <row r="478" spans="30:30" x14ac:dyDescent="0.3">
      <c r="AD478" s="16"/>
    </row>
    <row r="479" spans="30:30" x14ac:dyDescent="0.3">
      <c r="AD479" s="16"/>
    </row>
    <row r="480" spans="30:30" x14ac:dyDescent="0.3">
      <c r="AD480" s="16"/>
    </row>
    <row r="481" spans="30:30" x14ac:dyDescent="0.3">
      <c r="AD481" s="16"/>
    </row>
    <row r="482" spans="30:30" x14ac:dyDescent="0.3">
      <c r="AD482" s="16"/>
    </row>
    <row r="483" spans="30:30" x14ac:dyDescent="0.3">
      <c r="AD483" s="16"/>
    </row>
    <row r="484" spans="30:30" x14ac:dyDescent="0.3">
      <c r="AD484" s="16"/>
    </row>
    <row r="485" spans="30:30" x14ac:dyDescent="0.3">
      <c r="AD485" s="16"/>
    </row>
    <row r="486" spans="30:30" x14ac:dyDescent="0.3">
      <c r="AD486" s="16"/>
    </row>
    <row r="487" spans="30:30" x14ac:dyDescent="0.3">
      <c r="AD487" s="16"/>
    </row>
    <row r="488" spans="30:30" x14ac:dyDescent="0.3">
      <c r="AD488" s="16"/>
    </row>
    <row r="489" spans="30:30" x14ac:dyDescent="0.3">
      <c r="AD489" s="16"/>
    </row>
    <row r="490" spans="30:30" x14ac:dyDescent="0.3">
      <c r="AD490" s="16"/>
    </row>
    <row r="491" spans="30:30" x14ac:dyDescent="0.3">
      <c r="AD491" s="16"/>
    </row>
    <row r="492" spans="30:30" x14ac:dyDescent="0.3">
      <c r="AD492" s="16"/>
    </row>
    <row r="493" spans="30:30" x14ac:dyDescent="0.3">
      <c r="AD493" s="16"/>
    </row>
    <row r="494" spans="30:30" x14ac:dyDescent="0.3">
      <c r="AD494" s="16"/>
    </row>
    <row r="495" spans="30:30" x14ac:dyDescent="0.3">
      <c r="AD495" s="16"/>
    </row>
    <row r="496" spans="30:30" x14ac:dyDescent="0.3">
      <c r="AD496" s="16"/>
    </row>
    <row r="497" spans="30:30" x14ac:dyDescent="0.3">
      <c r="AD497" s="16"/>
    </row>
    <row r="498" spans="30:30" x14ac:dyDescent="0.3">
      <c r="AD498" s="16"/>
    </row>
    <row r="499" spans="30:30" x14ac:dyDescent="0.3">
      <c r="AD499" s="16"/>
    </row>
    <row r="500" spans="30:30" x14ac:dyDescent="0.3">
      <c r="AD500" s="16"/>
    </row>
    <row r="501" spans="30:30" x14ac:dyDescent="0.3">
      <c r="AD501" s="16"/>
    </row>
    <row r="502" spans="30:30" x14ac:dyDescent="0.3">
      <c r="AD502" s="16"/>
    </row>
    <row r="503" spans="30:30" x14ac:dyDescent="0.3">
      <c r="AD503" s="16"/>
    </row>
    <row r="504" spans="30:30" x14ac:dyDescent="0.3">
      <c r="AD504" s="16"/>
    </row>
    <row r="505" spans="30:30" x14ac:dyDescent="0.3">
      <c r="AD505" s="16"/>
    </row>
    <row r="506" spans="30:30" x14ac:dyDescent="0.3">
      <c r="AD506" s="16"/>
    </row>
    <row r="507" spans="30:30" x14ac:dyDescent="0.3">
      <c r="AD507" s="16"/>
    </row>
    <row r="508" spans="30:30" x14ac:dyDescent="0.3">
      <c r="AD508" s="16"/>
    </row>
    <row r="509" spans="30:30" x14ac:dyDescent="0.3">
      <c r="AD509" s="16"/>
    </row>
    <row r="510" spans="30:30" x14ac:dyDescent="0.3">
      <c r="AD510" s="16"/>
    </row>
    <row r="511" spans="30:30" x14ac:dyDescent="0.3">
      <c r="AD511" s="16"/>
    </row>
    <row r="512" spans="30:30" x14ac:dyDescent="0.3">
      <c r="AD512" s="16"/>
    </row>
    <row r="513" spans="30:30" x14ac:dyDescent="0.3">
      <c r="AD513" s="16"/>
    </row>
    <row r="514" spans="30:30" x14ac:dyDescent="0.3">
      <c r="AD514" s="16"/>
    </row>
    <row r="515" spans="30:30" x14ac:dyDescent="0.3">
      <c r="AD515" s="16"/>
    </row>
    <row r="516" spans="30:30" x14ac:dyDescent="0.3">
      <c r="AD516" s="16"/>
    </row>
    <row r="517" spans="30:30" x14ac:dyDescent="0.3">
      <c r="AD517" s="16"/>
    </row>
    <row r="518" spans="30:30" x14ac:dyDescent="0.3">
      <c r="AD518" s="16"/>
    </row>
    <row r="519" spans="30:30" x14ac:dyDescent="0.3">
      <c r="AD519" s="16"/>
    </row>
    <row r="520" spans="30:30" x14ac:dyDescent="0.3">
      <c r="AD520" s="16"/>
    </row>
    <row r="521" spans="30:30" x14ac:dyDescent="0.3">
      <c r="AD521" s="16"/>
    </row>
    <row r="522" spans="30:30" x14ac:dyDescent="0.3">
      <c r="AD522" s="16"/>
    </row>
    <row r="523" spans="30:30" x14ac:dyDescent="0.3">
      <c r="AD523" s="16"/>
    </row>
    <row r="524" spans="30:30" x14ac:dyDescent="0.3">
      <c r="AD524" s="16"/>
    </row>
    <row r="525" spans="30:30" x14ac:dyDescent="0.3">
      <c r="AD525" s="16"/>
    </row>
    <row r="526" spans="30:30" x14ac:dyDescent="0.3">
      <c r="AD526" s="16"/>
    </row>
    <row r="527" spans="30:30" x14ac:dyDescent="0.3">
      <c r="AD527" s="16"/>
    </row>
    <row r="528" spans="30:30" x14ac:dyDescent="0.3">
      <c r="AD528" s="16"/>
    </row>
    <row r="529" spans="30:30" x14ac:dyDescent="0.3">
      <c r="AD529" s="16"/>
    </row>
    <row r="530" spans="30:30" x14ac:dyDescent="0.3">
      <c r="AD530" s="16"/>
    </row>
    <row r="531" spans="30:30" x14ac:dyDescent="0.3">
      <c r="AD531" s="16"/>
    </row>
    <row r="532" spans="30:30" x14ac:dyDescent="0.3">
      <c r="AD532" s="16"/>
    </row>
    <row r="533" spans="30:30" x14ac:dyDescent="0.3">
      <c r="AD533" s="16"/>
    </row>
    <row r="534" spans="30:30" x14ac:dyDescent="0.3">
      <c r="AD534" s="16"/>
    </row>
    <row r="535" spans="30:30" x14ac:dyDescent="0.3">
      <c r="AD535" s="16"/>
    </row>
    <row r="536" spans="30:30" x14ac:dyDescent="0.3">
      <c r="AD536" s="16"/>
    </row>
    <row r="537" spans="30:30" x14ac:dyDescent="0.3">
      <c r="AD537" s="16"/>
    </row>
    <row r="538" spans="30:30" x14ac:dyDescent="0.3">
      <c r="AD538" s="16"/>
    </row>
    <row r="539" spans="30:30" x14ac:dyDescent="0.3">
      <c r="AD539" s="16"/>
    </row>
    <row r="540" spans="30:30" x14ac:dyDescent="0.3">
      <c r="AD540" s="16"/>
    </row>
    <row r="541" spans="30:30" x14ac:dyDescent="0.3">
      <c r="AD541" s="16"/>
    </row>
    <row r="542" spans="30:30" x14ac:dyDescent="0.3">
      <c r="AD542" s="16"/>
    </row>
    <row r="543" spans="30:30" x14ac:dyDescent="0.3">
      <c r="AD543" s="16"/>
    </row>
    <row r="544" spans="30:30" x14ac:dyDescent="0.3">
      <c r="AD544" s="16"/>
    </row>
    <row r="545" spans="30:30" x14ac:dyDescent="0.3">
      <c r="AD545" s="16"/>
    </row>
    <row r="546" spans="30:30" x14ac:dyDescent="0.3">
      <c r="AD546" s="16"/>
    </row>
    <row r="547" spans="30:30" x14ac:dyDescent="0.3">
      <c r="AD547" s="16"/>
    </row>
    <row r="548" spans="30:30" x14ac:dyDescent="0.3">
      <c r="AD548" s="16"/>
    </row>
    <row r="549" spans="30:30" x14ac:dyDescent="0.3">
      <c r="AD549" s="16"/>
    </row>
    <row r="550" spans="30:30" x14ac:dyDescent="0.3">
      <c r="AD550" s="16"/>
    </row>
    <row r="551" spans="30:30" x14ac:dyDescent="0.3">
      <c r="AD551" s="16"/>
    </row>
    <row r="552" spans="30:30" x14ac:dyDescent="0.3">
      <c r="AD552" s="16"/>
    </row>
    <row r="553" spans="30:30" x14ac:dyDescent="0.3">
      <c r="AD553" s="16"/>
    </row>
    <row r="554" spans="30:30" x14ac:dyDescent="0.3">
      <c r="AD554" s="16"/>
    </row>
    <row r="555" spans="30:30" x14ac:dyDescent="0.3">
      <c r="AD555" s="16"/>
    </row>
    <row r="556" spans="30:30" x14ac:dyDescent="0.3">
      <c r="AD556" s="16"/>
    </row>
    <row r="557" spans="30:30" x14ac:dyDescent="0.3">
      <c r="AD557" s="16"/>
    </row>
    <row r="558" spans="30:30" x14ac:dyDescent="0.3">
      <c r="AD558" s="16"/>
    </row>
    <row r="559" spans="30:30" x14ac:dyDescent="0.3">
      <c r="AD559" s="16"/>
    </row>
    <row r="560" spans="30:30" x14ac:dyDescent="0.3">
      <c r="AD560" s="16"/>
    </row>
    <row r="561" spans="30:30" x14ac:dyDescent="0.3">
      <c r="AD561" s="16"/>
    </row>
    <row r="562" spans="30:30" x14ac:dyDescent="0.3">
      <c r="AD562" s="16"/>
    </row>
    <row r="563" spans="30:30" x14ac:dyDescent="0.3">
      <c r="AD563" s="16"/>
    </row>
    <row r="564" spans="30:30" x14ac:dyDescent="0.3">
      <c r="AD564" s="16"/>
    </row>
    <row r="565" spans="30:30" x14ac:dyDescent="0.3">
      <c r="AD565" s="16"/>
    </row>
    <row r="566" spans="30:30" x14ac:dyDescent="0.3">
      <c r="AD566" s="16"/>
    </row>
    <row r="567" spans="30:30" x14ac:dyDescent="0.3">
      <c r="AD567" s="16"/>
    </row>
    <row r="568" spans="30:30" x14ac:dyDescent="0.3">
      <c r="AD568" s="16"/>
    </row>
    <row r="569" spans="30:30" x14ac:dyDescent="0.3">
      <c r="AD569" s="16"/>
    </row>
    <row r="570" spans="30:30" x14ac:dyDescent="0.3">
      <c r="AD570" s="16"/>
    </row>
    <row r="571" spans="30:30" x14ac:dyDescent="0.3">
      <c r="AD571" s="16"/>
    </row>
    <row r="572" spans="30:30" x14ac:dyDescent="0.3">
      <c r="AD572" s="16"/>
    </row>
    <row r="573" spans="30:30" x14ac:dyDescent="0.3">
      <c r="AD573" s="16"/>
    </row>
    <row r="574" spans="30:30" x14ac:dyDescent="0.3">
      <c r="AD574" s="16"/>
    </row>
    <row r="575" spans="30:30" x14ac:dyDescent="0.3">
      <c r="AD575" s="16"/>
    </row>
    <row r="576" spans="30:30" x14ac:dyDescent="0.3">
      <c r="AD576" s="16"/>
    </row>
    <row r="577" spans="30:30" x14ac:dyDescent="0.3">
      <c r="AD577" s="16"/>
    </row>
    <row r="578" spans="30:30" x14ac:dyDescent="0.3">
      <c r="AD578" s="16"/>
    </row>
    <row r="579" spans="30:30" x14ac:dyDescent="0.3">
      <c r="AD579" s="16"/>
    </row>
    <row r="580" spans="30:30" x14ac:dyDescent="0.3">
      <c r="AD580" s="16"/>
    </row>
    <row r="581" spans="30:30" x14ac:dyDescent="0.3">
      <c r="AD581" s="16"/>
    </row>
    <row r="582" spans="30:30" x14ac:dyDescent="0.3">
      <c r="AD582" s="16"/>
    </row>
    <row r="583" spans="30:30" x14ac:dyDescent="0.3">
      <c r="AD583" s="16"/>
    </row>
    <row r="584" spans="30:30" x14ac:dyDescent="0.3">
      <c r="AD584" s="16"/>
    </row>
    <row r="585" spans="30:30" x14ac:dyDescent="0.3">
      <c r="AD585" s="16"/>
    </row>
    <row r="586" spans="30:30" x14ac:dyDescent="0.3">
      <c r="AD586" s="16"/>
    </row>
    <row r="587" spans="30:30" x14ac:dyDescent="0.3">
      <c r="AD587" s="16"/>
    </row>
    <row r="588" spans="30:30" x14ac:dyDescent="0.3">
      <c r="AD588" s="16"/>
    </row>
    <row r="589" spans="30:30" x14ac:dyDescent="0.3">
      <c r="AD589" s="16"/>
    </row>
    <row r="590" spans="30:30" x14ac:dyDescent="0.3">
      <c r="AD590" s="16"/>
    </row>
    <row r="591" spans="30:30" x14ac:dyDescent="0.3">
      <c r="AD591" s="16"/>
    </row>
    <row r="592" spans="30:30" x14ac:dyDescent="0.3">
      <c r="AD592" s="16"/>
    </row>
    <row r="593" spans="30:30" x14ac:dyDescent="0.3">
      <c r="AD593" s="16"/>
    </row>
    <row r="594" spans="30:30" x14ac:dyDescent="0.3">
      <c r="AD594" s="16"/>
    </row>
    <row r="595" spans="30:30" x14ac:dyDescent="0.3">
      <c r="AD595" s="16"/>
    </row>
    <row r="596" spans="30:30" x14ac:dyDescent="0.3">
      <c r="AD596" s="16"/>
    </row>
    <row r="597" spans="30:30" x14ac:dyDescent="0.3">
      <c r="AD597" s="16"/>
    </row>
    <row r="598" spans="30:30" x14ac:dyDescent="0.3">
      <c r="AD598" s="16"/>
    </row>
    <row r="599" spans="30:30" x14ac:dyDescent="0.3">
      <c r="AD599" s="16"/>
    </row>
    <row r="600" spans="30:30" x14ac:dyDescent="0.3">
      <c r="AD600" s="16"/>
    </row>
    <row r="601" spans="30:30" x14ac:dyDescent="0.3">
      <c r="AD601" s="16"/>
    </row>
    <row r="602" spans="30:30" x14ac:dyDescent="0.3">
      <c r="AD602" s="16"/>
    </row>
    <row r="603" spans="30:30" x14ac:dyDescent="0.3">
      <c r="AD603" s="16"/>
    </row>
    <row r="604" spans="30:30" x14ac:dyDescent="0.3">
      <c r="AD604" s="16"/>
    </row>
    <row r="605" spans="30:30" x14ac:dyDescent="0.3">
      <c r="AD605" s="16"/>
    </row>
    <row r="606" spans="30:30" x14ac:dyDescent="0.3">
      <c r="AD606" s="16"/>
    </row>
    <row r="607" spans="30:30" x14ac:dyDescent="0.3">
      <c r="AD607" s="16"/>
    </row>
    <row r="608" spans="30:30" x14ac:dyDescent="0.3">
      <c r="AD608" s="16"/>
    </row>
    <row r="609" spans="30:30" x14ac:dyDescent="0.3">
      <c r="AD609" s="16"/>
    </row>
    <row r="610" spans="30:30" x14ac:dyDescent="0.3">
      <c r="AD610" s="16"/>
    </row>
    <row r="611" spans="30:30" x14ac:dyDescent="0.3">
      <c r="AD611" s="16"/>
    </row>
    <row r="612" spans="30:30" x14ac:dyDescent="0.3">
      <c r="AD612" s="16"/>
    </row>
    <row r="613" spans="30:30" x14ac:dyDescent="0.3">
      <c r="AD613" s="16"/>
    </row>
    <row r="614" spans="30:30" x14ac:dyDescent="0.3">
      <c r="AD614" s="16"/>
    </row>
    <row r="615" spans="30:30" x14ac:dyDescent="0.3">
      <c r="AD615" s="16"/>
    </row>
    <row r="616" spans="30:30" x14ac:dyDescent="0.3">
      <c r="AD616" s="16"/>
    </row>
    <row r="617" spans="30:30" x14ac:dyDescent="0.3">
      <c r="AD617" s="16"/>
    </row>
    <row r="618" spans="30:30" x14ac:dyDescent="0.3">
      <c r="AD618" s="16"/>
    </row>
    <row r="619" spans="30:30" x14ac:dyDescent="0.3">
      <c r="AD619" s="16"/>
    </row>
    <row r="620" spans="30:30" x14ac:dyDescent="0.3">
      <c r="AD620" s="16"/>
    </row>
    <row r="621" spans="30:30" x14ac:dyDescent="0.3">
      <c r="AD621" s="16"/>
    </row>
    <row r="622" spans="30:30" x14ac:dyDescent="0.3">
      <c r="AD622" s="16"/>
    </row>
    <row r="623" spans="30:30" x14ac:dyDescent="0.3">
      <c r="AD623" s="16"/>
    </row>
    <row r="624" spans="30:30" x14ac:dyDescent="0.3">
      <c r="AD624" s="16"/>
    </row>
    <row r="625" spans="30:30" x14ac:dyDescent="0.3">
      <c r="AD625" s="16"/>
    </row>
    <row r="626" spans="30:30" x14ac:dyDescent="0.3">
      <c r="AD626" s="16"/>
    </row>
    <row r="627" spans="30:30" x14ac:dyDescent="0.3">
      <c r="AD627" s="16"/>
    </row>
    <row r="628" spans="30:30" x14ac:dyDescent="0.3">
      <c r="AD628" s="16"/>
    </row>
    <row r="629" spans="30:30" x14ac:dyDescent="0.3">
      <c r="AD629" s="16"/>
    </row>
    <row r="630" spans="30:30" x14ac:dyDescent="0.3">
      <c r="AD630" s="16"/>
    </row>
    <row r="631" spans="30:30" x14ac:dyDescent="0.3">
      <c r="AD631" s="16"/>
    </row>
    <row r="632" spans="30:30" x14ac:dyDescent="0.3">
      <c r="AD632" s="16"/>
    </row>
    <row r="633" spans="30:30" x14ac:dyDescent="0.3">
      <c r="AD633" s="16"/>
    </row>
    <row r="634" spans="30:30" x14ac:dyDescent="0.3">
      <c r="AD634" s="16"/>
    </row>
    <row r="635" spans="30:30" x14ac:dyDescent="0.3">
      <c r="AD635" s="16"/>
    </row>
    <row r="636" spans="30:30" x14ac:dyDescent="0.3">
      <c r="AD636" s="16"/>
    </row>
    <row r="637" spans="30:30" x14ac:dyDescent="0.3">
      <c r="AD637" s="16"/>
    </row>
    <row r="638" spans="30:30" x14ac:dyDescent="0.3">
      <c r="AD638" s="16"/>
    </row>
    <row r="639" spans="30:30" x14ac:dyDescent="0.3">
      <c r="AD639" s="16"/>
    </row>
    <row r="640" spans="30:30" x14ac:dyDescent="0.3">
      <c r="AD640" s="16"/>
    </row>
    <row r="641" spans="30:30" x14ac:dyDescent="0.3">
      <c r="AD641" s="16"/>
    </row>
    <row r="642" spans="30:30" x14ac:dyDescent="0.3">
      <c r="AD642" s="16"/>
    </row>
    <row r="643" spans="30:30" x14ac:dyDescent="0.3">
      <c r="AD643" s="16"/>
    </row>
    <row r="644" spans="30:30" x14ac:dyDescent="0.3">
      <c r="AD644" s="16"/>
    </row>
    <row r="645" spans="30:30" x14ac:dyDescent="0.3">
      <c r="AD645" s="16"/>
    </row>
    <row r="646" spans="30:30" x14ac:dyDescent="0.3">
      <c r="AD646" s="16"/>
    </row>
    <row r="647" spans="30:30" x14ac:dyDescent="0.3">
      <c r="AD647" s="16"/>
    </row>
    <row r="648" spans="30:30" x14ac:dyDescent="0.3">
      <c r="AD648" s="16"/>
    </row>
    <row r="649" spans="30:30" x14ac:dyDescent="0.3">
      <c r="AD649" s="16"/>
    </row>
    <row r="650" spans="30:30" x14ac:dyDescent="0.3">
      <c r="AD650" s="16"/>
    </row>
    <row r="651" spans="30:30" x14ac:dyDescent="0.3">
      <c r="AD651" s="16"/>
    </row>
    <row r="652" spans="30:30" x14ac:dyDescent="0.3">
      <c r="AD652" s="16"/>
    </row>
    <row r="653" spans="30:30" x14ac:dyDescent="0.3">
      <c r="AD653" s="16"/>
    </row>
    <row r="654" spans="30:30" x14ac:dyDescent="0.3">
      <c r="AD654" s="16"/>
    </row>
    <row r="655" spans="30:30" x14ac:dyDescent="0.3">
      <c r="AD655" s="16"/>
    </row>
    <row r="656" spans="30:30" x14ac:dyDescent="0.3">
      <c r="AD656" s="16"/>
    </row>
    <row r="657" spans="30:30" x14ac:dyDescent="0.3">
      <c r="AD657" s="16"/>
    </row>
    <row r="658" spans="30:30" x14ac:dyDescent="0.3">
      <c r="AD658" s="16"/>
    </row>
    <row r="659" spans="30:30" x14ac:dyDescent="0.3">
      <c r="AD659" s="16"/>
    </row>
    <row r="660" spans="30:30" x14ac:dyDescent="0.3">
      <c r="AD660" s="16"/>
    </row>
    <row r="661" spans="30:30" x14ac:dyDescent="0.3">
      <c r="AD661" s="16"/>
    </row>
    <row r="662" spans="30:30" x14ac:dyDescent="0.3">
      <c r="AD662" s="16"/>
    </row>
    <row r="663" spans="30:30" x14ac:dyDescent="0.3">
      <c r="AD663" s="16"/>
    </row>
    <row r="664" spans="30:30" x14ac:dyDescent="0.3">
      <c r="AD664" s="16"/>
    </row>
    <row r="665" spans="30:30" x14ac:dyDescent="0.3">
      <c r="AD665" s="16"/>
    </row>
    <row r="666" spans="30:30" x14ac:dyDescent="0.3">
      <c r="AD666" s="16"/>
    </row>
    <row r="667" spans="30:30" x14ac:dyDescent="0.3">
      <c r="AD667" s="16"/>
    </row>
    <row r="668" spans="30:30" x14ac:dyDescent="0.3">
      <c r="AD668" s="16"/>
    </row>
    <row r="669" spans="30:30" x14ac:dyDescent="0.3">
      <c r="AD669" s="16"/>
    </row>
    <row r="670" spans="30:30" x14ac:dyDescent="0.3">
      <c r="AD670" s="16"/>
    </row>
    <row r="671" spans="30:30" x14ac:dyDescent="0.3">
      <c r="AD671" s="16"/>
    </row>
    <row r="672" spans="30:30" x14ac:dyDescent="0.3">
      <c r="AD672" s="16"/>
    </row>
    <row r="673" spans="30:30" x14ac:dyDescent="0.3">
      <c r="AD673" s="16"/>
    </row>
    <row r="674" spans="30:30" x14ac:dyDescent="0.3">
      <c r="AD674" s="16"/>
    </row>
    <row r="675" spans="30:30" x14ac:dyDescent="0.3">
      <c r="AD675" s="16"/>
    </row>
    <row r="676" spans="30:30" x14ac:dyDescent="0.3">
      <c r="AD676" s="16"/>
    </row>
    <row r="677" spans="30:30" x14ac:dyDescent="0.3">
      <c r="AD677" s="16"/>
    </row>
    <row r="678" spans="30:30" x14ac:dyDescent="0.3">
      <c r="AD678" s="16"/>
    </row>
    <row r="679" spans="30:30" x14ac:dyDescent="0.3">
      <c r="AD679" s="16"/>
    </row>
    <row r="680" spans="30:30" x14ac:dyDescent="0.3">
      <c r="AD680" s="16"/>
    </row>
    <row r="681" spans="30:30" x14ac:dyDescent="0.3">
      <c r="AD681" s="16"/>
    </row>
    <row r="682" spans="30:30" x14ac:dyDescent="0.3">
      <c r="AD682" s="16"/>
    </row>
    <row r="683" spans="30:30" x14ac:dyDescent="0.3">
      <c r="AD683" s="16"/>
    </row>
    <row r="684" spans="30:30" x14ac:dyDescent="0.3">
      <c r="AD684" s="16"/>
    </row>
    <row r="685" spans="30:30" x14ac:dyDescent="0.3">
      <c r="AD685" s="16"/>
    </row>
    <row r="686" spans="30:30" x14ac:dyDescent="0.3">
      <c r="AD686" s="16"/>
    </row>
    <row r="687" spans="30:30" x14ac:dyDescent="0.3">
      <c r="AD687" s="16"/>
    </row>
    <row r="688" spans="30:30" x14ac:dyDescent="0.3">
      <c r="AD688" s="16"/>
    </row>
    <row r="689" spans="30:30" x14ac:dyDescent="0.3">
      <c r="AD689" s="16"/>
    </row>
    <row r="690" spans="30:30" x14ac:dyDescent="0.3">
      <c r="AD690" s="16"/>
    </row>
    <row r="691" spans="30:30" x14ac:dyDescent="0.3">
      <c r="AD691" s="16"/>
    </row>
    <row r="692" spans="30:30" x14ac:dyDescent="0.3">
      <c r="AD692" s="16"/>
    </row>
    <row r="693" spans="30:30" x14ac:dyDescent="0.3">
      <c r="AD693" s="16"/>
    </row>
    <row r="694" spans="30:30" x14ac:dyDescent="0.3">
      <c r="AD694" s="16"/>
    </row>
    <row r="695" spans="30:30" x14ac:dyDescent="0.3">
      <c r="AD695" s="16"/>
    </row>
    <row r="696" spans="30:30" x14ac:dyDescent="0.3">
      <c r="AD696" s="16"/>
    </row>
    <row r="697" spans="30:30" x14ac:dyDescent="0.3">
      <c r="AD697" s="16"/>
    </row>
    <row r="698" spans="30:30" x14ac:dyDescent="0.3">
      <c r="AD698" s="16"/>
    </row>
    <row r="699" spans="30:30" x14ac:dyDescent="0.3">
      <c r="AD699" s="16"/>
    </row>
    <row r="700" spans="30:30" x14ac:dyDescent="0.3">
      <c r="AD700" s="16"/>
    </row>
    <row r="701" spans="30:30" x14ac:dyDescent="0.3">
      <c r="AD701" s="16"/>
    </row>
    <row r="702" spans="30:30" x14ac:dyDescent="0.3">
      <c r="AD702" s="16"/>
    </row>
    <row r="703" spans="30:30" x14ac:dyDescent="0.3">
      <c r="AD703" s="16"/>
    </row>
    <row r="704" spans="30:30" x14ac:dyDescent="0.3">
      <c r="AD704" s="16"/>
    </row>
    <row r="705" spans="30:30" x14ac:dyDescent="0.3">
      <c r="AD705" s="16"/>
    </row>
    <row r="706" spans="30:30" x14ac:dyDescent="0.3">
      <c r="AD706" s="16"/>
    </row>
    <row r="707" spans="30:30" x14ac:dyDescent="0.3">
      <c r="AD707" s="16"/>
    </row>
    <row r="708" spans="30:30" x14ac:dyDescent="0.3">
      <c r="AD708" s="16"/>
    </row>
    <row r="709" spans="30:30" x14ac:dyDescent="0.3">
      <c r="AD709" s="16"/>
    </row>
    <row r="710" spans="30:30" x14ac:dyDescent="0.3">
      <c r="AD710" s="16"/>
    </row>
    <row r="711" spans="30:30" x14ac:dyDescent="0.3">
      <c r="AD711" s="16"/>
    </row>
    <row r="712" spans="30:30" x14ac:dyDescent="0.3">
      <c r="AD712" s="16"/>
    </row>
    <row r="713" spans="30:30" x14ac:dyDescent="0.3">
      <c r="AD713" s="16"/>
    </row>
    <row r="714" spans="30:30" x14ac:dyDescent="0.3">
      <c r="AD714" s="16"/>
    </row>
    <row r="715" spans="30:30" x14ac:dyDescent="0.3">
      <c r="AD715" s="16"/>
    </row>
    <row r="716" spans="30:30" x14ac:dyDescent="0.3">
      <c r="AD716" s="16"/>
    </row>
    <row r="717" spans="30:30" x14ac:dyDescent="0.3">
      <c r="AD717" s="16"/>
    </row>
    <row r="718" spans="30:30" x14ac:dyDescent="0.3">
      <c r="AD718" s="16"/>
    </row>
    <row r="719" spans="30:30" x14ac:dyDescent="0.3">
      <c r="AD719" s="16"/>
    </row>
    <row r="720" spans="30:30" x14ac:dyDescent="0.3">
      <c r="AD720" s="16"/>
    </row>
    <row r="721" spans="30:30" x14ac:dyDescent="0.3">
      <c r="AD721" s="16"/>
    </row>
    <row r="722" spans="30:30" x14ac:dyDescent="0.3">
      <c r="AD722" s="16"/>
    </row>
    <row r="723" spans="30:30" x14ac:dyDescent="0.3">
      <c r="AD723" s="16"/>
    </row>
    <row r="724" spans="30:30" x14ac:dyDescent="0.3">
      <c r="AD724" s="16"/>
    </row>
    <row r="725" spans="30:30" x14ac:dyDescent="0.3">
      <c r="AD725" s="16"/>
    </row>
    <row r="726" spans="30:30" x14ac:dyDescent="0.3">
      <c r="AD726" s="16"/>
    </row>
    <row r="727" spans="30:30" x14ac:dyDescent="0.3">
      <c r="AD727" s="16"/>
    </row>
    <row r="728" spans="30:30" x14ac:dyDescent="0.3">
      <c r="AD728" s="16"/>
    </row>
    <row r="729" spans="30:30" x14ac:dyDescent="0.3">
      <c r="AD729" s="16"/>
    </row>
    <row r="730" spans="30:30" x14ac:dyDescent="0.3">
      <c r="AD730" s="16"/>
    </row>
    <row r="731" spans="30:30" x14ac:dyDescent="0.3">
      <c r="AD731" s="16"/>
    </row>
    <row r="732" spans="30:30" x14ac:dyDescent="0.3">
      <c r="AD732" s="16"/>
    </row>
    <row r="733" spans="30:30" x14ac:dyDescent="0.3">
      <c r="AD733" s="16"/>
    </row>
    <row r="734" spans="30:30" x14ac:dyDescent="0.3">
      <c r="AD734" s="16"/>
    </row>
    <row r="735" spans="30:30" x14ac:dyDescent="0.3">
      <c r="AD735" s="16"/>
    </row>
    <row r="736" spans="30:30" x14ac:dyDescent="0.3">
      <c r="AD736" s="16"/>
    </row>
    <row r="737" spans="30:30" x14ac:dyDescent="0.3">
      <c r="AD737" s="16"/>
    </row>
    <row r="738" spans="30:30" x14ac:dyDescent="0.3">
      <c r="AD738" s="16"/>
    </row>
    <row r="739" spans="30:30" x14ac:dyDescent="0.3">
      <c r="AD739" s="16"/>
    </row>
    <row r="740" spans="30:30" x14ac:dyDescent="0.3">
      <c r="AD740" s="16"/>
    </row>
    <row r="741" spans="30:30" x14ac:dyDescent="0.3">
      <c r="AD741" s="16"/>
    </row>
    <row r="742" spans="30:30" x14ac:dyDescent="0.3">
      <c r="AD742" s="16"/>
    </row>
    <row r="743" spans="30:30" x14ac:dyDescent="0.3">
      <c r="AD743" s="16"/>
    </row>
    <row r="744" spans="30:30" x14ac:dyDescent="0.3">
      <c r="AD744" s="16"/>
    </row>
    <row r="745" spans="30:30" x14ac:dyDescent="0.3">
      <c r="AD745" s="16"/>
    </row>
    <row r="746" spans="30:30" x14ac:dyDescent="0.3">
      <c r="AD746" s="16"/>
    </row>
    <row r="747" spans="30:30" x14ac:dyDescent="0.3">
      <c r="AD747" s="16"/>
    </row>
    <row r="748" spans="30:30" x14ac:dyDescent="0.3">
      <c r="AD748" s="16"/>
    </row>
    <row r="749" spans="30:30" x14ac:dyDescent="0.3">
      <c r="AD749" s="16"/>
    </row>
    <row r="750" spans="30:30" x14ac:dyDescent="0.3">
      <c r="AD750" s="16"/>
    </row>
    <row r="751" spans="30:30" x14ac:dyDescent="0.3">
      <c r="AD751" s="16"/>
    </row>
    <row r="752" spans="30:30" x14ac:dyDescent="0.3">
      <c r="AD752" s="16"/>
    </row>
    <row r="753" spans="30:30" x14ac:dyDescent="0.3">
      <c r="AD753" s="16"/>
    </row>
    <row r="754" spans="30:30" x14ac:dyDescent="0.3">
      <c r="AD754" s="16"/>
    </row>
    <row r="755" spans="30:30" x14ac:dyDescent="0.3">
      <c r="AD755" s="16"/>
    </row>
    <row r="756" spans="30:30" x14ac:dyDescent="0.3">
      <c r="AD756" s="16"/>
    </row>
    <row r="757" spans="30:30" x14ac:dyDescent="0.3">
      <c r="AD757" s="16"/>
    </row>
    <row r="758" spans="30:30" x14ac:dyDescent="0.3">
      <c r="AD758" s="16"/>
    </row>
    <row r="759" spans="30:30" x14ac:dyDescent="0.3">
      <c r="AD759" s="16"/>
    </row>
    <row r="760" spans="30:30" x14ac:dyDescent="0.3">
      <c r="AD760" s="16"/>
    </row>
    <row r="761" spans="30:30" x14ac:dyDescent="0.3">
      <c r="AD761" s="16"/>
    </row>
    <row r="762" spans="30:30" x14ac:dyDescent="0.3">
      <c r="AD762" s="16"/>
    </row>
    <row r="763" spans="30:30" x14ac:dyDescent="0.3">
      <c r="AD763" s="16"/>
    </row>
    <row r="764" spans="30:30" x14ac:dyDescent="0.3">
      <c r="AD764" s="16"/>
    </row>
    <row r="765" spans="30:30" x14ac:dyDescent="0.3">
      <c r="AD765" s="16"/>
    </row>
    <row r="766" spans="30:30" x14ac:dyDescent="0.3">
      <c r="AD766" s="16"/>
    </row>
    <row r="767" spans="30:30" x14ac:dyDescent="0.3">
      <c r="AD767" s="16"/>
    </row>
    <row r="768" spans="30:30" x14ac:dyDescent="0.3">
      <c r="AD768" s="16"/>
    </row>
    <row r="769" spans="30:30" x14ac:dyDescent="0.3">
      <c r="AD769" s="16"/>
    </row>
    <row r="770" spans="30:30" x14ac:dyDescent="0.3">
      <c r="AD770" s="16"/>
    </row>
    <row r="771" spans="30:30" x14ac:dyDescent="0.3">
      <c r="AD771" s="16"/>
    </row>
    <row r="772" spans="30:30" x14ac:dyDescent="0.3">
      <c r="AD772" s="16"/>
    </row>
    <row r="773" spans="30:30" x14ac:dyDescent="0.3">
      <c r="AD773" s="16"/>
    </row>
    <row r="774" spans="30:30" x14ac:dyDescent="0.3">
      <c r="AD774" s="16"/>
    </row>
    <row r="775" spans="30:30" x14ac:dyDescent="0.3">
      <c r="AD775" s="16"/>
    </row>
    <row r="776" spans="30:30" x14ac:dyDescent="0.3">
      <c r="AD776" s="16"/>
    </row>
    <row r="777" spans="30:30" x14ac:dyDescent="0.3">
      <c r="AD777" s="16"/>
    </row>
    <row r="778" spans="30:30" x14ac:dyDescent="0.3">
      <c r="AD778" s="16"/>
    </row>
    <row r="779" spans="30:30" x14ac:dyDescent="0.3">
      <c r="AD779" s="16"/>
    </row>
    <row r="780" spans="30:30" x14ac:dyDescent="0.3">
      <c r="AD780" s="16"/>
    </row>
    <row r="781" spans="30:30" x14ac:dyDescent="0.3">
      <c r="AD781" s="16"/>
    </row>
    <row r="782" spans="30:30" x14ac:dyDescent="0.3">
      <c r="AD782" s="16"/>
    </row>
    <row r="783" spans="30:30" x14ac:dyDescent="0.3">
      <c r="AD783" s="16"/>
    </row>
    <row r="784" spans="30:30" x14ac:dyDescent="0.3">
      <c r="AD784" s="16"/>
    </row>
    <row r="785" spans="30:30" x14ac:dyDescent="0.3">
      <c r="AD785" s="16"/>
    </row>
    <row r="786" spans="30:30" x14ac:dyDescent="0.3">
      <c r="AD786" s="16"/>
    </row>
    <row r="787" spans="30:30" x14ac:dyDescent="0.3">
      <c r="AD787" s="16"/>
    </row>
    <row r="788" spans="30:30" x14ac:dyDescent="0.3">
      <c r="AD788" s="16"/>
    </row>
    <row r="789" spans="30:30" x14ac:dyDescent="0.3">
      <c r="AD789" s="16"/>
    </row>
    <row r="790" spans="30:30" x14ac:dyDescent="0.3">
      <c r="AD790" s="16"/>
    </row>
    <row r="791" spans="30:30" x14ac:dyDescent="0.3">
      <c r="AD791" s="16"/>
    </row>
    <row r="792" spans="30:30" x14ac:dyDescent="0.3">
      <c r="AD792" s="16"/>
    </row>
    <row r="793" spans="30:30" x14ac:dyDescent="0.3">
      <c r="AD793" s="16"/>
    </row>
    <row r="794" spans="30:30" x14ac:dyDescent="0.3">
      <c r="AD794" s="16"/>
    </row>
    <row r="795" spans="30:30" x14ac:dyDescent="0.3">
      <c r="AD795" s="16"/>
    </row>
    <row r="796" spans="30:30" x14ac:dyDescent="0.3">
      <c r="AD796" s="16"/>
    </row>
    <row r="797" spans="30:30" x14ac:dyDescent="0.3">
      <c r="AD797" s="16"/>
    </row>
    <row r="798" spans="30:30" x14ac:dyDescent="0.3">
      <c r="AD798" s="16"/>
    </row>
    <row r="799" spans="30:30" x14ac:dyDescent="0.3">
      <c r="AD799" s="16"/>
    </row>
    <row r="800" spans="30:30" x14ac:dyDescent="0.3">
      <c r="AD800" s="16"/>
    </row>
    <row r="801" spans="30:30" x14ac:dyDescent="0.3">
      <c r="AD801" s="16"/>
    </row>
    <row r="802" spans="30:30" x14ac:dyDescent="0.3">
      <c r="AD802" s="16"/>
    </row>
    <row r="803" spans="30:30" x14ac:dyDescent="0.3">
      <c r="AD803" s="16"/>
    </row>
    <row r="804" spans="30:30" x14ac:dyDescent="0.3">
      <c r="AD804" s="16"/>
    </row>
    <row r="805" spans="30:30" x14ac:dyDescent="0.3">
      <c r="AD805" s="16"/>
    </row>
    <row r="806" spans="30:30" x14ac:dyDescent="0.3">
      <c r="AD806" s="16"/>
    </row>
    <row r="807" spans="30:30" x14ac:dyDescent="0.3">
      <c r="AD807" s="16"/>
    </row>
    <row r="808" spans="30:30" x14ac:dyDescent="0.3">
      <c r="AD808" s="16"/>
    </row>
    <row r="809" spans="30:30" x14ac:dyDescent="0.3">
      <c r="AD809" s="16"/>
    </row>
    <row r="810" spans="30:30" x14ac:dyDescent="0.3">
      <c r="AD810" s="16"/>
    </row>
    <row r="811" spans="30:30" x14ac:dyDescent="0.3">
      <c r="AD811" s="16"/>
    </row>
    <row r="812" spans="30:30" x14ac:dyDescent="0.3">
      <c r="AD812" s="16"/>
    </row>
    <row r="813" spans="30:30" x14ac:dyDescent="0.3">
      <c r="AD813" s="16"/>
    </row>
    <row r="814" spans="30:30" x14ac:dyDescent="0.3">
      <c r="AD814" s="16"/>
    </row>
    <row r="815" spans="30:30" x14ac:dyDescent="0.3">
      <c r="AD815" s="16"/>
    </row>
    <row r="816" spans="30:30" x14ac:dyDescent="0.3">
      <c r="AD816" s="16"/>
    </row>
    <row r="817" spans="30:30" x14ac:dyDescent="0.3">
      <c r="AD817" s="16"/>
    </row>
    <row r="818" spans="30:30" x14ac:dyDescent="0.3">
      <c r="AD818" s="16"/>
    </row>
    <row r="819" spans="30:30" x14ac:dyDescent="0.3">
      <c r="AD819" s="16"/>
    </row>
    <row r="820" spans="30:30" x14ac:dyDescent="0.3">
      <c r="AD820" s="16"/>
    </row>
    <row r="821" spans="30:30" x14ac:dyDescent="0.3">
      <c r="AD821" s="16"/>
    </row>
    <row r="822" spans="30:30" x14ac:dyDescent="0.3">
      <c r="AD822" s="16"/>
    </row>
    <row r="823" spans="30:30" x14ac:dyDescent="0.3">
      <c r="AD823" s="16"/>
    </row>
    <row r="824" spans="30:30" x14ac:dyDescent="0.3">
      <c r="AD824" s="16"/>
    </row>
    <row r="825" spans="30:30" x14ac:dyDescent="0.3">
      <c r="AD825" s="16"/>
    </row>
    <row r="826" spans="30:30" x14ac:dyDescent="0.3">
      <c r="AD826" s="16"/>
    </row>
    <row r="827" spans="30:30" x14ac:dyDescent="0.3">
      <c r="AD827" s="16"/>
    </row>
    <row r="828" spans="30:30" x14ac:dyDescent="0.3">
      <c r="AD828" s="16"/>
    </row>
    <row r="829" spans="30:30" x14ac:dyDescent="0.3">
      <c r="AD829" s="16"/>
    </row>
    <row r="830" spans="30:30" x14ac:dyDescent="0.3">
      <c r="AD830" s="16"/>
    </row>
    <row r="831" spans="30:30" x14ac:dyDescent="0.3">
      <c r="AD831" s="16"/>
    </row>
    <row r="832" spans="30:30" x14ac:dyDescent="0.3">
      <c r="AD832" s="16"/>
    </row>
    <row r="833" spans="30:30" x14ac:dyDescent="0.3">
      <c r="AD833" s="16"/>
    </row>
    <row r="834" spans="30:30" x14ac:dyDescent="0.3">
      <c r="AD834" s="16"/>
    </row>
    <row r="835" spans="30:30" x14ac:dyDescent="0.3">
      <c r="AD835" s="16"/>
    </row>
    <row r="836" spans="30:30" x14ac:dyDescent="0.3">
      <c r="AD836" s="16"/>
    </row>
    <row r="837" spans="30:30" x14ac:dyDescent="0.3">
      <c r="AD837" s="16"/>
    </row>
    <row r="838" spans="30:30" x14ac:dyDescent="0.3">
      <c r="AD838" s="16"/>
    </row>
    <row r="839" spans="30:30" x14ac:dyDescent="0.3">
      <c r="AD839" s="16"/>
    </row>
    <row r="840" spans="30:30" x14ac:dyDescent="0.3">
      <c r="AD840" s="16"/>
    </row>
    <row r="841" spans="30:30" x14ac:dyDescent="0.3">
      <c r="AD841" s="16"/>
    </row>
    <row r="842" spans="30:30" x14ac:dyDescent="0.3">
      <c r="AD842" s="16"/>
    </row>
    <row r="843" spans="30:30" x14ac:dyDescent="0.3">
      <c r="AD843" s="16"/>
    </row>
    <row r="844" spans="30:30" x14ac:dyDescent="0.3">
      <c r="AD844" s="16"/>
    </row>
    <row r="845" spans="30:30" x14ac:dyDescent="0.3">
      <c r="AD845" s="16"/>
    </row>
    <row r="846" spans="30:30" x14ac:dyDescent="0.3">
      <c r="AD846" s="16"/>
    </row>
    <row r="847" spans="30:30" x14ac:dyDescent="0.3">
      <c r="AD847" s="16"/>
    </row>
    <row r="848" spans="30:30" x14ac:dyDescent="0.3">
      <c r="AD848" s="16"/>
    </row>
    <row r="849" spans="30:30" x14ac:dyDescent="0.3">
      <c r="AD849" s="16"/>
    </row>
    <row r="850" spans="30:30" x14ac:dyDescent="0.3">
      <c r="AD850" s="16"/>
    </row>
    <row r="851" spans="30:30" x14ac:dyDescent="0.3">
      <c r="AD851" s="16"/>
    </row>
    <row r="852" spans="30:30" x14ac:dyDescent="0.3">
      <c r="AD852" s="16"/>
    </row>
    <row r="853" spans="30:30" x14ac:dyDescent="0.3">
      <c r="AD853" s="16"/>
    </row>
    <row r="854" spans="30:30" x14ac:dyDescent="0.3">
      <c r="AD854" s="16"/>
    </row>
    <row r="855" spans="30:30" x14ac:dyDescent="0.3">
      <c r="AD855" s="16"/>
    </row>
    <row r="856" spans="30:30" x14ac:dyDescent="0.3">
      <c r="AD856" s="16"/>
    </row>
    <row r="857" spans="30:30" x14ac:dyDescent="0.3">
      <c r="AD857" s="16"/>
    </row>
    <row r="858" spans="30:30" x14ac:dyDescent="0.3">
      <c r="AD858" s="16"/>
    </row>
    <row r="859" spans="30:30" x14ac:dyDescent="0.3">
      <c r="AD859" s="16"/>
    </row>
    <row r="860" spans="30:30" x14ac:dyDescent="0.3">
      <c r="AD860" s="16"/>
    </row>
    <row r="861" spans="30:30" x14ac:dyDescent="0.3">
      <c r="AD861" s="16"/>
    </row>
    <row r="862" spans="30:30" x14ac:dyDescent="0.3">
      <c r="AD862" s="16"/>
    </row>
    <row r="863" spans="30:30" x14ac:dyDescent="0.3">
      <c r="AD863" s="16"/>
    </row>
    <row r="864" spans="30:30" x14ac:dyDescent="0.3">
      <c r="AD864" s="16"/>
    </row>
    <row r="865" spans="30:30" x14ac:dyDescent="0.3">
      <c r="AD865" s="16"/>
    </row>
    <row r="866" spans="30:30" x14ac:dyDescent="0.3">
      <c r="AD866" s="16"/>
    </row>
    <row r="867" spans="30:30" x14ac:dyDescent="0.3">
      <c r="AD867" s="16"/>
    </row>
    <row r="868" spans="30:30" x14ac:dyDescent="0.3">
      <c r="AD868" s="16"/>
    </row>
    <row r="869" spans="30:30" x14ac:dyDescent="0.3">
      <c r="AD869" s="16"/>
    </row>
    <row r="870" spans="30:30" x14ac:dyDescent="0.3">
      <c r="AD870" s="16"/>
    </row>
    <row r="871" spans="30:30" x14ac:dyDescent="0.3">
      <c r="AD871" s="16"/>
    </row>
    <row r="872" spans="30:30" x14ac:dyDescent="0.3">
      <c r="AD872" s="16"/>
    </row>
    <row r="873" spans="30:30" x14ac:dyDescent="0.3">
      <c r="AD873" s="16"/>
    </row>
    <row r="874" spans="30:30" x14ac:dyDescent="0.3">
      <c r="AD874" s="16"/>
    </row>
    <row r="875" spans="30:30" x14ac:dyDescent="0.3">
      <c r="AD875" s="16"/>
    </row>
    <row r="876" spans="30:30" x14ac:dyDescent="0.3">
      <c r="AD876" s="16"/>
    </row>
    <row r="877" spans="30:30" x14ac:dyDescent="0.3">
      <c r="AD877" s="16"/>
    </row>
    <row r="878" spans="30:30" x14ac:dyDescent="0.3">
      <c r="AD878" s="16"/>
    </row>
    <row r="879" spans="30:30" x14ac:dyDescent="0.3">
      <c r="AD879" s="16"/>
    </row>
    <row r="880" spans="30:30" x14ac:dyDescent="0.3">
      <c r="AD880" s="16"/>
    </row>
    <row r="881" spans="30:30" x14ac:dyDescent="0.3">
      <c r="AD881" s="16"/>
    </row>
    <row r="882" spans="30:30" x14ac:dyDescent="0.3">
      <c r="AD882" s="16"/>
    </row>
    <row r="883" spans="30:30" x14ac:dyDescent="0.3">
      <c r="AD883" s="16"/>
    </row>
    <row r="884" spans="30:30" x14ac:dyDescent="0.3">
      <c r="AD884" s="16"/>
    </row>
    <row r="885" spans="30:30" x14ac:dyDescent="0.3">
      <c r="AD885" s="16"/>
    </row>
    <row r="886" spans="30:30" x14ac:dyDescent="0.3">
      <c r="AD886" s="16"/>
    </row>
    <row r="887" spans="30:30" x14ac:dyDescent="0.3">
      <c r="AD887" s="16"/>
    </row>
    <row r="888" spans="30:30" x14ac:dyDescent="0.3">
      <c r="AD888" s="16"/>
    </row>
    <row r="889" spans="30:30" x14ac:dyDescent="0.3">
      <c r="AD889" s="16"/>
    </row>
    <row r="890" spans="30:30" x14ac:dyDescent="0.3">
      <c r="AD890" s="16"/>
    </row>
    <row r="891" spans="30:30" x14ac:dyDescent="0.3">
      <c r="AD891" s="16"/>
    </row>
    <row r="892" spans="30:30" x14ac:dyDescent="0.3">
      <c r="AD892" s="16"/>
    </row>
    <row r="893" spans="30:30" x14ac:dyDescent="0.3">
      <c r="AD893" s="16"/>
    </row>
    <row r="894" spans="30:30" x14ac:dyDescent="0.3">
      <c r="AD894" s="16"/>
    </row>
    <row r="895" spans="30:30" x14ac:dyDescent="0.3">
      <c r="AD895" s="16"/>
    </row>
    <row r="896" spans="30:30" x14ac:dyDescent="0.3">
      <c r="AD896" s="16"/>
    </row>
    <row r="897" spans="30:30" x14ac:dyDescent="0.3">
      <c r="AD897" s="16"/>
    </row>
    <row r="898" spans="30:30" x14ac:dyDescent="0.3">
      <c r="AD898" s="16"/>
    </row>
    <row r="899" spans="30:30" x14ac:dyDescent="0.3">
      <c r="AD899" s="16"/>
    </row>
    <row r="900" spans="30:30" x14ac:dyDescent="0.3">
      <c r="AD900" s="16"/>
    </row>
    <row r="901" spans="30:30" x14ac:dyDescent="0.3">
      <c r="AD901" s="16"/>
    </row>
    <row r="902" spans="30:30" x14ac:dyDescent="0.3">
      <c r="AD902" s="16"/>
    </row>
    <row r="903" spans="30:30" x14ac:dyDescent="0.3">
      <c r="AD903" s="16"/>
    </row>
    <row r="904" spans="30:30" x14ac:dyDescent="0.3">
      <c r="AD904" s="16"/>
    </row>
    <row r="905" spans="30:30" x14ac:dyDescent="0.3">
      <c r="AD905" s="16"/>
    </row>
    <row r="906" spans="30:30" x14ac:dyDescent="0.3">
      <c r="AD906" s="16"/>
    </row>
    <row r="907" spans="30:30" x14ac:dyDescent="0.3">
      <c r="AD907" s="16"/>
    </row>
    <row r="908" spans="30:30" x14ac:dyDescent="0.3">
      <c r="AD908" s="16"/>
    </row>
    <row r="909" spans="30:30" x14ac:dyDescent="0.3">
      <c r="AD909" s="16"/>
    </row>
    <row r="910" spans="30:30" x14ac:dyDescent="0.3">
      <c r="AD910" s="16"/>
    </row>
    <row r="911" spans="30:30" x14ac:dyDescent="0.3">
      <c r="AD911" s="16"/>
    </row>
    <row r="912" spans="30:30" x14ac:dyDescent="0.3">
      <c r="AD912" s="16"/>
    </row>
    <row r="913" spans="30:30" x14ac:dyDescent="0.3">
      <c r="AD913" s="16"/>
    </row>
    <row r="914" spans="30:30" x14ac:dyDescent="0.3">
      <c r="AD914" s="16"/>
    </row>
    <row r="915" spans="30:30" x14ac:dyDescent="0.3">
      <c r="AD915" s="16"/>
    </row>
    <row r="916" spans="30:30" x14ac:dyDescent="0.3">
      <c r="AD916" s="16"/>
    </row>
    <row r="917" spans="30:30" x14ac:dyDescent="0.3">
      <c r="AD917" s="16"/>
    </row>
    <row r="918" spans="30:30" x14ac:dyDescent="0.3">
      <c r="AD918" s="16"/>
    </row>
    <row r="919" spans="30:30" x14ac:dyDescent="0.3">
      <c r="AD919" s="16"/>
    </row>
    <row r="920" spans="30:30" x14ac:dyDescent="0.3">
      <c r="AD920" s="16"/>
    </row>
    <row r="921" spans="30:30" x14ac:dyDescent="0.3">
      <c r="AD921" s="16"/>
    </row>
    <row r="922" spans="30:30" x14ac:dyDescent="0.3">
      <c r="AD922" s="16"/>
    </row>
    <row r="923" spans="30:30" x14ac:dyDescent="0.3">
      <c r="AD923" s="16"/>
    </row>
    <row r="924" spans="30:30" x14ac:dyDescent="0.3">
      <c r="AD924" s="16"/>
    </row>
    <row r="925" spans="30:30" x14ac:dyDescent="0.3">
      <c r="AD925" s="16"/>
    </row>
    <row r="926" spans="30:30" x14ac:dyDescent="0.3">
      <c r="AD926" s="16"/>
    </row>
    <row r="927" spans="30:30" x14ac:dyDescent="0.3">
      <c r="AD927" s="16"/>
    </row>
    <row r="928" spans="30:30" x14ac:dyDescent="0.3">
      <c r="AD928" s="16"/>
    </row>
    <row r="929" spans="30:30" x14ac:dyDescent="0.3">
      <c r="AD929" s="16"/>
    </row>
    <row r="930" spans="30:30" x14ac:dyDescent="0.3">
      <c r="AD930" s="16"/>
    </row>
    <row r="931" spans="30:30" x14ac:dyDescent="0.3">
      <c r="AD931" s="16"/>
    </row>
    <row r="932" spans="30:30" x14ac:dyDescent="0.3">
      <c r="AD932" s="16"/>
    </row>
    <row r="933" spans="30:30" x14ac:dyDescent="0.3">
      <c r="AD933" s="16"/>
    </row>
    <row r="934" spans="30:30" x14ac:dyDescent="0.3">
      <c r="AD934" s="16"/>
    </row>
    <row r="935" spans="30:30" x14ac:dyDescent="0.3">
      <c r="AD935" s="16"/>
    </row>
    <row r="936" spans="30:30" x14ac:dyDescent="0.3">
      <c r="AD936" s="16"/>
    </row>
    <row r="937" spans="30:30" x14ac:dyDescent="0.3">
      <c r="AD937" s="16"/>
    </row>
    <row r="938" spans="30:30" x14ac:dyDescent="0.3">
      <c r="AD938" s="16"/>
    </row>
    <row r="939" spans="30:30" x14ac:dyDescent="0.3">
      <c r="AD939" s="16"/>
    </row>
    <row r="940" spans="30:30" x14ac:dyDescent="0.3">
      <c r="AD940" s="16"/>
    </row>
    <row r="941" spans="30:30" x14ac:dyDescent="0.3">
      <c r="AD941" s="16"/>
    </row>
    <row r="942" spans="30:30" x14ac:dyDescent="0.3">
      <c r="AD942" s="16"/>
    </row>
    <row r="943" spans="30:30" x14ac:dyDescent="0.3">
      <c r="AD943" s="16"/>
    </row>
    <row r="944" spans="30:30" x14ac:dyDescent="0.3">
      <c r="AD944" s="16"/>
    </row>
    <row r="945" spans="30:30" x14ac:dyDescent="0.3">
      <c r="AD945" s="16"/>
    </row>
    <row r="946" spans="30:30" x14ac:dyDescent="0.3">
      <c r="AD946" s="16"/>
    </row>
    <row r="947" spans="30:30" x14ac:dyDescent="0.3">
      <c r="AD947" s="16"/>
    </row>
    <row r="948" spans="30:30" x14ac:dyDescent="0.3">
      <c r="AD948" s="16"/>
    </row>
    <row r="949" spans="30:30" x14ac:dyDescent="0.3">
      <c r="AD949" s="16"/>
    </row>
    <row r="950" spans="30:30" x14ac:dyDescent="0.3">
      <c r="AD950" s="16"/>
    </row>
    <row r="951" spans="30:30" x14ac:dyDescent="0.3">
      <c r="AD951" s="16"/>
    </row>
    <row r="952" spans="30:30" x14ac:dyDescent="0.3">
      <c r="AD952" s="16"/>
    </row>
    <row r="953" spans="30:30" x14ac:dyDescent="0.3">
      <c r="AD953" s="16"/>
    </row>
    <row r="954" spans="30:30" x14ac:dyDescent="0.3">
      <c r="AD954" s="16"/>
    </row>
    <row r="955" spans="30:30" x14ac:dyDescent="0.3">
      <c r="AD955" s="16"/>
    </row>
    <row r="956" spans="30:30" x14ac:dyDescent="0.3">
      <c r="AD956" s="16"/>
    </row>
    <row r="957" spans="30:30" x14ac:dyDescent="0.3">
      <c r="AD957" s="16"/>
    </row>
    <row r="958" spans="30:30" x14ac:dyDescent="0.3">
      <c r="AD958" s="16"/>
    </row>
    <row r="959" spans="30:30" x14ac:dyDescent="0.3">
      <c r="AD959" s="16"/>
    </row>
    <row r="960" spans="30:30" x14ac:dyDescent="0.3">
      <c r="AD960" s="16"/>
    </row>
    <row r="961" spans="30:30" x14ac:dyDescent="0.3">
      <c r="AD961" s="16"/>
    </row>
    <row r="962" spans="30:30" x14ac:dyDescent="0.3">
      <c r="AD962" s="16"/>
    </row>
    <row r="963" spans="30:30" x14ac:dyDescent="0.3">
      <c r="AD963" s="16"/>
    </row>
    <row r="964" spans="30:30" x14ac:dyDescent="0.3">
      <c r="AD964" s="16"/>
    </row>
    <row r="965" spans="30:30" x14ac:dyDescent="0.3">
      <c r="AD965" s="16"/>
    </row>
    <row r="966" spans="30:30" x14ac:dyDescent="0.3">
      <c r="AD966" s="16"/>
    </row>
    <row r="967" spans="30:30" x14ac:dyDescent="0.3">
      <c r="AD967" s="16"/>
    </row>
    <row r="968" spans="30:30" x14ac:dyDescent="0.3">
      <c r="AD968" s="16"/>
    </row>
    <row r="969" spans="30:30" x14ac:dyDescent="0.3">
      <c r="AD969" s="16"/>
    </row>
    <row r="970" spans="30:30" x14ac:dyDescent="0.3">
      <c r="AD970" s="16"/>
    </row>
    <row r="971" spans="30:30" x14ac:dyDescent="0.3">
      <c r="AD971" s="16"/>
    </row>
    <row r="972" spans="30:30" x14ac:dyDescent="0.3">
      <c r="AD972" s="16"/>
    </row>
    <row r="973" spans="30:30" x14ac:dyDescent="0.3">
      <c r="AD973" s="16"/>
    </row>
    <row r="974" spans="30:30" x14ac:dyDescent="0.3">
      <c r="AD974" s="16"/>
    </row>
    <row r="975" spans="30:30" x14ac:dyDescent="0.3">
      <c r="AD975" s="16"/>
    </row>
    <row r="976" spans="30:30" x14ac:dyDescent="0.3">
      <c r="AD976" s="16"/>
    </row>
    <row r="977" spans="30:30" x14ac:dyDescent="0.3">
      <c r="AD977" s="16"/>
    </row>
    <row r="978" spans="30:30" x14ac:dyDescent="0.3">
      <c r="AD978" s="16"/>
    </row>
    <row r="979" spans="30:30" x14ac:dyDescent="0.3">
      <c r="AD979" s="16"/>
    </row>
    <row r="980" spans="30:30" x14ac:dyDescent="0.3">
      <c r="AD980" s="16"/>
    </row>
    <row r="981" spans="30:30" x14ac:dyDescent="0.3">
      <c r="AD981" s="16"/>
    </row>
    <row r="982" spans="30:30" x14ac:dyDescent="0.3">
      <c r="AD982" s="16"/>
    </row>
    <row r="983" spans="30:30" x14ac:dyDescent="0.3">
      <c r="AD983" s="16"/>
    </row>
    <row r="984" spans="30:30" x14ac:dyDescent="0.3">
      <c r="AD984" s="16"/>
    </row>
    <row r="985" spans="30:30" x14ac:dyDescent="0.3">
      <c r="AD985" s="16"/>
    </row>
    <row r="986" spans="30:30" x14ac:dyDescent="0.3">
      <c r="AD986" s="16"/>
    </row>
    <row r="987" spans="30:30" x14ac:dyDescent="0.3">
      <c r="AD987" s="16"/>
    </row>
    <row r="988" spans="30:30" x14ac:dyDescent="0.3">
      <c r="AD988" s="16"/>
    </row>
    <row r="989" spans="30:30" x14ac:dyDescent="0.3">
      <c r="AD989" s="16"/>
    </row>
    <row r="990" spans="30:30" x14ac:dyDescent="0.3">
      <c r="AD990" s="16"/>
    </row>
    <row r="991" spans="30:30" x14ac:dyDescent="0.3">
      <c r="AD991" s="16"/>
    </row>
    <row r="992" spans="30:30" x14ac:dyDescent="0.3">
      <c r="AD992" s="16"/>
    </row>
    <row r="993" spans="30:30" x14ac:dyDescent="0.3">
      <c r="AD993" s="16"/>
    </row>
    <row r="994" spans="30:30" x14ac:dyDescent="0.3">
      <c r="AD994" s="16"/>
    </row>
    <row r="995" spans="30:30" x14ac:dyDescent="0.3">
      <c r="AD995" s="16"/>
    </row>
    <row r="996" spans="30:30" x14ac:dyDescent="0.3">
      <c r="AD996" s="16"/>
    </row>
    <row r="997" spans="30:30" x14ac:dyDescent="0.3">
      <c r="AD997" s="16"/>
    </row>
    <row r="998" spans="30:30" x14ac:dyDescent="0.3">
      <c r="AD998" s="16"/>
    </row>
    <row r="999" spans="30:30" x14ac:dyDescent="0.3">
      <c r="AD999" s="16"/>
    </row>
    <row r="1000" spans="30:30" x14ac:dyDescent="0.3">
      <c r="AD1000" s="16"/>
    </row>
    <row r="1001" spans="30:30" x14ac:dyDescent="0.3">
      <c r="AD1001" s="16"/>
    </row>
    <row r="1002" spans="30:30" x14ac:dyDescent="0.3">
      <c r="AD1002" s="16"/>
    </row>
    <row r="1003" spans="30:30" x14ac:dyDescent="0.3">
      <c r="AD1003" s="16"/>
    </row>
    <row r="1004" spans="30:30" x14ac:dyDescent="0.3">
      <c r="AD1004" s="16"/>
    </row>
    <row r="1005" spans="30:30" x14ac:dyDescent="0.3">
      <c r="AD1005" s="16"/>
    </row>
    <row r="1006" spans="30:30" x14ac:dyDescent="0.3">
      <c r="AD1006" s="16"/>
    </row>
    <row r="1007" spans="30:30" x14ac:dyDescent="0.3">
      <c r="AD1007" s="16"/>
    </row>
    <row r="1008" spans="30:30" x14ac:dyDescent="0.3">
      <c r="AD1008" s="16"/>
    </row>
    <row r="1009" spans="30:30" x14ac:dyDescent="0.3">
      <c r="AD1009" s="16"/>
    </row>
    <row r="1010" spans="30:30" x14ac:dyDescent="0.3">
      <c r="AD1010" s="16"/>
    </row>
    <row r="1011" spans="30:30" x14ac:dyDescent="0.3">
      <c r="AD1011" s="16"/>
    </row>
    <row r="1012" spans="30:30" x14ac:dyDescent="0.3">
      <c r="AD1012" s="16"/>
    </row>
    <row r="1013" spans="30:30" x14ac:dyDescent="0.3">
      <c r="AD1013" s="16"/>
    </row>
    <row r="1014" spans="30:30" x14ac:dyDescent="0.3">
      <c r="AD1014" s="16"/>
    </row>
    <row r="1015" spans="30:30" x14ac:dyDescent="0.3">
      <c r="AD1015" s="16"/>
    </row>
    <row r="1016" spans="30:30" x14ac:dyDescent="0.3">
      <c r="AD1016" s="16"/>
    </row>
    <row r="1017" spans="30:30" x14ac:dyDescent="0.3">
      <c r="AD1017" s="16"/>
    </row>
    <row r="1018" spans="30:30" x14ac:dyDescent="0.3">
      <c r="AD1018" s="16"/>
    </row>
    <row r="1019" spans="30:30" x14ac:dyDescent="0.3">
      <c r="AD1019" s="16"/>
    </row>
    <row r="1020" spans="30:30" x14ac:dyDescent="0.3">
      <c r="AD1020" s="16"/>
    </row>
    <row r="1021" spans="30:30" x14ac:dyDescent="0.3">
      <c r="AD1021" s="16"/>
    </row>
    <row r="1022" spans="30:30" x14ac:dyDescent="0.3">
      <c r="AD1022" s="16"/>
    </row>
    <row r="1023" spans="30:30" x14ac:dyDescent="0.3">
      <c r="AD1023" s="16"/>
    </row>
    <row r="1024" spans="30:30" x14ac:dyDescent="0.3">
      <c r="AD1024" s="16"/>
    </row>
    <row r="1025" spans="30:30" x14ac:dyDescent="0.3">
      <c r="AD1025" s="16"/>
    </row>
    <row r="1026" spans="30:30" x14ac:dyDescent="0.3">
      <c r="AD1026" s="16"/>
    </row>
    <row r="1027" spans="30:30" x14ac:dyDescent="0.3">
      <c r="AD1027" s="16"/>
    </row>
    <row r="1028" spans="30:30" x14ac:dyDescent="0.3">
      <c r="AD1028" s="16"/>
    </row>
    <row r="1029" spans="30:30" x14ac:dyDescent="0.3">
      <c r="AD1029" s="16"/>
    </row>
    <row r="1030" spans="30:30" x14ac:dyDescent="0.3">
      <c r="AD1030" s="16"/>
    </row>
    <row r="1031" spans="30:30" x14ac:dyDescent="0.3">
      <c r="AD1031" s="16"/>
    </row>
    <row r="1032" spans="30:30" x14ac:dyDescent="0.3">
      <c r="AD1032" s="16"/>
    </row>
    <row r="1033" spans="30:30" x14ac:dyDescent="0.3">
      <c r="AD1033" s="16"/>
    </row>
    <row r="1034" spans="30:30" x14ac:dyDescent="0.3">
      <c r="AD1034" s="16"/>
    </row>
    <row r="1035" spans="30:30" x14ac:dyDescent="0.3">
      <c r="AD1035" s="16"/>
    </row>
    <row r="1036" spans="30:30" x14ac:dyDescent="0.3">
      <c r="AD1036" s="16"/>
    </row>
    <row r="1037" spans="30:30" x14ac:dyDescent="0.3">
      <c r="AD1037" s="16"/>
    </row>
    <row r="1038" spans="30:30" x14ac:dyDescent="0.3">
      <c r="AD1038" s="16"/>
    </row>
    <row r="1039" spans="30:30" x14ac:dyDescent="0.3">
      <c r="AD1039" s="16"/>
    </row>
    <row r="1040" spans="30:30" x14ac:dyDescent="0.3">
      <c r="AD1040" s="16"/>
    </row>
    <row r="1041" spans="30:30" x14ac:dyDescent="0.3">
      <c r="AD1041" s="16"/>
    </row>
    <row r="1042" spans="30:30" x14ac:dyDescent="0.3">
      <c r="AD1042" s="16"/>
    </row>
    <row r="1043" spans="30:30" x14ac:dyDescent="0.3">
      <c r="AD1043" s="16"/>
    </row>
    <row r="1044" spans="30:30" x14ac:dyDescent="0.3">
      <c r="AD1044" s="16"/>
    </row>
    <row r="1045" spans="30:30" x14ac:dyDescent="0.3">
      <c r="AD1045" s="16"/>
    </row>
    <row r="1046" spans="30:30" x14ac:dyDescent="0.3">
      <c r="AD1046" s="16"/>
    </row>
    <row r="1047" spans="30:30" x14ac:dyDescent="0.3">
      <c r="AD1047" s="16"/>
    </row>
    <row r="1048" spans="30:30" x14ac:dyDescent="0.3">
      <c r="AD1048" s="16"/>
    </row>
    <row r="1049" spans="30:30" x14ac:dyDescent="0.3">
      <c r="AD1049" s="16"/>
    </row>
    <row r="1050" spans="30:30" x14ac:dyDescent="0.3">
      <c r="AD1050" s="16"/>
    </row>
    <row r="1051" spans="30:30" x14ac:dyDescent="0.3">
      <c r="AD1051" s="16"/>
    </row>
    <row r="1052" spans="30:30" x14ac:dyDescent="0.3">
      <c r="AD1052" s="16"/>
    </row>
    <row r="1053" spans="30:30" x14ac:dyDescent="0.3">
      <c r="AD1053" s="16"/>
    </row>
    <row r="1054" spans="30:30" x14ac:dyDescent="0.3">
      <c r="AD1054" s="16"/>
    </row>
    <row r="1055" spans="30:30" x14ac:dyDescent="0.3">
      <c r="AD1055" s="16"/>
    </row>
    <row r="1056" spans="30:30" x14ac:dyDescent="0.3">
      <c r="AD1056" s="16"/>
    </row>
    <row r="1057" spans="30:30" x14ac:dyDescent="0.3">
      <c r="AD1057" s="16"/>
    </row>
    <row r="1058" spans="30:30" x14ac:dyDescent="0.3">
      <c r="AD1058" s="16"/>
    </row>
    <row r="1059" spans="30:30" x14ac:dyDescent="0.3">
      <c r="AD1059" s="16"/>
    </row>
    <row r="1060" spans="30:30" x14ac:dyDescent="0.3">
      <c r="AD1060" s="16"/>
    </row>
    <row r="1061" spans="30:30" x14ac:dyDescent="0.3">
      <c r="AD1061" s="16"/>
    </row>
    <row r="1062" spans="30:30" x14ac:dyDescent="0.3">
      <c r="AD1062" s="16"/>
    </row>
    <row r="1063" spans="30:30" x14ac:dyDescent="0.3">
      <c r="AD1063" s="16"/>
    </row>
    <row r="1064" spans="30:30" x14ac:dyDescent="0.3">
      <c r="AD1064" s="16"/>
    </row>
    <row r="1065" spans="30:30" x14ac:dyDescent="0.3">
      <c r="AD1065" s="16"/>
    </row>
    <row r="1066" spans="30:30" x14ac:dyDescent="0.3">
      <c r="AD1066" s="16"/>
    </row>
    <row r="1067" spans="30:30" x14ac:dyDescent="0.3">
      <c r="AD1067" s="16"/>
    </row>
    <row r="1068" spans="30:30" x14ac:dyDescent="0.3">
      <c r="AD1068" s="16"/>
    </row>
    <row r="1069" spans="30:30" x14ac:dyDescent="0.3">
      <c r="AD1069" s="16"/>
    </row>
    <row r="1070" spans="30:30" x14ac:dyDescent="0.3">
      <c r="AD1070" s="16"/>
    </row>
    <row r="1071" spans="30:30" x14ac:dyDescent="0.3">
      <c r="AD1071" s="16"/>
    </row>
    <row r="1072" spans="30:30" x14ac:dyDescent="0.3">
      <c r="AD1072" s="16"/>
    </row>
    <row r="1073" spans="30:30" x14ac:dyDescent="0.3">
      <c r="AD1073" s="16"/>
    </row>
    <row r="1074" spans="30:30" x14ac:dyDescent="0.3">
      <c r="AD1074" s="16"/>
    </row>
    <row r="1075" spans="30:30" x14ac:dyDescent="0.3">
      <c r="AD1075" s="16"/>
    </row>
    <row r="1076" spans="30:30" x14ac:dyDescent="0.3">
      <c r="AD1076" s="16"/>
    </row>
    <row r="1077" spans="30:30" x14ac:dyDescent="0.3">
      <c r="AD1077" s="16"/>
    </row>
    <row r="1078" spans="30:30" x14ac:dyDescent="0.3">
      <c r="AD1078" s="16"/>
    </row>
    <row r="1079" spans="30:30" x14ac:dyDescent="0.3">
      <c r="AD1079" s="16"/>
    </row>
    <row r="1080" spans="30:30" x14ac:dyDescent="0.3">
      <c r="AD1080" s="16"/>
    </row>
    <row r="1081" spans="30:30" x14ac:dyDescent="0.3">
      <c r="AD1081" s="16"/>
    </row>
    <row r="1082" spans="30:30" x14ac:dyDescent="0.3">
      <c r="AD1082" s="16"/>
    </row>
    <row r="1083" spans="30:30" x14ac:dyDescent="0.3">
      <c r="AD1083" s="16"/>
    </row>
    <row r="1084" spans="30:30" x14ac:dyDescent="0.3">
      <c r="AD1084" s="16"/>
    </row>
    <row r="1085" spans="30:30" x14ac:dyDescent="0.3">
      <c r="AD1085" s="16"/>
    </row>
    <row r="1086" spans="30:30" x14ac:dyDescent="0.3">
      <c r="AD1086" s="16"/>
    </row>
    <row r="1087" spans="30:30" x14ac:dyDescent="0.3">
      <c r="AD1087" s="16"/>
    </row>
    <row r="1088" spans="30:30" x14ac:dyDescent="0.3">
      <c r="AD1088" s="16"/>
    </row>
    <row r="1089" spans="30:30" x14ac:dyDescent="0.3">
      <c r="AD1089" s="16"/>
    </row>
    <row r="1090" spans="30:30" x14ac:dyDescent="0.3">
      <c r="AD1090" s="16"/>
    </row>
    <row r="1091" spans="30:30" x14ac:dyDescent="0.3">
      <c r="AD1091" s="16"/>
    </row>
    <row r="1092" spans="30:30" x14ac:dyDescent="0.3">
      <c r="AD1092" s="16"/>
    </row>
    <row r="1093" spans="30:30" x14ac:dyDescent="0.3">
      <c r="AD1093" s="16"/>
    </row>
    <row r="1094" spans="30:30" x14ac:dyDescent="0.3">
      <c r="AD1094" s="16"/>
    </row>
    <row r="1095" spans="30:30" x14ac:dyDescent="0.3">
      <c r="AD1095" s="16"/>
    </row>
    <row r="1096" spans="30:30" x14ac:dyDescent="0.3">
      <c r="AD1096" s="16"/>
    </row>
    <row r="1097" spans="30:30" x14ac:dyDescent="0.3">
      <c r="AD1097" s="16"/>
    </row>
    <row r="1098" spans="30:30" x14ac:dyDescent="0.3">
      <c r="AD1098" s="16"/>
    </row>
    <row r="1099" spans="30:30" x14ac:dyDescent="0.3">
      <c r="AD1099" s="16"/>
    </row>
    <row r="1100" spans="30:30" x14ac:dyDescent="0.3">
      <c r="AD1100" s="16"/>
    </row>
    <row r="1101" spans="30:30" x14ac:dyDescent="0.3">
      <c r="AD1101" s="16"/>
    </row>
    <row r="1102" spans="30:30" x14ac:dyDescent="0.3">
      <c r="AD1102" s="16"/>
    </row>
    <row r="1103" spans="30:30" x14ac:dyDescent="0.3">
      <c r="AD1103" s="16"/>
    </row>
    <row r="1104" spans="30:30" x14ac:dyDescent="0.3">
      <c r="AD1104" s="16"/>
    </row>
    <row r="1105" spans="30:30" x14ac:dyDescent="0.3">
      <c r="AD1105" s="16"/>
    </row>
    <row r="1106" spans="30:30" x14ac:dyDescent="0.3">
      <c r="AD1106" s="16"/>
    </row>
    <row r="1107" spans="30:30" x14ac:dyDescent="0.3">
      <c r="AD1107" s="16"/>
    </row>
    <row r="1108" spans="30:30" x14ac:dyDescent="0.3">
      <c r="AD1108" s="16"/>
    </row>
    <row r="1109" spans="30:30" x14ac:dyDescent="0.3">
      <c r="AD1109" s="16"/>
    </row>
    <row r="1110" spans="30:30" x14ac:dyDescent="0.3">
      <c r="AD1110" s="16"/>
    </row>
    <row r="1111" spans="30:30" x14ac:dyDescent="0.3">
      <c r="AD1111" s="16"/>
    </row>
    <row r="1112" spans="30:30" x14ac:dyDescent="0.3">
      <c r="AD1112" s="16"/>
    </row>
    <row r="1113" spans="30:30" x14ac:dyDescent="0.3">
      <c r="AD1113" s="16"/>
    </row>
    <row r="1114" spans="30:30" x14ac:dyDescent="0.3">
      <c r="AD1114" s="16"/>
    </row>
    <row r="1115" spans="30:30" x14ac:dyDescent="0.3">
      <c r="AD1115" s="16"/>
    </row>
    <row r="1116" spans="30:30" x14ac:dyDescent="0.3">
      <c r="AD1116" s="16"/>
    </row>
    <row r="1117" spans="30:30" x14ac:dyDescent="0.3">
      <c r="AD1117" s="16"/>
    </row>
    <row r="1118" spans="30:30" x14ac:dyDescent="0.3">
      <c r="AD1118" s="16"/>
    </row>
    <row r="1119" spans="30:30" x14ac:dyDescent="0.3">
      <c r="AD1119" s="16"/>
    </row>
    <row r="1120" spans="30:30" x14ac:dyDescent="0.3">
      <c r="AD1120" s="16"/>
    </row>
    <row r="1121" spans="30:30" x14ac:dyDescent="0.3">
      <c r="AD1121" s="16"/>
    </row>
    <row r="1122" spans="30:30" x14ac:dyDescent="0.3">
      <c r="AD1122" s="16"/>
    </row>
    <row r="1123" spans="30:30" x14ac:dyDescent="0.3">
      <c r="AD1123" s="16"/>
    </row>
    <row r="1124" spans="30:30" x14ac:dyDescent="0.3">
      <c r="AD1124" s="16"/>
    </row>
    <row r="1125" spans="30:30" x14ac:dyDescent="0.3">
      <c r="AD1125" s="16"/>
    </row>
    <row r="1126" spans="30:30" x14ac:dyDescent="0.3">
      <c r="AD1126" s="16"/>
    </row>
    <row r="1127" spans="30:30" x14ac:dyDescent="0.3">
      <c r="AD1127" s="16"/>
    </row>
    <row r="1128" spans="30:30" x14ac:dyDescent="0.3">
      <c r="AD1128" s="16"/>
    </row>
    <row r="1129" spans="30:30" x14ac:dyDescent="0.3">
      <c r="AD1129" s="16"/>
    </row>
    <row r="1130" spans="30:30" x14ac:dyDescent="0.3">
      <c r="AD1130" s="16"/>
    </row>
    <row r="1131" spans="30:30" x14ac:dyDescent="0.3">
      <c r="AD1131" s="16"/>
    </row>
    <row r="1132" spans="30:30" x14ac:dyDescent="0.3">
      <c r="AD1132" s="16"/>
    </row>
    <row r="1133" spans="30:30" x14ac:dyDescent="0.3">
      <c r="AD1133" s="16"/>
    </row>
    <row r="1134" spans="30:30" x14ac:dyDescent="0.3">
      <c r="AD1134" s="16"/>
    </row>
    <row r="1135" spans="30:30" x14ac:dyDescent="0.3">
      <c r="AD1135" s="16"/>
    </row>
    <row r="1136" spans="30:30" x14ac:dyDescent="0.3">
      <c r="AD1136" s="16"/>
    </row>
    <row r="1137" spans="30:30" x14ac:dyDescent="0.3">
      <c r="AD1137" s="16"/>
    </row>
    <row r="1138" spans="30:30" x14ac:dyDescent="0.3">
      <c r="AD1138" s="16"/>
    </row>
    <row r="1139" spans="30:30" x14ac:dyDescent="0.3">
      <c r="AD1139" s="16"/>
    </row>
    <row r="1140" spans="30:30" x14ac:dyDescent="0.3">
      <c r="AD1140" s="16"/>
    </row>
    <row r="1141" spans="30:30" x14ac:dyDescent="0.3">
      <c r="AD1141" s="16"/>
    </row>
    <row r="1142" spans="30:30" x14ac:dyDescent="0.3">
      <c r="AD1142" s="16"/>
    </row>
    <row r="1143" spans="30:30" x14ac:dyDescent="0.3">
      <c r="AD1143" s="16"/>
    </row>
    <row r="1144" spans="30:30" x14ac:dyDescent="0.3">
      <c r="AD1144" s="16"/>
    </row>
    <row r="1145" spans="30:30" x14ac:dyDescent="0.3">
      <c r="AD1145" s="16"/>
    </row>
    <row r="1146" spans="30:30" x14ac:dyDescent="0.3">
      <c r="AD1146" s="16"/>
    </row>
    <row r="1147" spans="30:30" x14ac:dyDescent="0.3">
      <c r="AD1147" s="16"/>
    </row>
    <row r="1148" spans="30:30" x14ac:dyDescent="0.3">
      <c r="AD1148" s="16"/>
    </row>
    <row r="1149" spans="30:30" x14ac:dyDescent="0.3">
      <c r="AD1149" s="16"/>
    </row>
    <row r="1150" spans="30:30" x14ac:dyDescent="0.3">
      <c r="AD1150" s="16"/>
    </row>
    <row r="1151" spans="30:30" x14ac:dyDescent="0.3">
      <c r="AD1151" s="16"/>
    </row>
    <row r="1152" spans="30:30" x14ac:dyDescent="0.3">
      <c r="AD1152" s="16"/>
    </row>
    <row r="1153" spans="30:30" x14ac:dyDescent="0.3">
      <c r="AD1153" s="16"/>
    </row>
    <row r="1154" spans="30:30" x14ac:dyDescent="0.3">
      <c r="AD1154" s="16"/>
    </row>
    <row r="1155" spans="30:30" x14ac:dyDescent="0.3">
      <c r="AD1155" s="16"/>
    </row>
    <row r="1156" spans="30:30" x14ac:dyDescent="0.3">
      <c r="AD1156" s="16"/>
    </row>
    <row r="1157" spans="30:30" x14ac:dyDescent="0.3">
      <c r="AD1157" s="16"/>
    </row>
    <row r="1158" spans="30:30" x14ac:dyDescent="0.3">
      <c r="AD1158" s="16"/>
    </row>
    <row r="1159" spans="30:30" x14ac:dyDescent="0.3">
      <c r="AD1159" s="16"/>
    </row>
    <row r="1160" spans="30:30" x14ac:dyDescent="0.3">
      <c r="AD1160" s="16"/>
    </row>
    <row r="1161" spans="30:30" x14ac:dyDescent="0.3">
      <c r="AD1161" s="16"/>
    </row>
    <row r="1162" spans="30:30" x14ac:dyDescent="0.3">
      <c r="AD1162" s="16"/>
    </row>
    <row r="1163" spans="30:30" x14ac:dyDescent="0.3">
      <c r="AD1163" s="16"/>
    </row>
    <row r="1164" spans="30:30" x14ac:dyDescent="0.3">
      <c r="AD1164" s="16"/>
    </row>
    <row r="1165" spans="30:30" x14ac:dyDescent="0.3">
      <c r="AD1165" s="16"/>
    </row>
    <row r="1166" spans="30:30" x14ac:dyDescent="0.3">
      <c r="AD1166" s="16"/>
    </row>
    <row r="1167" spans="30:30" x14ac:dyDescent="0.3">
      <c r="AD1167" s="16"/>
    </row>
    <row r="1168" spans="30:30" x14ac:dyDescent="0.3">
      <c r="AD1168" s="16"/>
    </row>
    <row r="1169" spans="30:30" x14ac:dyDescent="0.3">
      <c r="AD1169" s="16"/>
    </row>
    <row r="1170" spans="30:30" x14ac:dyDescent="0.3">
      <c r="AD1170" s="16"/>
    </row>
    <row r="1171" spans="30:30" x14ac:dyDescent="0.3">
      <c r="AD1171" s="16"/>
    </row>
    <row r="1172" spans="30:30" x14ac:dyDescent="0.3">
      <c r="AD1172" s="16"/>
    </row>
    <row r="1173" spans="30:30" x14ac:dyDescent="0.3">
      <c r="AD1173" s="16"/>
    </row>
    <row r="1174" spans="30:30" x14ac:dyDescent="0.3">
      <c r="AD1174" s="16"/>
    </row>
    <row r="1175" spans="30:30" x14ac:dyDescent="0.3">
      <c r="AD1175" s="16"/>
    </row>
    <row r="1176" spans="30:30" x14ac:dyDescent="0.3">
      <c r="AD1176" s="16"/>
    </row>
    <row r="1177" spans="30:30" x14ac:dyDescent="0.3">
      <c r="AD1177" s="16"/>
    </row>
    <row r="1178" spans="30:30" x14ac:dyDescent="0.3">
      <c r="AD1178" s="16"/>
    </row>
    <row r="1179" spans="30:30" x14ac:dyDescent="0.3">
      <c r="AD1179" s="16"/>
    </row>
    <row r="1180" spans="30:30" x14ac:dyDescent="0.3">
      <c r="AD1180" s="16"/>
    </row>
    <row r="1181" spans="30:30" x14ac:dyDescent="0.3">
      <c r="AD1181" s="16"/>
    </row>
    <row r="1182" spans="30:30" x14ac:dyDescent="0.3">
      <c r="AD1182" s="16"/>
    </row>
    <row r="1183" spans="30:30" x14ac:dyDescent="0.3">
      <c r="AD1183" s="16"/>
    </row>
    <row r="1184" spans="30:30" x14ac:dyDescent="0.3">
      <c r="AD1184" s="16"/>
    </row>
    <row r="1185" spans="30:30" x14ac:dyDescent="0.3">
      <c r="AD1185" s="16"/>
    </row>
    <row r="1186" spans="30:30" x14ac:dyDescent="0.3">
      <c r="AD1186" s="16"/>
    </row>
    <row r="1187" spans="30:30" x14ac:dyDescent="0.3">
      <c r="AD1187" s="16"/>
    </row>
    <row r="1188" spans="30:30" x14ac:dyDescent="0.3">
      <c r="AD1188" s="16"/>
    </row>
    <row r="1189" spans="30:30" x14ac:dyDescent="0.3">
      <c r="AD1189" s="16"/>
    </row>
    <row r="1190" spans="30:30" x14ac:dyDescent="0.3">
      <c r="AD1190" s="16"/>
    </row>
    <row r="1191" spans="30:30" x14ac:dyDescent="0.3">
      <c r="AD1191" s="16"/>
    </row>
    <row r="1192" spans="30:30" x14ac:dyDescent="0.3">
      <c r="AD1192" s="16"/>
    </row>
    <row r="1193" spans="30:30" x14ac:dyDescent="0.3">
      <c r="AD1193" s="16"/>
    </row>
    <row r="1194" spans="30:30" x14ac:dyDescent="0.3">
      <c r="AD1194" s="16"/>
    </row>
    <row r="1195" spans="30:30" x14ac:dyDescent="0.3">
      <c r="AD1195" s="16"/>
    </row>
    <row r="1196" spans="30:30" x14ac:dyDescent="0.3">
      <c r="AD1196" s="16"/>
    </row>
    <row r="1197" spans="30:30" x14ac:dyDescent="0.3">
      <c r="AD1197" s="16"/>
    </row>
    <row r="1198" spans="30:30" x14ac:dyDescent="0.3">
      <c r="AD1198" s="16"/>
    </row>
    <row r="1199" spans="30:30" x14ac:dyDescent="0.3">
      <c r="AD1199" s="16"/>
    </row>
    <row r="1200" spans="30:30" x14ac:dyDescent="0.3">
      <c r="AD1200" s="16"/>
    </row>
    <row r="1201" spans="30:30" x14ac:dyDescent="0.3">
      <c r="AD1201" s="16"/>
    </row>
    <row r="1202" spans="30:30" x14ac:dyDescent="0.3">
      <c r="AD1202" s="16"/>
    </row>
    <row r="1203" spans="30:30" x14ac:dyDescent="0.3">
      <c r="AD1203" s="16"/>
    </row>
    <row r="1204" spans="30:30" x14ac:dyDescent="0.3">
      <c r="AD1204" s="16"/>
    </row>
    <row r="1205" spans="30:30" x14ac:dyDescent="0.3">
      <c r="AD1205" s="16"/>
    </row>
    <row r="1206" spans="30:30" x14ac:dyDescent="0.3">
      <c r="AD1206" s="16"/>
    </row>
    <row r="1207" spans="30:30" x14ac:dyDescent="0.3">
      <c r="AD1207" s="16"/>
    </row>
    <row r="1208" spans="30:30" x14ac:dyDescent="0.3">
      <c r="AD1208" s="16"/>
    </row>
    <row r="1209" spans="30:30" x14ac:dyDescent="0.3">
      <c r="AD1209" s="16"/>
    </row>
    <row r="1210" spans="30:30" x14ac:dyDescent="0.3">
      <c r="AD1210" s="16"/>
    </row>
    <row r="1211" spans="30:30" x14ac:dyDescent="0.3">
      <c r="AD1211" s="16"/>
    </row>
    <row r="1212" spans="30:30" x14ac:dyDescent="0.3">
      <c r="AD1212" s="16"/>
    </row>
    <row r="1213" spans="30:30" x14ac:dyDescent="0.3">
      <c r="AD1213" s="16"/>
    </row>
    <row r="1214" spans="30:30" x14ac:dyDescent="0.3">
      <c r="AD1214" s="16"/>
    </row>
    <row r="1215" spans="30:30" x14ac:dyDescent="0.3">
      <c r="AD1215" s="16"/>
    </row>
    <row r="1216" spans="30:30" x14ac:dyDescent="0.3">
      <c r="AD1216" s="16"/>
    </row>
    <row r="1217" spans="30:30" x14ac:dyDescent="0.3">
      <c r="AD1217" s="16"/>
    </row>
    <row r="1218" spans="30:30" x14ac:dyDescent="0.3">
      <c r="AD1218" s="16"/>
    </row>
    <row r="1219" spans="30:30" x14ac:dyDescent="0.3">
      <c r="AD1219" s="16"/>
    </row>
    <row r="1220" spans="30:30" x14ac:dyDescent="0.3">
      <c r="AD1220" s="16"/>
    </row>
    <row r="1221" spans="30:30" x14ac:dyDescent="0.3">
      <c r="AD1221" s="16"/>
    </row>
    <row r="1222" spans="30:30" x14ac:dyDescent="0.3">
      <c r="AD1222" s="16"/>
    </row>
    <row r="1223" spans="30:30" x14ac:dyDescent="0.3">
      <c r="AD1223" s="16"/>
    </row>
    <row r="1224" spans="30:30" x14ac:dyDescent="0.3">
      <c r="AD1224" s="16"/>
    </row>
    <row r="1225" spans="30:30" x14ac:dyDescent="0.3">
      <c r="AD1225" s="16"/>
    </row>
    <row r="1226" spans="30:30" x14ac:dyDescent="0.3">
      <c r="AD1226" s="16"/>
    </row>
    <row r="1227" spans="30:30" x14ac:dyDescent="0.3">
      <c r="AD1227" s="16"/>
    </row>
    <row r="1228" spans="30:30" x14ac:dyDescent="0.3">
      <c r="AD1228" s="16"/>
    </row>
    <row r="1229" spans="30:30" x14ac:dyDescent="0.3">
      <c r="AD1229" s="16"/>
    </row>
    <row r="1230" spans="30:30" x14ac:dyDescent="0.3">
      <c r="AD1230" s="16"/>
    </row>
    <row r="1231" spans="30:30" x14ac:dyDescent="0.3">
      <c r="AD1231" s="16"/>
    </row>
    <row r="1232" spans="30:30" x14ac:dyDescent="0.3">
      <c r="AD1232" s="16"/>
    </row>
    <row r="1233" spans="30:30" x14ac:dyDescent="0.3">
      <c r="AD1233" s="16"/>
    </row>
    <row r="1234" spans="30:30" x14ac:dyDescent="0.3">
      <c r="AD1234" s="16"/>
    </row>
    <row r="1235" spans="30:30" x14ac:dyDescent="0.3">
      <c r="AD1235" s="16"/>
    </row>
    <row r="1236" spans="30:30" x14ac:dyDescent="0.3">
      <c r="AD1236" s="16"/>
    </row>
    <row r="1237" spans="30:30" x14ac:dyDescent="0.3">
      <c r="AD1237" s="16"/>
    </row>
    <row r="1238" spans="30:30" x14ac:dyDescent="0.3">
      <c r="AD1238" s="16"/>
    </row>
    <row r="1239" spans="30:30" x14ac:dyDescent="0.3">
      <c r="AD1239" s="16"/>
    </row>
    <row r="1240" spans="30:30" x14ac:dyDescent="0.3">
      <c r="AD1240" s="16"/>
    </row>
    <row r="1241" spans="30:30" x14ac:dyDescent="0.3">
      <c r="AD1241" s="16"/>
    </row>
    <row r="1242" spans="30:30" x14ac:dyDescent="0.3">
      <c r="AD1242" s="16"/>
    </row>
    <row r="1243" spans="30:30" x14ac:dyDescent="0.3">
      <c r="AD1243" s="16"/>
    </row>
    <row r="1244" spans="30:30" x14ac:dyDescent="0.3">
      <c r="AD1244" s="16"/>
    </row>
    <row r="1245" spans="30:30" x14ac:dyDescent="0.3">
      <c r="AD1245" s="16"/>
    </row>
    <row r="1246" spans="30:30" x14ac:dyDescent="0.3">
      <c r="AD1246" s="16"/>
    </row>
    <row r="1247" spans="30:30" x14ac:dyDescent="0.3">
      <c r="AD1247" s="16"/>
    </row>
    <row r="1248" spans="30:30" x14ac:dyDescent="0.3">
      <c r="AD1248" s="16"/>
    </row>
    <row r="1249" spans="30:30" x14ac:dyDescent="0.3">
      <c r="AD1249" s="16"/>
    </row>
    <row r="1250" spans="30:30" x14ac:dyDescent="0.3">
      <c r="AD1250" s="16"/>
    </row>
    <row r="1251" spans="30:30" x14ac:dyDescent="0.3">
      <c r="AD1251" s="16"/>
    </row>
    <row r="1252" spans="30:30" x14ac:dyDescent="0.3">
      <c r="AD1252" s="16"/>
    </row>
    <row r="1253" spans="30:30" x14ac:dyDescent="0.3">
      <c r="AD1253" s="16"/>
    </row>
    <row r="1254" spans="30:30" x14ac:dyDescent="0.3">
      <c r="AD1254" s="16"/>
    </row>
    <row r="1255" spans="30:30" x14ac:dyDescent="0.3">
      <c r="AD1255" s="16"/>
    </row>
    <row r="1256" spans="30:30" x14ac:dyDescent="0.3">
      <c r="AD1256" s="16"/>
    </row>
    <row r="1257" spans="30:30" x14ac:dyDescent="0.3">
      <c r="AD1257" s="16"/>
    </row>
    <row r="1258" spans="30:30" x14ac:dyDescent="0.3">
      <c r="AD1258" s="16"/>
    </row>
    <row r="1259" spans="30:30" x14ac:dyDescent="0.3">
      <c r="AD1259" s="16"/>
    </row>
    <row r="1260" spans="30:30" x14ac:dyDescent="0.3">
      <c r="AD1260" s="16"/>
    </row>
    <row r="1261" spans="30:30" x14ac:dyDescent="0.3">
      <c r="AD1261" s="16"/>
    </row>
    <row r="1262" spans="30:30" x14ac:dyDescent="0.3">
      <c r="AD1262" s="16"/>
    </row>
    <row r="1263" spans="30:30" x14ac:dyDescent="0.3">
      <c r="AD1263" s="16"/>
    </row>
    <row r="1264" spans="30:30" x14ac:dyDescent="0.3">
      <c r="AD1264" s="16"/>
    </row>
    <row r="1265" spans="30:30" x14ac:dyDescent="0.3">
      <c r="AD1265" s="16"/>
    </row>
    <row r="1266" spans="30:30" x14ac:dyDescent="0.3">
      <c r="AD1266" s="16"/>
    </row>
    <row r="1267" spans="30:30" x14ac:dyDescent="0.3">
      <c r="AD1267" s="16"/>
    </row>
    <row r="1268" spans="30:30" x14ac:dyDescent="0.3">
      <c r="AD1268" s="16"/>
    </row>
    <row r="1269" spans="30:30" x14ac:dyDescent="0.3">
      <c r="AD1269" s="16"/>
    </row>
    <row r="1270" spans="30:30" x14ac:dyDescent="0.3">
      <c r="AD1270" s="16"/>
    </row>
    <row r="1271" spans="30:30" x14ac:dyDescent="0.3">
      <c r="AD1271" s="16"/>
    </row>
    <row r="1272" spans="30:30" x14ac:dyDescent="0.3">
      <c r="AD1272" s="16"/>
    </row>
    <row r="1273" spans="30:30" x14ac:dyDescent="0.3">
      <c r="AD1273" s="16"/>
    </row>
    <row r="1274" spans="30:30" x14ac:dyDescent="0.3">
      <c r="AD1274" s="16"/>
    </row>
    <row r="1275" spans="30:30" x14ac:dyDescent="0.3">
      <c r="AD1275" s="16"/>
    </row>
    <row r="1276" spans="30:30" x14ac:dyDescent="0.3">
      <c r="AD1276" s="16"/>
    </row>
    <row r="1277" spans="30:30" x14ac:dyDescent="0.3">
      <c r="AD1277" s="16"/>
    </row>
    <row r="1278" spans="30:30" x14ac:dyDescent="0.3">
      <c r="AD1278" s="16"/>
    </row>
    <row r="1279" spans="30:30" x14ac:dyDescent="0.3">
      <c r="AD1279" s="16"/>
    </row>
    <row r="1280" spans="30:30" x14ac:dyDescent="0.3">
      <c r="AD1280" s="16"/>
    </row>
    <row r="1281" spans="30:30" x14ac:dyDescent="0.3">
      <c r="AD1281" s="16"/>
    </row>
    <row r="1282" spans="30:30" x14ac:dyDescent="0.3">
      <c r="AD1282" s="16"/>
    </row>
    <row r="1283" spans="30:30" x14ac:dyDescent="0.3">
      <c r="AD1283" s="16"/>
    </row>
    <row r="1284" spans="30:30" x14ac:dyDescent="0.3">
      <c r="AD1284" s="16"/>
    </row>
    <row r="1285" spans="30:30" x14ac:dyDescent="0.3">
      <c r="AD1285" s="16"/>
    </row>
    <row r="1286" spans="30:30" x14ac:dyDescent="0.3">
      <c r="AD1286" s="16"/>
    </row>
    <row r="1287" spans="30:30" x14ac:dyDescent="0.3">
      <c r="AD1287" s="16"/>
    </row>
    <row r="1288" spans="30:30" x14ac:dyDescent="0.3">
      <c r="AD1288" s="16"/>
    </row>
    <row r="1289" spans="30:30" x14ac:dyDescent="0.3">
      <c r="AD1289" s="16"/>
    </row>
    <row r="1290" spans="30:30" x14ac:dyDescent="0.3">
      <c r="AD1290" s="16"/>
    </row>
    <row r="1291" spans="30:30" x14ac:dyDescent="0.3">
      <c r="AD1291" s="16"/>
    </row>
    <row r="1292" spans="30:30" x14ac:dyDescent="0.3">
      <c r="AD1292" s="16"/>
    </row>
    <row r="1293" spans="30:30" x14ac:dyDescent="0.3">
      <c r="AD1293" s="16"/>
    </row>
    <row r="1294" spans="30:30" x14ac:dyDescent="0.3">
      <c r="AD1294" s="16"/>
    </row>
    <row r="1295" spans="30:30" x14ac:dyDescent="0.3">
      <c r="AD1295" s="16"/>
    </row>
    <row r="1296" spans="30:30" x14ac:dyDescent="0.3">
      <c r="AD1296" s="16"/>
    </row>
    <row r="1297" spans="30:30" x14ac:dyDescent="0.3">
      <c r="AD1297" s="16"/>
    </row>
    <row r="1298" spans="30:30" x14ac:dyDescent="0.3">
      <c r="AD1298" s="16"/>
    </row>
    <row r="1299" spans="30:30" x14ac:dyDescent="0.3">
      <c r="AD1299" s="16"/>
    </row>
    <row r="1300" spans="30:30" x14ac:dyDescent="0.3">
      <c r="AD1300" s="16"/>
    </row>
    <row r="1301" spans="30:30" x14ac:dyDescent="0.3">
      <c r="AD1301" s="16"/>
    </row>
    <row r="1302" spans="30:30" x14ac:dyDescent="0.3">
      <c r="AD1302" s="16"/>
    </row>
    <row r="1303" spans="30:30" x14ac:dyDescent="0.3">
      <c r="AD1303" s="16"/>
    </row>
    <row r="1304" spans="30:30" x14ac:dyDescent="0.3">
      <c r="AD1304" s="16"/>
    </row>
    <row r="1305" spans="30:30" x14ac:dyDescent="0.3">
      <c r="AD1305" s="16"/>
    </row>
    <row r="1306" spans="30:30" x14ac:dyDescent="0.3">
      <c r="AD1306" s="16"/>
    </row>
    <row r="1307" spans="30:30" x14ac:dyDescent="0.3">
      <c r="AD1307" s="16"/>
    </row>
    <row r="1308" spans="30:30" x14ac:dyDescent="0.3">
      <c r="AD1308" s="16"/>
    </row>
    <row r="1309" spans="30:30" x14ac:dyDescent="0.3">
      <c r="AD1309" s="16"/>
    </row>
    <row r="1310" spans="30:30" x14ac:dyDescent="0.3">
      <c r="AD1310" s="16"/>
    </row>
    <row r="1311" spans="30:30" x14ac:dyDescent="0.3">
      <c r="AD1311" s="16"/>
    </row>
    <row r="1312" spans="30:30" x14ac:dyDescent="0.3">
      <c r="AD1312" s="16"/>
    </row>
    <row r="1313" spans="30:30" x14ac:dyDescent="0.3">
      <c r="AD1313" s="16"/>
    </row>
    <row r="1314" spans="30:30" x14ac:dyDescent="0.3">
      <c r="AD1314" s="16"/>
    </row>
    <row r="1315" spans="30:30" x14ac:dyDescent="0.3">
      <c r="AD1315" s="16"/>
    </row>
    <row r="1316" spans="30:30" x14ac:dyDescent="0.3">
      <c r="AD1316" s="16"/>
    </row>
    <row r="1317" spans="30:30" x14ac:dyDescent="0.3">
      <c r="AD1317" s="16"/>
    </row>
    <row r="1318" spans="30:30" x14ac:dyDescent="0.3">
      <c r="AD1318" s="16"/>
    </row>
    <row r="1319" spans="30:30" x14ac:dyDescent="0.3">
      <c r="AD1319" s="16"/>
    </row>
    <row r="1320" spans="30:30" x14ac:dyDescent="0.3">
      <c r="AD1320" s="16"/>
    </row>
    <row r="1321" spans="30:30" x14ac:dyDescent="0.3">
      <c r="AD1321" s="16"/>
    </row>
    <row r="1322" spans="30:30" x14ac:dyDescent="0.3">
      <c r="AD1322" s="16"/>
    </row>
    <row r="1323" spans="30:30" x14ac:dyDescent="0.3">
      <c r="AD1323" s="16"/>
    </row>
    <row r="1324" spans="30:30" x14ac:dyDescent="0.3">
      <c r="AD1324" s="16"/>
    </row>
    <row r="1325" spans="30:30" x14ac:dyDescent="0.3">
      <c r="AD1325" s="16"/>
    </row>
    <row r="1326" spans="30:30" x14ac:dyDescent="0.3">
      <c r="AD1326" s="16"/>
    </row>
    <row r="1327" spans="30:30" x14ac:dyDescent="0.3">
      <c r="AD1327" s="16"/>
    </row>
    <row r="1328" spans="30:30" x14ac:dyDescent="0.3">
      <c r="AD1328" s="16"/>
    </row>
    <row r="1329" spans="30:30" x14ac:dyDescent="0.3">
      <c r="AD1329" s="16"/>
    </row>
    <row r="1330" spans="30:30" x14ac:dyDescent="0.3">
      <c r="AD1330" s="16"/>
    </row>
    <row r="1331" spans="30:30" x14ac:dyDescent="0.3">
      <c r="AD1331" s="16"/>
    </row>
    <row r="1332" spans="30:30" x14ac:dyDescent="0.3">
      <c r="AD1332" s="16"/>
    </row>
    <row r="1333" spans="30:30" x14ac:dyDescent="0.3">
      <c r="AD1333" s="16"/>
    </row>
    <row r="1334" spans="30:30" x14ac:dyDescent="0.3">
      <c r="AD1334" s="16"/>
    </row>
    <row r="1335" spans="30:30" x14ac:dyDescent="0.3">
      <c r="AD1335" s="16"/>
    </row>
    <row r="1336" spans="30:30" x14ac:dyDescent="0.3">
      <c r="AD1336" s="16"/>
    </row>
    <row r="1337" spans="30:30" x14ac:dyDescent="0.3">
      <c r="AD1337" s="16"/>
    </row>
    <row r="1338" spans="30:30" x14ac:dyDescent="0.3">
      <c r="AD1338" s="16"/>
    </row>
    <row r="1339" spans="30:30" x14ac:dyDescent="0.3">
      <c r="AD1339" s="16"/>
    </row>
    <row r="1340" spans="30:30" x14ac:dyDescent="0.3">
      <c r="AD1340" s="16"/>
    </row>
    <row r="1341" spans="30:30" x14ac:dyDescent="0.3">
      <c r="AD1341" s="16"/>
    </row>
    <row r="1342" spans="30:30" x14ac:dyDescent="0.3">
      <c r="AD1342" s="16"/>
    </row>
    <row r="1343" spans="30:30" x14ac:dyDescent="0.3">
      <c r="AD1343" s="16"/>
    </row>
    <row r="1344" spans="30:30" x14ac:dyDescent="0.3">
      <c r="AD1344" s="16"/>
    </row>
    <row r="1345" spans="30:30" x14ac:dyDescent="0.3">
      <c r="AD1345" s="16"/>
    </row>
    <row r="1346" spans="30:30" x14ac:dyDescent="0.3">
      <c r="AD1346" s="16"/>
    </row>
    <row r="1347" spans="30:30" x14ac:dyDescent="0.3">
      <c r="AD1347" s="16"/>
    </row>
    <row r="1348" spans="30:30" x14ac:dyDescent="0.3">
      <c r="AD1348" s="16"/>
    </row>
    <row r="1349" spans="30:30" x14ac:dyDescent="0.3">
      <c r="AD1349" s="16"/>
    </row>
    <row r="1350" spans="30:30" x14ac:dyDescent="0.3">
      <c r="AD1350" s="16"/>
    </row>
    <row r="1351" spans="30:30" x14ac:dyDescent="0.3">
      <c r="AD1351" s="16"/>
    </row>
    <row r="1352" spans="30:30" x14ac:dyDescent="0.3">
      <c r="AD1352" s="16"/>
    </row>
    <row r="1353" spans="30:30" x14ac:dyDescent="0.3">
      <c r="AD1353" s="16"/>
    </row>
    <row r="1354" spans="30:30" x14ac:dyDescent="0.3">
      <c r="AD1354" s="16"/>
    </row>
    <row r="1355" spans="30:30" x14ac:dyDescent="0.3">
      <c r="AD1355" s="16"/>
    </row>
    <row r="1356" spans="30:30" x14ac:dyDescent="0.3">
      <c r="AD1356" s="16"/>
    </row>
    <row r="1357" spans="30:30" x14ac:dyDescent="0.3">
      <c r="AD1357" s="16"/>
    </row>
    <row r="1358" spans="30:30" x14ac:dyDescent="0.3">
      <c r="AD1358" s="16"/>
    </row>
    <row r="1359" spans="30:30" x14ac:dyDescent="0.3">
      <c r="AD1359" s="16"/>
    </row>
    <row r="1360" spans="30:30" x14ac:dyDescent="0.3">
      <c r="AD1360" s="16"/>
    </row>
    <row r="1361" spans="30:30" x14ac:dyDescent="0.3">
      <c r="AD1361" s="16"/>
    </row>
    <row r="1362" spans="30:30" x14ac:dyDescent="0.3">
      <c r="AD1362" s="16"/>
    </row>
    <row r="1363" spans="30:30" x14ac:dyDescent="0.3">
      <c r="AD1363" s="16"/>
    </row>
    <row r="1364" spans="30:30" x14ac:dyDescent="0.3">
      <c r="AD1364" s="16"/>
    </row>
    <row r="1365" spans="30:30" x14ac:dyDescent="0.3">
      <c r="AD1365" s="16"/>
    </row>
    <row r="1366" spans="30:30" x14ac:dyDescent="0.3">
      <c r="AD1366" s="16"/>
    </row>
    <row r="1367" spans="30:30" x14ac:dyDescent="0.3">
      <c r="AD1367" s="16"/>
    </row>
    <row r="1368" spans="30:30" x14ac:dyDescent="0.3">
      <c r="AD1368" s="16"/>
    </row>
    <row r="1369" spans="30:30" x14ac:dyDescent="0.3">
      <c r="AD1369" s="16"/>
    </row>
    <row r="1370" spans="30:30" x14ac:dyDescent="0.3">
      <c r="AD1370" s="16"/>
    </row>
    <row r="1371" spans="30:30" x14ac:dyDescent="0.3">
      <c r="AD1371" s="16"/>
    </row>
    <row r="1372" spans="30:30" x14ac:dyDescent="0.3">
      <c r="AD1372" s="16"/>
    </row>
    <row r="1373" spans="30:30" x14ac:dyDescent="0.3">
      <c r="AD1373" s="16"/>
    </row>
    <row r="1374" spans="30:30" x14ac:dyDescent="0.3">
      <c r="AD1374" s="16"/>
    </row>
    <row r="1375" spans="30:30" x14ac:dyDescent="0.3">
      <c r="AD1375" s="16"/>
    </row>
    <row r="1376" spans="30:30" x14ac:dyDescent="0.3">
      <c r="AD1376" s="16"/>
    </row>
    <row r="1377" spans="30:30" x14ac:dyDescent="0.3">
      <c r="AD1377" s="16"/>
    </row>
    <row r="1378" spans="30:30" x14ac:dyDescent="0.3">
      <c r="AD1378" s="16"/>
    </row>
    <row r="1379" spans="30:30" x14ac:dyDescent="0.3">
      <c r="AD1379" s="16"/>
    </row>
    <row r="1380" spans="30:30" x14ac:dyDescent="0.3">
      <c r="AD1380" s="16"/>
    </row>
    <row r="1381" spans="30:30" x14ac:dyDescent="0.3">
      <c r="AD1381" s="16"/>
    </row>
    <row r="1382" spans="30:30" x14ac:dyDescent="0.3">
      <c r="AD1382" s="16"/>
    </row>
    <row r="1383" spans="30:30" x14ac:dyDescent="0.3">
      <c r="AD1383" s="16"/>
    </row>
    <row r="1384" spans="30:30" x14ac:dyDescent="0.3">
      <c r="AD1384" s="16"/>
    </row>
    <row r="1385" spans="30:30" x14ac:dyDescent="0.3">
      <c r="AD1385" s="16"/>
    </row>
    <row r="1386" spans="30:30" x14ac:dyDescent="0.3">
      <c r="AD1386" s="16"/>
    </row>
    <row r="1387" spans="30:30" x14ac:dyDescent="0.3">
      <c r="AD1387" s="16"/>
    </row>
    <row r="1388" spans="30:30" x14ac:dyDescent="0.3">
      <c r="AD1388" s="16"/>
    </row>
    <row r="1389" spans="30:30" x14ac:dyDescent="0.3">
      <c r="AD1389" s="16"/>
    </row>
    <row r="1390" spans="30:30" x14ac:dyDescent="0.3">
      <c r="AD1390" s="16"/>
    </row>
    <row r="1391" spans="30:30" x14ac:dyDescent="0.3">
      <c r="AD1391" s="16"/>
    </row>
    <row r="1392" spans="30:30" x14ac:dyDescent="0.3">
      <c r="AD1392" s="16"/>
    </row>
    <row r="1393" spans="30:30" x14ac:dyDescent="0.3">
      <c r="AD1393" s="16"/>
    </row>
    <row r="1394" spans="30:30" x14ac:dyDescent="0.3">
      <c r="AD1394" s="16"/>
    </row>
    <row r="1395" spans="30:30" x14ac:dyDescent="0.3">
      <c r="AD1395" s="16"/>
    </row>
    <row r="1396" spans="30:30" x14ac:dyDescent="0.3">
      <c r="AD1396" s="16"/>
    </row>
    <row r="1397" spans="30:30" x14ac:dyDescent="0.3">
      <c r="AD1397" s="16"/>
    </row>
    <row r="1398" spans="30:30" x14ac:dyDescent="0.3">
      <c r="AD1398" s="16"/>
    </row>
    <row r="1399" spans="30:30" x14ac:dyDescent="0.3">
      <c r="AD1399" s="16"/>
    </row>
    <row r="1400" spans="30:30" x14ac:dyDescent="0.3">
      <c r="AD1400" s="16"/>
    </row>
    <row r="1401" spans="30:30" x14ac:dyDescent="0.3">
      <c r="AD1401" s="16"/>
    </row>
    <row r="1402" spans="30:30" x14ac:dyDescent="0.3">
      <c r="AD1402" s="16"/>
    </row>
    <row r="1403" spans="30:30" x14ac:dyDescent="0.3">
      <c r="AD1403" s="16"/>
    </row>
    <row r="1404" spans="30:30" x14ac:dyDescent="0.3">
      <c r="AD1404" s="16"/>
    </row>
    <row r="1405" spans="30:30" x14ac:dyDescent="0.3">
      <c r="AD1405" s="16"/>
    </row>
    <row r="1406" spans="30:30" x14ac:dyDescent="0.3">
      <c r="AD1406" s="16"/>
    </row>
    <row r="1407" spans="30:30" x14ac:dyDescent="0.3">
      <c r="AD1407" s="16"/>
    </row>
    <row r="1408" spans="30:30" x14ac:dyDescent="0.3">
      <c r="AD1408" s="16"/>
    </row>
    <row r="1409" spans="30:30" x14ac:dyDescent="0.3">
      <c r="AD1409" s="16"/>
    </row>
    <row r="1410" spans="30:30" x14ac:dyDescent="0.3">
      <c r="AD1410" s="16"/>
    </row>
    <row r="1411" spans="30:30" x14ac:dyDescent="0.3">
      <c r="AD1411" s="16"/>
    </row>
    <row r="1412" spans="30:30" x14ac:dyDescent="0.3">
      <c r="AD1412" s="16"/>
    </row>
    <row r="1413" spans="30:30" x14ac:dyDescent="0.3">
      <c r="AD1413" s="16"/>
    </row>
    <row r="1414" spans="30:30" x14ac:dyDescent="0.3">
      <c r="AD1414" s="16"/>
    </row>
    <row r="1415" spans="30:30" x14ac:dyDescent="0.3">
      <c r="AD1415" s="16"/>
    </row>
    <row r="1416" spans="30:30" x14ac:dyDescent="0.3">
      <c r="AD1416" s="16"/>
    </row>
    <row r="1417" spans="30:30" x14ac:dyDescent="0.3">
      <c r="AD1417" s="16"/>
    </row>
    <row r="1418" spans="30:30" x14ac:dyDescent="0.3">
      <c r="AD1418" s="16"/>
    </row>
    <row r="1419" spans="30:30" x14ac:dyDescent="0.3">
      <c r="AD1419" s="16"/>
    </row>
    <row r="1420" spans="30:30" x14ac:dyDescent="0.3">
      <c r="AD1420" s="16"/>
    </row>
    <row r="1421" spans="30:30" x14ac:dyDescent="0.3">
      <c r="AD1421" s="16"/>
    </row>
    <row r="1422" spans="30:30" x14ac:dyDescent="0.3">
      <c r="AD1422" s="16"/>
    </row>
    <row r="1423" spans="30:30" x14ac:dyDescent="0.3">
      <c r="AD1423" s="16"/>
    </row>
    <row r="1424" spans="30:30" x14ac:dyDescent="0.3">
      <c r="AD1424" s="16"/>
    </row>
    <row r="1425" spans="30:30" x14ac:dyDescent="0.3">
      <c r="AD1425" s="16"/>
    </row>
    <row r="1426" spans="30:30" x14ac:dyDescent="0.3">
      <c r="AD1426" s="16"/>
    </row>
    <row r="1427" spans="30:30" x14ac:dyDescent="0.3">
      <c r="AD1427" s="16"/>
    </row>
    <row r="1428" spans="30:30" x14ac:dyDescent="0.3">
      <c r="AD1428" s="16"/>
    </row>
    <row r="1429" spans="30:30" x14ac:dyDescent="0.3">
      <c r="AD1429" s="16"/>
    </row>
    <row r="1430" spans="30:30" x14ac:dyDescent="0.3">
      <c r="AD1430" s="16"/>
    </row>
    <row r="1431" spans="30:30" x14ac:dyDescent="0.3">
      <c r="AD1431" s="16"/>
    </row>
    <row r="1432" spans="30:30" x14ac:dyDescent="0.3">
      <c r="AD1432" s="16"/>
    </row>
    <row r="1433" spans="30:30" x14ac:dyDescent="0.3">
      <c r="AD1433" s="16"/>
    </row>
    <row r="1434" spans="30:30" x14ac:dyDescent="0.3">
      <c r="AD1434" s="16"/>
    </row>
    <row r="1435" spans="30:30" x14ac:dyDescent="0.3">
      <c r="AD1435" s="16"/>
    </row>
    <row r="1436" spans="30:30" x14ac:dyDescent="0.3">
      <c r="AD1436" s="16"/>
    </row>
    <row r="1437" spans="30:30" x14ac:dyDescent="0.3">
      <c r="AD1437" s="16"/>
    </row>
    <row r="1438" spans="30:30" x14ac:dyDescent="0.3">
      <c r="AD1438" s="16"/>
    </row>
    <row r="1439" spans="30:30" x14ac:dyDescent="0.3">
      <c r="AD1439" s="16"/>
    </row>
    <row r="1440" spans="30:30" x14ac:dyDescent="0.3">
      <c r="AD1440" s="16"/>
    </row>
    <row r="1441" spans="30:30" x14ac:dyDescent="0.3">
      <c r="AD1441" s="16"/>
    </row>
    <row r="1442" spans="30:30" x14ac:dyDescent="0.3">
      <c r="AD1442" s="16"/>
    </row>
    <row r="1443" spans="30:30" x14ac:dyDescent="0.3">
      <c r="AD1443" s="16"/>
    </row>
    <row r="1444" spans="30:30" x14ac:dyDescent="0.3">
      <c r="AD1444" s="16"/>
    </row>
    <row r="1445" spans="30:30" x14ac:dyDescent="0.3">
      <c r="AD1445" s="16"/>
    </row>
    <row r="1446" spans="30:30" x14ac:dyDescent="0.3">
      <c r="AD1446" s="16"/>
    </row>
    <row r="1447" spans="30:30" x14ac:dyDescent="0.3">
      <c r="AD1447" s="16"/>
    </row>
    <row r="1448" spans="30:30" x14ac:dyDescent="0.3">
      <c r="AD1448" s="16"/>
    </row>
    <row r="1449" spans="30:30" x14ac:dyDescent="0.3">
      <c r="AD1449" s="16"/>
    </row>
    <row r="1450" spans="30:30" x14ac:dyDescent="0.3">
      <c r="AD1450" s="16"/>
    </row>
    <row r="1451" spans="30:30" x14ac:dyDescent="0.3">
      <c r="AD1451" s="16"/>
    </row>
    <row r="1452" spans="30:30" x14ac:dyDescent="0.3">
      <c r="AD1452" s="16"/>
    </row>
    <row r="1453" spans="30:30" x14ac:dyDescent="0.3">
      <c r="AD1453" s="16"/>
    </row>
    <row r="1454" spans="30:30" x14ac:dyDescent="0.3">
      <c r="AD1454" s="16"/>
    </row>
    <row r="1455" spans="30:30" x14ac:dyDescent="0.3">
      <c r="AD1455" s="16"/>
    </row>
    <row r="1456" spans="30:30" x14ac:dyDescent="0.3">
      <c r="AD1456" s="16"/>
    </row>
    <row r="1457" spans="30:30" x14ac:dyDescent="0.3">
      <c r="AD1457" s="16"/>
    </row>
    <row r="1458" spans="30:30" x14ac:dyDescent="0.3">
      <c r="AD1458" s="16"/>
    </row>
    <row r="1459" spans="30:30" x14ac:dyDescent="0.3">
      <c r="AD1459" s="16"/>
    </row>
    <row r="1460" spans="30:30" x14ac:dyDescent="0.3">
      <c r="AD1460" s="16"/>
    </row>
    <row r="1461" spans="30:30" x14ac:dyDescent="0.3">
      <c r="AD1461" s="16"/>
    </row>
    <row r="1462" spans="30:30" x14ac:dyDescent="0.3">
      <c r="AD1462" s="16"/>
    </row>
    <row r="1463" spans="30:30" x14ac:dyDescent="0.3">
      <c r="AD1463" s="16"/>
    </row>
    <row r="1464" spans="30:30" x14ac:dyDescent="0.3">
      <c r="AD1464" s="16"/>
    </row>
    <row r="1465" spans="30:30" x14ac:dyDescent="0.3">
      <c r="AD1465" s="16"/>
    </row>
    <row r="1466" spans="30:30" x14ac:dyDescent="0.3">
      <c r="AD1466" s="16"/>
    </row>
    <row r="1467" spans="30:30" x14ac:dyDescent="0.3">
      <c r="AD1467" s="16"/>
    </row>
    <row r="1468" spans="30:30" x14ac:dyDescent="0.3">
      <c r="AD1468" s="16"/>
    </row>
    <row r="1469" spans="30:30" x14ac:dyDescent="0.3">
      <c r="AD1469" s="16"/>
    </row>
    <row r="1470" spans="30:30" x14ac:dyDescent="0.3">
      <c r="AD1470" s="16"/>
    </row>
    <row r="1471" spans="30:30" x14ac:dyDescent="0.3">
      <c r="AD1471" s="16"/>
    </row>
    <row r="1472" spans="30:30" x14ac:dyDescent="0.3">
      <c r="AD1472" s="16"/>
    </row>
    <row r="1473" spans="30:30" x14ac:dyDescent="0.3">
      <c r="AD1473" s="16"/>
    </row>
    <row r="1474" spans="30:30" x14ac:dyDescent="0.3">
      <c r="AD1474" s="16"/>
    </row>
    <row r="1475" spans="30:30" x14ac:dyDescent="0.3">
      <c r="AD1475" s="16"/>
    </row>
    <row r="1476" spans="30:30" x14ac:dyDescent="0.3">
      <c r="AD1476" s="16"/>
    </row>
    <row r="1477" spans="30:30" x14ac:dyDescent="0.3">
      <c r="AD1477" s="16"/>
    </row>
    <row r="1478" spans="30:30" x14ac:dyDescent="0.3">
      <c r="AD1478" s="16"/>
    </row>
    <row r="1479" spans="30:30" x14ac:dyDescent="0.3">
      <c r="AD1479" s="16"/>
    </row>
    <row r="1480" spans="30:30" x14ac:dyDescent="0.3">
      <c r="AD1480" s="16"/>
    </row>
    <row r="1481" spans="30:30" x14ac:dyDescent="0.3">
      <c r="AD1481" s="16"/>
    </row>
    <row r="1482" spans="30:30" x14ac:dyDescent="0.3">
      <c r="AD1482" s="16"/>
    </row>
    <row r="1483" spans="30:30" x14ac:dyDescent="0.3">
      <c r="AD1483" s="16"/>
    </row>
    <row r="1484" spans="30:30" x14ac:dyDescent="0.3">
      <c r="AD1484" s="16"/>
    </row>
    <row r="1485" spans="30:30" x14ac:dyDescent="0.3">
      <c r="AD1485" s="16"/>
    </row>
    <row r="1486" spans="30:30" x14ac:dyDescent="0.3">
      <c r="AD1486" s="16"/>
    </row>
    <row r="1487" spans="30:30" x14ac:dyDescent="0.3">
      <c r="AD1487" s="16"/>
    </row>
    <row r="1488" spans="30:30" x14ac:dyDescent="0.3">
      <c r="AD1488" s="16"/>
    </row>
    <row r="1489" spans="30:30" x14ac:dyDescent="0.3">
      <c r="AD1489" s="16"/>
    </row>
    <row r="1490" spans="30:30" x14ac:dyDescent="0.3">
      <c r="AD1490" s="16"/>
    </row>
    <row r="1491" spans="30:30" x14ac:dyDescent="0.3">
      <c r="AD1491" s="16"/>
    </row>
    <row r="1492" spans="30:30" x14ac:dyDescent="0.3">
      <c r="AD1492" s="16"/>
    </row>
    <row r="1493" spans="30:30" x14ac:dyDescent="0.3">
      <c r="AD1493" s="16"/>
    </row>
    <row r="1494" spans="30:30" x14ac:dyDescent="0.3">
      <c r="AD1494" s="16"/>
    </row>
    <row r="1495" spans="30:30" x14ac:dyDescent="0.3">
      <c r="AD1495" s="16"/>
    </row>
    <row r="1496" spans="30:30" x14ac:dyDescent="0.3">
      <c r="AD1496" s="16"/>
    </row>
    <row r="1497" spans="30:30" x14ac:dyDescent="0.3">
      <c r="AD1497" s="16"/>
    </row>
    <row r="1498" spans="30:30" x14ac:dyDescent="0.3">
      <c r="AD1498" s="16"/>
    </row>
    <row r="1499" spans="30:30" x14ac:dyDescent="0.3">
      <c r="AD1499" s="16"/>
    </row>
    <row r="1500" spans="30:30" x14ac:dyDescent="0.3">
      <c r="AD1500" s="16"/>
    </row>
    <row r="1501" spans="30:30" x14ac:dyDescent="0.3">
      <c r="AD1501" s="16"/>
    </row>
    <row r="1502" spans="30:30" x14ac:dyDescent="0.3">
      <c r="AD1502" s="16"/>
    </row>
    <row r="1503" spans="30:30" x14ac:dyDescent="0.3">
      <c r="AD1503" s="16"/>
    </row>
    <row r="1504" spans="30:30" x14ac:dyDescent="0.3">
      <c r="AD1504" s="16"/>
    </row>
    <row r="1505" spans="30:30" x14ac:dyDescent="0.3">
      <c r="AD1505" s="16"/>
    </row>
    <row r="1506" spans="30:30" x14ac:dyDescent="0.3">
      <c r="AD1506" s="16"/>
    </row>
    <row r="1507" spans="30:30" x14ac:dyDescent="0.3">
      <c r="AD1507" s="16"/>
    </row>
    <row r="1508" spans="30:30" x14ac:dyDescent="0.3">
      <c r="AD1508" s="16"/>
    </row>
    <row r="1509" spans="30:30" x14ac:dyDescent="0.3">
      <c r="AD1509" s="16"/>
    </row>
    <row r="1510" spans="30:30" x14ac:dyDescent="0.3">
      <c r="AD1510" s="16"/>
    </row>
    <row r="1511" spans="30:30" x14ac:dyDescent="0.3">
      <c r="AD1511" s="16"/>
    </row>
    <row r="1512" spans="30:30" x14ac:dyDescent="0.3">
      <c r="AD1512" s="16"/>
    </row>
    <row r="1513" spans="30:30" x14ac:dyDescent="0.3">
      <c r="AD1513" s="16"/>
    </row>
    <row r="1514" spans="30:30" x14ac:dyDescent="0.3">
      <c r="AD1514" s="16"/>
    </row>
    <row r="1515" spans="30:30" x14ac:dyDescent="0.3">
      <c r="AD1515" s="16"/>
    </row>
    <row r="1516" spans="30:30" x14ac:dyDescent="0.3">
      <c r="AD1516" s="16"/>
    </row>
    <row r="1517" spans="30:30" x14ac:dyDescent="0.3">
      <c r="AD1517" s="16"/>
    </row>
    <row r="1518" spans="30:30" x14ac:dyDescent="0.3">
      <c r="AD1518" s="16"/>
    </row>
    <row r="1519" spans="30:30" x14ac:dyDescent="0.3">
      <c r="AD1519" s="16"/>
    </row>
    <row r="1520" spans="30:30" x14ac:dyDescent="0.3">
      <c r="AD1520" s="16"/>
    </row>
    <row r="1521" spans="30:30" x14ac:dyDescent="0.3">
      <c r="AD1521" s="16"/>
    </row>
    <row r="1522" spans="30:30" x14ac:dyDescent="0.3">
      <c r="AD1522" s="16"/>
    </row>
    <row r="1523" spans="30:30" x14ac:dyDescent="0.3">
      <c r="AD1523" s="16"/>
    </row>
    <row r="1524" spans="30:30" x14ac:dyDescent="0.3">
      <c r="AD1524" s="16"/>
    </row>
    <row r="1525" spans="30:30" x14ac:dyDescent="0.3">
      <c r="AD1525" s="16"/>
    </row>
    <row r="1526" spans="30:30" x14ac:dyDescent="0.3">
      <c r="AD1526" s="16"/>
    </row>
    <row r="1527" spans="30:30" x14ac:dyDescent="0.3">
      <c r="AD1527" s="16"/>
    </row>
    <row r="1528" spans="30:30" x14ac:dyDescent="0.3">
      <c r="AD1528" s="16"/>
    </row>
    <row r="1529" spans="30:30" x14ac:dyDescent="0.3">
      <c r="AD1529" s="16"/>
    </row>
    <row r="1530" spans="30:30" x14ac:dyDescent="0.3">
      <c r="AD1530" s="16"/>
    </row>
    <row r="1531" spans="30:30" x14ac:dyDescent="0.3">
      <c r="AD1531" s="16"/>
    </row>
    <row r="1532" spans="30:30" x14ac:dyDescent="0.3">
      <c r="AD1532" s="16"/>
    </row>
    <row r="1533" spans="30:30" x14ac:dyDescent="0.3">
      <c r="AD1533" s="16"/>
    </row>
    <row r="1534" spans="30:30" x14ac:dyDescent="0.3">
      <c r="AD1534" s="16"/>
    </row>
    <row r="1535" spans="30:30" x14ac:dyDescent="0.3">
      <c r="AD1535" s="16"/>
    </row>
    <row r="1536" spans="30:30" x14ac:dyDescent="0.3">
      <c r="AD1536" s="16"/>
    </row>
    <row r="1537" spans="30:30" x14ac:dyDescent="0.3">
      <c r="AD1537" s="16"/>
    </row>
    <row r="1538" spans="30:30" x14ac:dyDescent="0.3">
      <c r="AD1538" s="16"/>
    </row>
    <row r="1539" spans="30:30" x14ac:dyDescent="0.3">
      <c r="AD1539" s="16"/>
    </row>
    <row r="1540" spans="30:30" x14ac:dyDescent="0.3">
      <c r="AD1540" s="16"/>
    </row>
    <row r="1541" spans="30:30" x14ac:dyDescent="0.3">
      <c r="AD1541" s="16"/>
    </row>
    <row r="1542" spans="30:30" x14ac:dyDescent="0.3">
      <c r="AD1542" s="16"/>
    </row>
    <row r="1543" spans="30:30" x14ac:dyDescent="0.3">
      <c r="AD1543" s="16"/>
    </row>
    <row r="1544" spans="30:30" x14ac:dyDescent="0.3">
      <c r="AD1544" s="16"/>
    </row>
    <row r="1545" spans="30:30" x14ac:dyDescent="0.3">
      <c r="AD1545" s="16"/>
    </row>
    <row r="1546" spans="30:30" x14ac:dyDescent="0.3">
      <c r="AD1546" s="16"/>
    </row>
    <row r="1547" spans="30:30" x14ac:dyDescent="0.3">
      <c r="AD1547" s="16"/>
    </row>
    <row r="1548" spans="30:30" x14ac:dyDescent="0.3">
      <c r="AD1548" s="16"/>
    </row>
    <row r="1549" spans="30:30" x14ac:dyDescent="0.3">
      <c r="AD1549" s="16"/>
    </row>
    <row r="1550" spans="30:30" x14ac:dyDescent="0.3">
      <c r="AD1550" s="16"/>
    </row>
    <row r="1551" spans="30:30" x14ac:dyDescent="0.3">
      <c r="AD1551" s="16"/>
    </row>
    <row r="1552" spans="30:30" x14ac:dyDescent="0.3">
      <c r="AD1552" s="16"/>
    </row>
    <row r="1553" spans="30:30" x14ac:dyDescent="0.3">
      <c r="AD1553" s="16"/>
    </row>
    <row r="1554" spans="30:30" x14ac:dyDescent="0.3">
      <c r="AD1554" s="16"/>
    </row>
    <row r="1555" spans="30:30" x14ac:dyDescent="0.3">
      <c r="AD1555" s="16"/>
    </row>
    <row r="1556" spans="30:30" x14ac:dyDescent="0.3">
      <c r="AD1556" s="16"/>
    </row>
    <row r="1557" spans="30:30" x14ac:dyDescent="0.3">
      <c r="AD1557" s="16"/>
    </row>
    <row r="1558" spans="30:30" x14ac:dyDescent="0.3">
      <c r="AD1558" s="16"/>
    </row>
    <row r="1559" spans="30:30" x14ac:dyDescent="0.3">
      <c r="AD1559" s="16"/>
    </row>
    <row r="1560" spans="30:30" x14ac:dyDescent="0.3">
      <c r="AD1560" s="16"/>
    </row>
    <row r="1561" spans="30:30" x14ac:dyDescent="0.3">
      <c r="AD1561" s="16"/>
    </row>
    <row r="1562" spans="30:30" x14ac:dyDescent="0.3">
      <c r="AD1562" s="16"/>
    </row>
    <row r="1563" spans="30:30" x14ac:dyDescent="0.3">
      <c r="AD1563" s="16"/>
    </row>
    <row r="1564" spans="30:30" x14ac:dyDescent="0.3">
      <c r="AD1564" s="16"/>
    </row>
    <row r="1565" spans="30:30" x14ac:dyDescent="0.3">
      <c r="AD1565" s="16"/>
    </row>
    <row r="1566" spans="30:30" x14ac:dyDescent="0.3">
      <c r="AD1566" s="16"/>
    </row>
    <row r="1567" spans="30:30" x14ac:dyDescent="0.3">
      <c r="AD1567" s="16"/>
    </row>
    <row r="1568" spans="30:30" x14ac:dyDescent="0.3">
      <c r="AD1568" s="16"/>
    </row>
    <row r="1569" spans="30:30" x14ac:dyDescent="0.3">
      <c r="AD1569" s="16"/>
    </row>
    <row r="1570" spans="30:30" x14ac:dyDescent="0.3">
      <c r="AD1570" s="16"/>
    </row>
    <row r="1571" spans="30:30" x14ac:dyDescent="0.3">
      <c r="AD1571" s="16"/>
    </row>
    <row r="1572" spans="30:30" x14ac:dyDescent="0.3">
      <c r="AD1572" s="16"/>
    </row>
    <row r="1573" spans="30:30" x14ac:dyDescent="0.3">
      <c r="AD1573" s="16"/>
    </row>
    <row r="1574" spans="30:30" x14ac:dyDescent="0.3">
      <c r="AD1574" s="16"/>
    </row>
    <row r="1575" spans="30:30" x14ac:dyDescent="0.3">
      <c r="AD1575" s="16"/>
    </row>
    <row r="1576" spans="30:30" x14ac:dyDescent="0.3">
      <c r="AD1576" s="16"/>
    </row>
    <row r="1577" spans="30:30" x14ac:dyDescent="0.3">
      <c r="AD1577" s="16"/>
    </row>
    <row r="1578" spans="30:30" x14ac:dyDescent="0.3">
      <c r="AD1578" s="16"/>
    </row>
    <row r="1579" spans="30:30" x14ac:dyDescent="0.3">
      <c r="AD1579" s="16"/>
    </row>
    <row r="1580" spans="30:30" x14ac:dyDescent="0.3">
      <c r="AD1580" s="16"/>
    </row>
    <row r="1581" spans="30:30" x14ac:dyDescent="0.3">
      <c r="AD1581" s="16"/>
    </row>
    <row r="1582" spans="30:30" x14ac:dyDescent="0.3">
      <c r="AD1582" s="16"/>
    </row>
    <row r="1583" spans="30:30" x14ac:dyDescent="0.3">
      <c r="AD1583" s="16"/>
    </row>
    <row r="1584" spans="30:30" x14ac:dyDescent="0.3">
      <c r="AD1584" s="16"/>
    </row>
    <row r="1585" spans="30:30" x14ac:dyDescent="0.3">
      <c r="AD1585" s="16"/>
    </row>
    <row r="1586" spans="30:30" x14ac:dyDescent="0.3">
      <c r="AD1586" s="16"/>
    </row>
    <row r="1587" spans="30:30" x14ac:dyDescent="0.3">
      <c r="AD1587" s="16"/>
    </row>
    <row r="1588" spans="30:30" x14ac:dyDescent="0.3">
      <c r="AD1588" s="16"/>
    </row>
    <row r="1589" spans="30:30" x14ac:dyDescent="0.3">
      <c r="AD1589" s="16"/>
    </row>
    <row r="1590" spans="30:30" x14ac:dyDescent="0.3">
      <c r="AD1590" s="16"/>
    </row>
    <row r="1591" spans="30:30" x14ac:dyDescent="0.3">
      <c r="AD1591" s="16"/>
    </row>
    <row r="1592" spans="30:30" x14ac:dyDescent="0.3">
      <c r="AD1592" s="16"/>
    </row>
    <row r="1593" spans="30:30" x14ac:dyDescent="0.3">
      <c r="AD1593" s="16"/>
    </row>
    <row r="1594" spans="30:30" x14ac:dyDescent="0.3">
      <c r="AD1594" s="16"/>
    </row>
    <row r="1595" spans="30:30" x14ac:dyDescent="0.3">
      <c r="AD1595" s="16"/>
    </row>
    <row r="1596" spans="30:30" x14ac:dyDescent="0.3">
      <c r="AD1596" s="16"/>
    </row>
    <row r="1597" spans="30:30" x14ac:dyDescent="0.3">
      <c r="AD1597" s="16"/>
    </row>
    <row r="1598" spans="30:30" x14ac:dyDescent="0.3">
      <c r="AD1598" s="16"/>
    </row>
    <row r="1599" spans="30:30" x14ac:dyDescent="0.3">
      <c r="AD1599" s="16"/>
    </row>
    <row r="1600" spans="30:30" x14ac:dyDescent="0.3">
      <c r="AD1600" s="16"/>
    </row>
    <row r="1601" spans="30:30" x14ac:dyDescent="0.3">
      <c r="AD1601" s="16"/>
    </row>
    <row r="1602" spans="30:30" x14ac:dyDescent="0.3">
      <c r="AD1602" s="16"/>
    </row>
    <row r="1603" spans="30:30" x14ac:dyDescent="0.3">
      <c r="AD1603" s="16"/>
    </row>
    <row r="1604" spans="30:30" x14ac:dyDescent="0.3">
      <c r="AD1604" s="16"/>
    </row>
    <row r="1605" spans="30:30" x14ac:dyDescent="0.3">
      <c r="AD1605" s="16"/>
    </row>
    <row r="1606" spans="30:30" x14ac:dyDescent="0.3">
      <c r="AD1606" s="16"/>
    </row>
    <row r="1607" spans="30:30" x14ac:dyDescent="0.3">
      <c r="AD1607" s="16"/>
    </row>
    <row r="1608" spans="30:30" x14ac:dyDescent="0.3">
      <c r="AD1608" s="16"/>
    </row>
    <row r="1609" spans="30:30" x14ac:dyDescent="0.3">
      <c r="AD1609" s="16"/>
    </row>
    <row r="1610" spans="30:30" x14ac:dyDescent="0.3">
      <c r="AD1610" s="16"/>
    </row>
    <row r="1611" spans="30:30" x14ac:dyDescent="0.3">
      <c r="AD1611" s="16"/>
    </row>
    <row r="1612" spans="30:30" x14ac:dyDescent="0.3">
      <c r="AD1612" s="16"/>
    </row>
    <row r="1613" spans="30:30" x14ac:dyDescent="0.3">
      <c r="AD1613" s="16"/>
    </row>
    <row r="1614" spans="30:30" x14ac:dyDescent="0.3">
      <c r="AD1614" s="16"/>
    </row>
    <row r="1615" spans="30:30" x14ac:dyDescent="0.3">
      <c r="AD1615" s="16"/>
    </row>
    <row r="1616" spans="30:30" x14ac:dyDescent="0.3">
      <c r="AD1616" s="16"/>
    </row>
    <row r="1617" spans="30:30" x14ac:dyDescent="0.3">
      <c r="AD1617" s="16"/>
    </row>
    <row r="1618" spans="30:30" x14ac:dyDescent="0.3">
      <c r="AD1618" s="16"/>
    </row>
    <row r="1619" spans="30:30" x14ac:dyDescent="0.3">
      <c r="AD1619" s="16"/>
    </row>
    <row r="1620" spans="30:30" x14ac:dyDescent="0.3">
      <c r="AD1620" s="16"/>
    </row>
    <row r="1621" spans="30:30" x14ac:dyDescent="0.3">
      <c r="AD1621" s="16"/>
    </row>
    <row r="1622" spans="30:30" x14ac:dyDescent="0.3">
      <c r="AD1622" s="16"/>
    </row>
    <row r="1623" spans="30:30" x14ac:dyDescent="0.3">
      <c r="AD1623" s="16"/>
    </row>
    <row r="1624" spans="30:30" x14ac:dyDescent="0.3">
      <c r="AD1624" s="16"/>
    </row>
    <row r="1625" spans="30:30" x14ac:dyDescent="0.3">
      <c r="AD1625" s="16"/>
    </row>
    <row r="1626" spans="30:30" x14ac:dyDescent="0.3">
      <c r="AD1626" s="16"/>
    </row>
    <row r="1627" spans="30:30" x14ac:dyDescent="0.3">
      <c r="AD1627" s="16"/>
    </row>
    <row r="1628" spans="30:30" x14ac:dyDescent="0.3">
      <c r="AD1628" s="16"/>
    </row>
    <row r="1629" spans="30:30" x14ac:dyDescent="0.3">
      <c r="AD1629" s="16"/>
    </row>
    <row r="1630" spans="30:30" x14ac:dyDescent="0.3">
      <c r="AD1630" s="16"/>
    </row>
    <row r="1631" spans="30:30" x14ac:dyDescent="0.3">
      <c r="AD1631" s="16"/>
    </row>
    <row r="1632" spans="30:30" x14ac:dyDescent="0.3">
      <c r="AD1632" s="16"/>
    </row>
    <row r="1633" spans="30:30" x14ac:dyDescent="0.3">
      <c r="AD1633" s="16"/>
    </row>
    <row r="1634" spans="30:30" x14ac:dyDescent="0.3">
      <c r="AD1634" s="16"/>
    </row>
    <row r="1635" spans="30:30" x14ac:dyDescent="0.3">
      <c r="AD1635" s="16"/>
    </row>
    <row r="1636" spans="30:30" x14ac:dyDescent="0.3">
      <c r="AD1636" s="16"/>
    </row>
    <row r="1637" spans="30:30" x14ac:dyDescent="0.3">
      <c r="AD1637" s="16"/>
    </row>
    <row r="1638" spans="30:30" x14ac:dyDescent="0.3">
      <c r="AD1638" s="16"/>
    </row>
    <row r="1639" spans="30:30" x14ac:dyDescent="0.3">
      <c r="AD1639" s="16"/>
    </row>
    <row r="1640" spans="30:30" x14ac:dyDescent="0.3">
      <c r="AD1640" s="16"/>
    </row>
    <row r="1641" spans="30:30" x14ac:dyDescent="0.3">
      <c r="AD1641" s="16"/>
    </row>
    <row r="1642" spans="30:30" x14ac:dyDescent="0.3">
      <c r="AD1642" s="16"/>
    </row>
    <row r="1643" spans="30:30" x14ac:dyDescent="0.3">
      <c r="AD1643" s="16"/>
    </row>
    <row r="1644" spans="30:30" x14ac:dyDescent="0.3">
      <c r="AD1644" s="16"/>
    </row>
    <row r="1645" spans="30:30" x14ac:dyDescent="0.3">
      <c r="AD1645" s="16"/>
    </row>
    <row r="1646" spans="30:30" x14ac:dyDescent="0.3">
      <c r="AD1646" s="16"/>
    </row>
    <row r="1647" spans="30:30" x14ac:dyDescent="0.3">
      <c r="AD1647" s="16"/>
    </row>
    <row r="1648" spans="30:30" x14ac:dyDescent="0.3">
      <c r="AD1648" s="16"/>
    </row>
    <row r="1649" spans="30:30" x14ac:dyDescent="0.3">
      <c r="AD1649" s="16"/>
    </row>
    <row r="1650" spans="30:30" x14ac:dyDescent="0.3">
      <c r="AD1650" s="16"/>
    </row>
    <row r="1651" spans="30:30" x14ac:dyDescent="0.3">
      <c r="AD1651" s="16"/>
    </row>
    <row r="1652" spans="30:30" x14ac:dyDescent="0.3">
      <c r="AD1652" s="16"/>
    </row>
    <row r="1653" spans="30:30" x14ac:dyDescent="0.3">
      <c r="AD1653" s="16"/>
    </row>
    <row r="1654" spans="30:30" x14ac:dyDescent="0.3">
      <c r="AD1654" s="16"/>
    </row>
    <row r="1655" spans="30:30" x14ac:dyDescent="0.3">
      <c r="AD1655" s="16"/>
    </row>
    <row r="1656" spans="30:30" x14ac:dyDescent="0.3">
      <c r="AD1656" s="16"/>
    </row>
    <row r="1657" spans="30:30" x14ac:dyDescent="0.3">
      <c r="AD1657" s="16"/>
    </row>
    <row r="1658" spans="30:30" x14ac:dyDescent="0.3">
      <c r="AD1658" s="16"/>
    </row>
    <row r="1659" spans="30:30" x14ac:dyDescent="0.3">
      <c r="AD1659" s="16"/>
    </row>
    <row r="1660" spans="30:30" x14ac:dyDescent="0.3">
      <c r="AD1660" s="16"/>
    </row>
    <row r="1661" spans="30:30" x14ac:dyDescent="0.3">
      <c r="AD1661" s="16"/>
    </row>
    <row r="1662" spans="30:30" x14ac:dyDescent="0.3">
      <c r="AD1662" s="16"/>
    </row>
    <row r="1663" spans="30:30" x14ac:dyDescent="0.3">
      <c r="AD1663" s="16"/>
    </row>
    <row r="1664" spans="30:30" x14ac:dyDescent="0.3">
      <c r="AD1664" s="16"/>
    </row>
    <row r="1665" spans="30:30" x14ac:dyDescent="0.3">
      <c r="AD1665" s="16"/>
    </row>
    <row r="1666" spans="30:30" x14ac:dyDescent="0.3">
      <c r="AD1666" s="16"/>
    </row>
    <row r="1667" spans="30:30" x14ac:dyDescent="0.3">
      <c r="AD1667" s="16"/>
    </row>
    <row r="1668" spans="30:30" x14ac:dyDescent="0.3">
      <c r="AD1668" s="16"/>
    </row>
    <row r="1669" spans="30:30" x14ac:dyDescent="0.3">
      <c r="AD1669" s="16"/>
    </row>
    <row r="1670" spans="30:30" x14ac:dyDescent="0.3">
      <c r="AD1670" s="16"/>
    </row>
    <row r="1671" spans="30:30" x14ac:dyDescent="0.3">
      <c r="AD1671" s="16"/>
    </row>
    <row r="1672" spans="30:30" x14ac:dyDescent="0.3">
      <c r="AD1672" s="16"/>
    </row>
    <row r="1673" spans="30:30" x14ac:dyDescent="0.3">
      <c r="AD1673" s="16"/>
    </row>
    <row r="1674" spans="30:30" x14ac:dyDescent="0.3">
      <c r="AD1674" s="16"/>
    </row>
    <row r="1675" spans="30:30" x14ac:dyDescent="0.3">
      <c r="AD1675" s="16"/>
    </row>
    <row r="1676" spans="30:30" x14ac:dyDescent="0.3">
      <c r="AD1676" s="16"/>
    </row>
    <row r="1677" spans="30:30" x14ac:dyDescent="0.3">
      <c r="AD1677" s="16"/>
    </row>
    <row r="1678" spans="30:30" x14ac:dyDescent="0.3">
      <c r="AD1678" s="16"/>
    </row>
    <row r="1679" spans="30:30" x14ac:dyDescent="0.3">
      <c r="AD1679" s="16"/>
    </row>
    <row r="1680" spans="30:30" x14ac:dyDescent="0.3">
      <c r="AD1680" s="16"/>
    </row>
    <row r="1681" spans="30:30" x14ac:dyDescent="0.3">
      <c r="AD1681" s="16"/>
    </row>
    <row r="1682" spans="30:30" x14ac:dyDescent="0.3">
      <c r="AD1682" s="16"/>
    </row>
    <row r="1683" spans="30:30" x14ac:dyDescent="0.3">
      <c r="AD1683" s="16"/>
    </row>
    <row r="1684" spans="30:30" x14ac:dyDescent="0.3">
      <c r="AD1684" s="16"/>
    </row>
    <row r="1685" spans="30:30" x14ac:dyDescent="0.3">
      <c r="AD1685" s="16"/>
    </row>
    <row r="1686" spans="30:30" x14ac:dyDescent="0.3">
      <c r="AD1686" s="16"/>
    </row>
    <row r="1687" spans="30:30" x14ac:dyDescent="0.3">
      <c r="AD1687" s="16"/>
    </row>
    <row r="1688" spans="30:30" x14ac:dyDescent="0.3">
      <c r="AD1688" s="16"/>
    </row>
    <row r="1689" spans="30:30" x14ac:dyDescent="0.3">
      <c r="AD1689" s="16"/>
    </row>
    <row r="1690" spans="30:30" x14ac:dyDescent="0.3">
      <c r="AD1690" s="16"/>
    </row>
    <row r="1691" spans="30:30" x14ac:dyDescent="0.3">
      <c r="AD1691" s="16"/>
    </row>
    <row r="1692" spans="30:30" x14ac:dyDescent="0.3">
      <c r="AD1692" s="16"/>
    </row>
    <row r="1693" spans="30:30" x14ac:dyDescent="0.3">
      <c r="AD1693" s="16"/>
    </row>
    <row r="1694" spans="30:30" x14ac:dyDescent="0.3">
      <c r="AD1694" s="16"/>
    </row>
    <row r="1695" spans="30:30" x14ac:dyDescent="0.3">
      <c r="AD1695" s="16"/>
    </row>
    <row r="1696" spans="30:30" x14ac:dyDescent="0.3">
      <c r="AD1696" s="16"/>
    </row>
    <row r="1697" spans="30:30" x14ac:dyDescent="0.3">
      <c r="AD1697" s="16"/>
    </row>
    <row r="1698" spans="30:30" x14ac:dyDescent="0.3">
      <c r="AD1698" s="16"/>
    </row>
    <row r="1699" spans="30:30" x14ac:dyDescent="0.3">
      <c r="AD1699" s="16"/>
    </row>
    <row r="1700" spans="30:30" x14ac:dyDescent="0.3">
      <c r="AD1700" s="16"/>
    </row>
    <row r="1701" spans="30:30" x14ac:dyDescent="0.3">
      <c r="AD1701" s="16"/>
    </row>
    <row r="1702" spans="30:30" x14ac:dyDescent="0.3">
      <c r="AD1702" s="16"/>
    </row>
    <row r="1703" spans="30:30" x14ac:dyDescent="0.3">
      <c r="AD1703" s="16"/>
    </row>
    <row r="1704" spans="30:30" x14ac:dyDescent="0.3">
      <c r="AD1704" s="16"/>
    </row>
    <row r="1705" spans="30:30" x14ac:dyDescent="0.3">
      <c r="AD1705" s="16"/>
    </row>
    <row r="1706" spans="30:30" x14ac:dyDescent="0.3">
      <c r="AD1706" s="16"/>
    </row>
    <row r="1707" spans="30:30" x14ac:dyDescent="0.3">
      <c r="AD1707" s="16"/>
    </row>
    <row r="1708" spans="30:30" x14ac:dyDescent="0.3">
      <c r="AD1708" s="16"/>
    </row>
    <row r="1709" spans="30:30" x14ac:dyDescent="0.3">
      <c r="AD1709" s="16"/>
    </row>
    <row r="1710" spans="30:30" x14ac:dyDescent="0.3">
      <c r="AD1710" s="16"/>
    </row>
    <row r="1711" spans="30:30" x14ac:dyDescent="0.3">
      <c r="AD1711" s="16"/>
    </row>
    <row r="1712" spans="30:30" x14ac:dyDescent="0.3">
      <c r="AD1712" s="16"/>
    </row>
    <row r="1713" spans="30:30" x14ac:dyDescent="0.3">
      <c r="AD1713" s="16"/>
    </row>
    <row r="1714" spans="30:30" x14ac:dyDescent="0.3">
      <c r="AD1714" s="16"/>
    </row>
    <row r="1715" spans="30:30" x14ac:dyDescent="0.3">
      <c r="AD1715" s="16"/>
    </row>
    <row r="1716" spans="30:30" x14ac:dyDescent="0.3">
      <c r="AD1716" s="16"/>
    </row>
    <row r="1717" spans="30:30" x14ac:dyDescent="0.3">
      <c r="AD1717" s="16"/>
    </row>
    <row r="1718" spans="30:30" x14ac:dyDescent="0.3">
      <c r="AD1718" s="16"/>
    </row>
    <row r="1719" spans="30:30" x14ac:dyDescent="0.3">
      <c r="AD1719" s="16"/>
    </row>
    <row r="1720" spans="30:30" x14ac:dyDescent="0.3">
      <c r="AD1720" s="16"/>
    </row>
    <row r="1721" spans="30:30" x14ac:dyDescent="0.3">
      <c r="AD1721" s="16"/>
    </row>
    <row r="1722" spans="30:30" x14ac:dyDescent="0.3">
      <c r="AD1722" s="16"/>
    </row>
    <row r="1723" spans="30:30" x14ac:dyDescent="0.3">
      <c r="AD1723" s="16"/>
    </row>
    <row r="1724" spans="30:30" x14ac:dyDescent="0.3">
      <c r="AD1724" s="16"/>
    </row>
    <row r="1725" spans="30:30" x14ac:dyDescent="0.3">
      <c r="AD1725" s="16"/>
    </row>
    <row r="1726" spans="30:30" x14ac:dyDescent="0.3">
      <c r="AD1726" s="16"/>
    </row>
    <row r="1727" spans="30:30" x14ac:dyDescent="0.3">
      <c r="AD1727" s="16"/>
    </row>
    <row r="1728" spans="30:30" x14ac:dyDescent="0.3">
      <c r="AD1728" s="16"/>
    </row>
    <row r="1729" spans="30:30" x14ac:dyDescent="0.3">
      <c r="AD1729" s="16"/>
    </row>
    <row r="1730" spans="30:30" x14ac:dyDescent="0.3">
      <c r="AD1730" s="16"/>
    </row>
    <row r="1731" spans="30:30" x14ac:dyDescent="0.3">
      <c r="AD1731" s="16"/>
    </row>
    <row r="1732" spans="30:30" x14ac:dyDescent="0.3">
      <c r="AD1732" s="16"/>
    </row>
    <row r="1733" spans="30:30" x14ac:dyDescent="0.3">
      <c r="AD1733" s="16"/>
    </row>
    <row r="1734" spans="30:30" x14ac:dyDescent="0.3">
      <c r="AD1734" s="16"/>
    </row>
    <row r="1735" spans="30:30" x14ac:dyDescent="0.3">
      <c r="AD1735" s="16"/>
    </row>
    <row r="1736" spans="30:30" x14ac:dyDescent="0.3">
      <c r="AD1736" s="16"/>
    </row>
    <row r="1737" spans="30:30" x14ac:dyDescent="0.3">
      <c r="AD1737" s="16"/>
    </row>
    <row r="1738" spans="30:30" x14ac:dyDescent="0.3">
      <c r="AD1738" s="16"/>
    </row>
    <row r="1739" spans="30:30" x14ac:dyDescent="0.3">
      <c r="AD1739" s="16"/>
    </row>
    <row r="1740" spans="30:30" x14ac:dyDescent="0.3">
      <c r="AD1740" s="16"/>
    </row>
    <row r="1741" spans="30:30" x14ac:dyDescent="0.3">
      <c r="AD1741" s="16"/>
    </row>
    <row r="1742" spans="30:30" x14ac:dyDescent="0.3">
      <c r="AD1742" s="16"/>
    </row>
    <row r="1743" spans="30:30" x14ac:dyDescent="0.3">
      <c r="AD1743" s="16"/>
    </row>
    <row r="1744" spans="30:30" x14ac:dyDescent="0.3">
      <c r="AD1744" s="16"/>
    </row>
    <row r="1745" spans="30:30" x14ac:dyDescent="0.3">
      <c r="AD1745" s="16"/>
    </row>
    <row r="1746" spans="30:30" x14ac:dyDescent="0.3">
      <c r="AD1746" s="16"/>
    </row>
    <row r="1747" spans="30:30" x14ac:dyDescent="0.3">
      <c r="AD1747" s="16"/>
    </row>
    <row r="1748" spans="30:30" x14ac:dyDescent="0.3">
      <c r="AD1748" s="16"/>
    </row>
    <row r="1749" spans="30:30" x14ac:dyDescent="0.3">
      <c r="AD1749" s="16"/>
    </row>
    <row r="1750" spans="30:30" x14ac:dyDescent="0.3">
      <c r="AD1750" s="16"/>
    </row>
    <row r="1751" spans="30:30" x14ac:dyDescent="0.3">
      <c r="AD1751" s="16"/>
    </row>
    <row r="1752" spans="30:30" x14ac:dyDescent="0.3">
      <c r="AD1752" s="16"/>
    </row>
    <row r="1753" spans="30:30" x14ac:dyDescent="0.3">
      <c r="AD1753" s="16"/>
    </row>
    <row r="1754" spans="30:30" x14ac:dyDescent="0.3">
      <c r="AD1754" s="16"/>
    </row>
    <row r="1755" spans="30:30" x14ac:dyDescent="0.3">
      <c r="AD1755" s="16"/>
    </row>
    <row r="1756" spans="30:30" x14ac:dyDescent="0.3">
      <c r="AD1756" s="16"/>
    </row>
    <row r="1757" spans="30:30" x14ac:dyDescent="0.3">
      <c r="AD1757" s="16"/>
    </row>
    <row r="1758" spans="30:30" x14ac:dyDescent="0.3">
      <c r="AD1758" s="16"/>
    </row>
    <row r="1759" spans="30:30" x14ac:dyDescent="0.3">
      <c r="AD1759" s="16"/>
    </row>
    <row r="1760" spans="30:30" x14ac:dyDescent="0.3">
      <c r="AD1760" s="16"/>
    </row>
    <row r="1761" spans="30:30" x14ac:dyDescent="0.3">
      <c r="AD1761" s="16"/>
    </row>
    <row r="1762" spans="30:30" x14ac:dyDescent="0.3">
      <c r="AD1762" s="16"/>
    </row>
    <row r="1763" spans="30:30" x14ac:dyDescent="0.3">
      <c r="AD1763" s="16"/>
    </row>
    <row r="1764" spans="30:30" x14ac:dyDescent="0.3">
      <c r="AD1764" s="16"/>
    </row>
    <row r="1765" spans="30:30" x14ac:dyDescent="0.3">
      <c r="AD1765" s="16"/>
    </row>
    <row r="1766" spans="30:30" x14ac:dyDescent="0.3">
      <c r="AD1766" s="16"/>
    </row>
    <row r="1767" spans="30:30" x14ac:dyDescent="0.3">
      <c r="AD1767" s="16"/>
    </row>
    <row r="1768" spans="30:30" x14ac:dyDescent="0.3">
      <c r="AD1768" s="16"/>
    </row>
    <row r="1769" spans="30:30" x14ac:dyDescent="0.3">
      <c r="AD1769" s="16"/>
    </row>
    <row r="1770" spans="30:30" x14ac:dyDescent="0.3">
      <c r="AD1770" s="16"/>
    </row>
    <row r="1771" spans="30:30" x14ac:dyDescent="0.3">
      <c r="AD1771" s="16"/>
    </row>
    <row r="1772" spans="30:30" x14ac:dyDescent="0.3">
      <c r="AD1772" s="16"/>
    </row>
    <row r="1773" spans="30:30" x14ac:dyDescent="0.3">
      <c r="AD1773" s="16"/>
    </row>
    <row r="1774" spans="30:30" x14ac:dyDescent="0.3">
      <c r="AD1774" s="16"/>
    </row>
    <row r="1775" spans="30:30" x14ac:dyDescent="0.3">
      <c r="AD1775" s="16"/>
    </row>
    <row r="1776" spans="30:30" x14ac:dyDescent="0.3">
      <c r="AD1776" s="16"/>
    </row>
    <row r="1777" spans="30:30" x14ac:dyDescent="0.3">
      <c r="AD1777" s="16"/>
    </row>
    <row r="1778" spans="30:30" x14ac:dyDescent="0.3">
      <c r="AD1778" s="16"/>
    </row>
    <row r="1779" spans="30:30" x14ac:dyDescent="0.3">
      <c r="AD1779" s="16"/>
    </row>
    <row r="1780" spans="30:30" x14ac:dyDescent="0.3">
      <c r="AD1780" s="16"/>
    </row>
    <row r="1781" spans="30:30" x14ac:dyDescent="0.3">
      <c r="AD1781" s="16"/>
    </row>
    <row r="1782" spans="30:30" x14ac:dyDescent="0.3">
      <c r="AD1782" s="16"/>
    </row>
    <row r="1783" spans="30:30" x14ac:dyDescent="0.3">
      <c r="AD1783" s="16"/>
    </row>
    <row r="1784" spans="30:30" x14ac:dyDescent="0.3">
      <c r="AD1784" s="16"/>
    </row>
    <row r="1785" spans="30:30" x14ac:dyDescent="0.3">
      <c r="AD1785" s="16"/>
    </row>
    <row r="1786" spans="30:30" x14ac:dyDescent="0.3">
      <c r="AD1786" s="16"/>
    </row>
    <row r="1787" spans="30:30" x14ac:dyDescent="0.3">
      <c r="AD1787" s="16"/>
    </row>
    <row r="1788" spans="30:30" x14ac:dyDescent="0.3">
      <c r="AD1788" s="16"/>
    </row>
    <row r="1789" spans="30:30" x14ac:dyDescent="0.3">
      <c r="AD1789" s="16"/>
    </row>
    <row r="1790" spans="30:30" x14ac:dyDescent="0.3">
      <c r="AD1790" s="16"/>
    </row>
    <row r="1791" spans="30:30" x14ac:dyDescent="0.3">
      <c r="AD1791" s="16"/>
    </row>
    <row r="1792" spans="30:30" x14ac:dyDescent="0.3">
      <c r="AD1792" s="16"/>
    </row>
    <row r="1793" spans="30:30" x14ac:dyDescent="0.3">
      <c r="AD1793" s="16"/>
    </row>
    <row r="1794" spans="30:30" x14ac:dyDescent="0.3">
      <c r="AD1794" s="16"/>
    </row>
    <row r="1795" spans="30:30" x14ac:dyDescent="0.3">
      <c r="AD1795" s="16"/>
    </row>
    <row r="1796" spans="30:30" x14ac:dyDescent="0.3">
      <c r="AD1796" s="16"/>
    </row>
    <row r="1797" spans="30:30" x14ac:dyDescent="0.3">
      <c r="AD1797" s="16"/>
    </row>
    <row r="1798" spans="30:30" x14ac:dyDescent="0.3">
      <c r="AD1798" s="16"/>
    </row>
    <row r="1799" spans="30:30" x14ac:dyDescent="0.3">
      <c r="AD1799" s="16"/>
    </row>
    <row r="1800" spans="30:30" x14ac:dyDescent="0.3">
      <c r="AD1800" s="16"/>
    </row>
    <row r="1801" spans="30:30" x14ac:dyDescent="0.3">
      <c r="AD1801" s="16"/>
    </row>
    <row r="1802" spans="30:30" x14ac:dyDescent="0.3">
      <c r="AD1802" s="16"/>
    </row>
    <row r="1803" spans="30:30" x14ac:dyDescent="0.3">
      <c r="AD1803" s="16"/>
    </row>
    <row r="1804" spans="30:30" x14ac:dyDescent="0.3">
      <c r="AD1804" s="16"/>
    </row>
    <row r="1805" spans="30:30" x14ac:dyDescent="0.3">
      <c r="AD1805" s="16"/>
    </row>
    <row r="1806" spans="30:30" x14ac:dyDescent="0.3">
      <c r="AD1806" s="16"/>
    </row>
    <row r="1807" spans="30:30" x14ac:dyDescent="0.3">
      <c r="AD1807" s="16"/>
    </row>
    <row r="1808" spans="30:30" x14ac:dyDescent="0.3">
      <c r="AD1808" s="16"/>
    </row>
    <row r="1809" spans="30:30" x14ac:dyDescent="0.3">
      <c r="AD1809" s="16"/>
    </row>
    <row r="1810" spans="30:30" x14ac:dyDescent="0.3">
      <c r="AD1810" s="16"/>
    </row>
    <row r="1811" spans="30:30" x14ac:dyDescent="0.3">
      <c r="AD1811" s="16"/>
    </row>
    <row r="1812" spans="30:30" x14ac:dyDescent="0.3">
      <c r="AD1812" s="16"/>
    </row>
    <row r="1813" spans="30:30" x14ac:dyDescent="0.3">
      <c r="AD1813" s="16"/>
    </row>
    <row r="1814" spans="30:30" x14ac:dyDescent="0.3">
      <c r="AD1814" s="16"/>
    </row>
    <row r="1815" spans="30:30" x14ac:dyDescent="0.3">
      <c r="AD1815" s="16"/>
    </row>
    <row r="1816" spans="30:30" x14ac:dyDescent="0.3">
      <c r="AD1816" s="16"/>
    </row>
    <row r="1817" spans="30:30" x14ac:dyDescent="0.3">
      <c r="AD1817" s="16"/>
    </row>
    <row r="1818" spans="30:30" x14ac:dyDescent="0.3">
      <c r="AD1818" s="16"/>
    </row>
    <row r="1819" spans="30:30" x14ac:dyDescent="0.3">
      <c r="AD1819" s="16"/>
    </row>
    <row r="1820" spans="30:30" x14ac:dyDescent="0.3">
      <c r="AD1820" s="16"/>
    </row>
    <row r="1821" spans="30:30" x14ac:dyDescent="0.3">
      <c r="AD1821" s="16"/>
    </row>
    <row r="1822" spans="30:30" x14ac:dyDescent="0.3">
      <c r="AD1822" s="16"/>
    </row>
    <row r="1823" spans="30:30" x14ac:dyDescent="0.3">
      <c r="AD1823" s="16"/>
    </row>
    <row r="1824" spans="30:30" x14ac:dyDescent="0.3">
      <c r="AD1824" s="16"/>
    </row>
    <row r="1825" spans="30:30" x14ac:dyDescent="0.3">
      <c r="AD1825" s="16"/>
    </row>
    <row r="1826" spans="30:30" x14ac:dyDescent="0.3">
      <c r="AD1826" s="16"/>
    </row>
    <row r="1827" spans="30:30" x14ac:dyDescent="0.3">
      <c r="AD1827" s="16"/>
    </row>
    <row r="1828" spans="30:30" x14ac:dyDescent="0.3">
      <c r="AD1828" s="16"/>
    </row>
    <row r="1829" spans="30:30" x14ac:dyDescent="0.3">
      <c r="AD1829" s="16"/>
    </row>
    <row r="1830" spans="30:30" x14ac:dyDescent="0.3">
      <c r="AD1830" s="16"/>
    </row>
    <row r="1831" spans="30:30" x14ac:dyDescent="0.3">
      <c r="AD1831" s="16"/>
    </row>
    <row r="1832" spans="30:30" x14ac:dyDescent="0.3">
      <c r="AD1832" s="16"/>
    </row>
    <row r="1833" spans="30:30" x14ac:dyDescent="0.3">
      <c r="AD1833" s="16"/>
    </row>
    <row r="1834" spans="30:30" x14ac:dyDescent="0.3">
      <c r="AD1834" s="16"/>
    </row>
    <row r="1835" spans="30:30" x14ac:dyDescent="0.3">
      <c r="AD1835" s="16"/>
    </row>
    <row r="1836" spans="30:30" x14ac:dyDescent="0.3">
      <c r="AD1836" s="16"/>
    </row>
    <row r="1837" spans="30:30" x14ac:dyDescent="0.3">
      <c r="AD1837" s="16"/>
    </row>
    <row r="1838" spans="30:30" x14ac:dyDescent="0.3">
      <c r="AD1838" s="16"/>
    </row>
    <row r="1839" spans="30:30" x14ac:dyDescent="0.3">
      <c r="AD1839" s="16"/>
    </row>
    <row r="1840" spans="30:30" x14ac:dyDescent="0.3">
      <c r="AD1840" s="16"/>
    </row>
    <row r="1841" spans="30:30" x14ac:dyDescent="0.3">
      <c r="AD1841" s="16"/>
    </row>
    <row r="1842" spans="30:30" x14ac:dyDescent="0.3">
      <c r="AD1842" s="16"/>
    </row>
    <row r="1843" spans="30:30" x14ac:dyDescent="0.3">
      <c r="AD1843" s="16"/>
    </row>
    <row r="1844" spans="30:30" x14ac:dyDescent="0.3">
      <c r="AD1844" s="16"/>
    </row>
    <row r="1845" spans="30:30" x14ac:dyDescent="0.3">
      <c r="AD1845" s="16"/>
    </row>
    <row r="1846" spans="30:30" x14ac:dyDescent="0.3">
      <c r="AD1846" s="16"/>
    </row>
    <row r="1847" spans="30:30" x14ac:dyDescent="0.3">
      <c r="AD1847" s="16"/>
    </row>
    <row r="1848" spans="30:30" x14ac:dyDescent="0.3">
      <c r="AD1848" s="16"/>
    </row>
    <row r="1849" spans="30:30" x14ac:dyDescent="0.3">
      <c r="AD1849" s="16"/>
    </row>
    <row r="1850" spans="30:30" x14ac:dyDescent="0.3">
      <c r="AD1850" s="16"/>
    </row>
    <row r="1851" spans="30:30" x14ac:dyDescent="0.3">
      <c r="AD1851" s="16"/>
    </row>
    <row r="1852" spans="30:30" x14ac:dyDescent="0.3">
      <c r="AD1852" s="16"/>
    </row>
    <row r="1853" spans="30:30" x14ac:dyDescent="0.3">
      <c r="AD1853" s="16"/>
    </row>
    <row r="1854" spans="30:30" x14ac:dyDescent="0.3">
      <c r="AD1854" s="16"/>
    </row>
    <row r="1855" spans="30:30" x14ac:dyDescent="0.3">
      <c r="AD1855" s="16"/>
    </row>
    <row r="1856" spans="30:30" x14ac:dyDescent="0.3">
      <c r="AD1856" s="16"/>
    </row>
    <row r="1857" spans="30:30" x14ac:dyDescent="0.3">
      <c r="AD1857" s="16"/>
    </row>
    <row r="1858" spans="30:30" x14ac:dyDescent="0.3">
      <c r="AD1858" s="16"/>
    </row>
    <row r="1859" spans="30:30" x14ac:dyDescent="0.3">
      <c r="AD1859" s="16"/>
    </row>
    <row r="1860" spans="30:30" x14ac:dyDescent="0.3">
      <c r="AD1860" s="16"/>
    </row>
    <row r="1861" spans="30:30" x14ac:dyDescent="0.3">
      <c r="AD1861" s="16"/>
    </row>
    <row r="1862" spans="30:30" x14ac:dyDescent="0.3">
      <c r="AD1862" s="16"/>
    </row>
    <row r="1863" spans="30:30" x14ac:dyDescent="0.3">
      <c r="AD1863" s="16"/>
    </row>
    <row r="1864" spans="30:30" x14ac:dyDescent="0.3">
      <c r="AD1864" s="16"/>
    </row>
    <row r="1865" spans="30:30" x14ac:dyDescent="0.3">
      <c r="AD1865" s="16"/>
    </row>
    <row r="1866" spans="30:30" x14ac:dyDescent="0.3">
      <c r="AD1866" s="16"/>
    </row>
    <row r="1867" spans="30:30" x14ac:dyDescent="0.3">
      <c r="AD1867" s="16"/>
    </row>
    <row r="1868" spans="30:30" x14ac:dyDescent="0.3">
      <c r="AD1868" s="16"/>
    </row>
    <row r="1869" spans="30:30" x14ac:dyDescent="0.3">
      <c r="AD1869" s="16"/>
    </row>
    <row r="1870" spans="30:30" x14ac:dyDescent="0.3">
      <c r="AD1870" s="16"/>
    </row>
    <row r="1871" spans="30:30" x14ac:dyDescent="0.3">
      <c r="AD1871" s="16"/>
    </row>
    <row r="1872" spans="30:30" x14ac:dyDescent="0.3">
      <c r="AD1872" s="16"/>
    </row>
    <row r="1873" spans="30:30" x14ac:dyDescent="0.3">
      <c r="AD1873" s="16"/>
    </row>
    <row r="1874" spans="30:30" x14ac:dyDescent="0.3">
      <c r="AD1874" s="16"/>
    </row>
    <row r="1875" spans="30:30" x14ac:dyDescent="0.3">
      <c r="AD1875" s="16"/>
    </row>
    <row r="1876" spans="30:30" x14ac:dyDescent="0.3">
      <c r="AD1876" s="16"/>
    </row>
    <row r="1877" spans="30:30" x14ac:dyDescent="0.3">
      <c r="AD1877" s="16"/>
    </row>
    <row r="1878" spans="30:30" x14ac:dyDescent="0.3">
      <c r="AD1878" s="16"/>
    </row>
    <row r="1879" spans="30:30" x14ac:dyDescent="0.3">
      <c r="AD1879" s="16"/>
    </row>
    <row r="1880" spans="30:30" x14ac:dyDescent="0.3">
      <c r="AD1880" s="16"/>
    </row>
    <row r="1881" spans="30:30" x14ac:dyDescent="0.3">
      <c r="AD1881" s="16"/>
    </row>
    <row r="1882" spans="30:30" x14ac:dyDescent="0.3">
      <c r="AD1882" s="16"/>
    </row>
    <row r="1883" spans="30:30" x14ac:dyDescent="0.3">
      <c r="AD1883" s="16"/>
    </row>
    <row r="1884" spans="30:30" x14ac:dyDescent="0.3">
      <c r="AD1884" s="16"/>
    </row>
    <row r="1885" spans="30:30" x14ac:dyDescent="0.3">
      <c r="AD1885" s="16"/>
    </row>
    <row r="1886" spans="30:30" x14ac:dyDescent="0.3">
      <c r="AD1886" s="16"/>
    </row>
    <row r="1887" spans="30:30" x14ac:dyDescent="0.3">
      <c r="AD1887" s="16"/>
    </row>
    <row r="1888" spans="30:30" x14ac:dyDescent="0.3">
      <c r="AD1888" s="16"/>
    </row>
    <row r="1889" spans="30:30" x14ac:dyDescent="0.3">
      <c r="AD1889" s="16"/>
    </row>
    <row r="1890" spans="30:30" x14ac:dyDescent="0.3">
      <c r="AD1890" s="16"/>
    </row>
    <row r="1891" spans="30:30" x14ac:dyDescent="0.3">
      <c r="AD1891" s="16"/>
    </row>
    <row r="1892" spans="30:30" x14ac:dyDescent="0.3">
      <c r="AD1892" s="16"/>
    </row>
    <row r="1893" spans="30:30" x14ac:dyDescent="0.3">
      <c r="AD1893" s="16"/>
    </row>
    <row r="1894" spans="30:30" x14ac:dyDescent="0.3">
      <c r="AD1894" s="16"/>
    </row>
    <row r="1895" spans="30:30" x14ac:dyDescent="0.3">
      <c r="AD1895" s="16"/>
    </row>
    <row r="1896" spans="30:30" x14ac:dyDescent="0.3">
      <c r="AD1896" s="16"/>
    </row>
    <row r="1897" spans="30:30" x14ac:dyDescent="0.3">
      <c r="AD1897" s="16"/>
    </row>
    <row r="1898" spans="30:30" x14ac:dyDescent="0.3">
      <c r="AD1898" s="16"/>
    </row>
    <row r="1899" spans="30:30" x14ac:dyDescent="0.3">
      <c r="AD1899" s="16"/>
    </row>
    <row r="1900" spans="30:30" x14ac:dyDescent="0.3">
      <c r="AD1900" s="16"/>
    </row>
    <row r="1901" spans="30:30" x14ac:dyDescent="0.3">
      <c r="AD1901" s="16"/>
    </row>
    <row r="1902" spans="30:30" x14ac:dyDescent="0.3">
      <c r="AD1902" s="16"/>
    </row>
    <row r="1903" spans="30:30" x14ac:dyDescent="0.3">
      <c r="AD1903" s="16"/>
    </row>
    <row r="1904" spans="30:30" x14ac:dyDescent="0.3">
      <c r="AD1904" s="16"/>
    </row>
    <row r="1905" spans="30:30" x14ac:dyDescent="0.3">
      <c r="AD1905" s="16"/>
    </row>
    <row r="1906" spans="30:30" x14ac:dyDescent="0.3">
      <c r="AD1906" s="16"/>
    </row>
    <row r="1907" spans="30:30" x14ac:dyDescent="0.3">
      <c r="AD1907" s="16"/>
    </row>
    <row r="1908" spans="30:30" x14ac:dyDescent="0.3">
      <c r="AD1908" s="16"/>
    </row>
    <row r="1909" spans="30:30" x14ac:dyDescent="0.3">
      <c r="AD1909" s="16"/>
    </row>
    <row r="1910" spans="30:30" x14ac:dyDescent="0.3">
      <c r="AD1910" s="16"/>
    </row>
    <row r="1911" spans="30:30" x14ac:dyDescent="0.3">
      <c r="AD1911" s="16"/>
    </row>
    <row r="1912" spans="30:30" x14ac:dyDescent="0.3">
      <c r="AD1912" s="16"/>
    </row>
    <row r="1913" spans="30:30" x14ac:dyDescent="0.3">
      <c r="AD1913" s="16"/>
    </row>
    <row r="1914" spans="30:30" x14ac:dyDescent="0.3">
      <c r="AD1914" s="16"/>
    </row>
    <row r="1915" spans="30:30" x14ac:dyDescent="0.3">
      <c r="AD1915" s="16"/>
    </row>
    <row r="1916" spans="30:30" x14ac:dyDescent="0.3">
      <c r="AD1916" s="16"/>
    </row>
    <row r="1917" spans="30:30" x14ac:dyDescent="0.3">
      <c r="AD1917" s="16"/>
    </row>
    <row r="1918" spans="30:30" x14ac:dyDescent="0.3">
      <c r="AD1918" s="16"/>
    </row>
    <row r="1919" spans="30:30" x14ac:dyDescent="0.3">
      <c r="AD1919" s="16"/>
    </row>
    <row r="1920" spans="30:30" x14ac:dyDescent="0.3">
      <c r="AD1920" s="16"/>
    </row>
    <row r="1921" spans="30:30" x14ac:dyDescent="0.3">
      <c r="AD1921" s="16"/>
    </row>
    <row r="1922" spans="30:30" x14ac:dyDescent="0.3">
      <c r="AD1922" s="16"/>
    </row>
    <row r="1923" spans="30:30" x14ac:dyDescent="0.3">
      <c r="AD1923" s="16"/>
    </row>
    <row r="1924" spans="30:30" x14ac:dyDescent="0.3">
      <c r="AD1924" s="16"/>
    </row>
    <row r="1925" spans="30:30" x14ac:dyDescent="0.3">
      <c r="AD1925" s="16"/>
    </row>
    <row r="1926" spans="30:30" x14ac:dyDescent="0.3">
      <c r="AD1926" s="16"/>
    </row>
    <row r="1927" spans="30:30" x14ac:dyDescent="0.3">
      <c r="AD1927" s="16"/>
    </row>
    <row r="1928" spans="30:30" x14ac:dyDescent="0.3">
      <c r="AD1928" s="16"/>
    </row>
    <row r="1929" spans="30:30" x14ac:dyDescent="0.3">
      <c r="AD1929" s="16"/>
    </row>
    <row r="1930" spans="30:30" x14ac:dyDescent="0.3">
      <c r="AD1930" s="16"/>
    </row>
    <row r="1931" spans="30:30" x14ac:dyDescent="0.3">
      <c r="AD1931" s="16"/>
    </row>
    <row r="1932" spans="30:30" x14ac:dyDescent="0.3">
      <c r="AD1932" s="16"/>
    </row>
    <row r="1933" spans="30:30" x14ac:dyDescent="0.3">
      <c r="AD1933" s="16"/>
    </row>
    <row r="1934" spans="30:30" x14ac:dyDescent="0.3">
      <c r="AD1934" s="16"/>
    </row>
    <row r="1935" spans="30:30" x14ac:dyDescent="0.3">
      <c r="AD1935" s="16"/>
    </row>
    <row r="1936" spans="30:30" x14ac:dyDescent="0.3">
      <c r="AD1936" s="16"/>
    </row>
    <row r="1937" spans="30:30" x14ac:dyDescent="0.3">
      <c r="AD1937" s="16"/>
    </row>
    <row r="1938" spans="30:30" x14ac:dyDescent="0.3">
      <c r="AD1938" s="16"/>
    </row>
    <row r="1939" spans="30:30" x14ac:dyDescent="0.3">
      <c r="AD1939" s="16"/>
    </row>
    <row r="1940" spans="30:30" x14ac:dyDescent="0.3">
      <c r="AD1940" s="16"/>
    </row>
    <row r="1941" spans="30:30" x14ac:dyDescent="0.3">
      <c r="AD1941" s="16"/>
    </row>
    <row r="1942" spans="30:30" x14ac:dyDescent="0.3">
      <c r="AD1942" s="16"/>
    </row>
    <row r="1943" spans="30:30" x14ac:dyDescent="0.3">
      <c r="AD1943" s="16"/>
    </row>
    <row r="1944" spans="30:30" x14ac:dyDescent="0.3">
      <c r="AD1944" s="16"/>
    </row>
    <row r="1945" spans="30:30" x14ac:dyDescent="0.3">
      <c r="AD1945" s="16"/>
    </row>
    <row r="1946" spans="30:30" x14ac:dyDescent="0.3">
      <c r="AD1946" s="16"/>
    </row>
    <row r="1947" spans="30:30" x14ac:dyDescent="0.3">
      <c r="AD1947" s="16"/>
    </row>
    <row r="1948" spans="30:30" x14ac:dyDescent="0.3">
      <c r="AD1948" s="16"/>
    </row>
    <row r="1949" spans="30:30" x14ac:dyDescent="0.3">
      <c r="AD1949" s="16"/>
    </row>
    <row r="1950" spans="30:30" x14ac:dyDescent="0.3">
      <c r="AD1950" s="16"/>
    </row>
    <row r="1951" spans="30:30" x14ac:dyDescent="0.3">
      <c r="AD1951" s="16"/>
    </row>
    <row r="1952" spans="30:30" x14ac:dyDescent="0.3">
      <c r="AD1952" s="16"/>
    </row>
    <row r="1953" spans="30:30" x14ac:dyDescent="0.3">
      <c r="AD1953" s="16"/>
    </row>
    <row r="1954" spans="30:30" x14ac:dyDescent="0.3">
      <c r="AD1954" s="16"/>
    </row>
    <row r="1955" spans="30:30" x14ac:dyDescent="0.3">
      <c r="AD1955" s="16"/>
    </row>
    <row r="1956" spans="30:30" x14ac:dyDescent="0.3">
      <c r="AD1956" s="16"/>
    </row>
    <row r="1957" spans="30:30" x14ac:dyDescent="0.3">
      <c r="AD1957" s="16"/>
    </row>
    <row r="1958" spans="30:30" x14ac:dyDescent="0.3">
      <c r="AD1958" s="16"/>
    </row>
    <row r="1959" spans="30:30" x14ac:dyDescent="0.3">
      <c r="AD1959" s="16"/>
    </row>
    <row r="1960" spans="30:30" x14ac:dyDescent="0.3">
      <c r="AD1960" s="16"/>
    </row>
    <row r="1961" spans="30:30" x14ac:dyDescent="0.3">
      <c r="AD1961" s="16"/>
    </row>
    <row r="1962" spans="30:30" x14ac:dyDescent="0.3">
      <c r="AD1962" s="16"/>
    </row>
    <row r="1963" spans="30:30" x14ac:dyDescent="0.3">
      <c r="AD1963" s="16"/>
    </row>
    <row r="1964" spans="30:30" x14ac:dyDescent="0.3">
      <c r="AD1964" s="16"/>
    </row>
    <row r="1965" spans="30:30" x14ac:dyDescent="0.3">
      <c r="AD1965" s="16"/>
    </row>
    <row r="1966" spans="30:30" x14ac:dyDescent="0.3">
      <c r="AD1966" s="16"/>
    </row>
    <row r="1967" spans="30:30" x14ac:dyDescent="0.3">
      <c r="AD1967" s="16"/>
    </row>
    <row r="1968" spans="30:30" x14ac:dyDescent="0.3">
      <c r="AD1968" s="16"/>
    </row>
    <row r="1969" spans="30:30" x14ac:dyDescent="0.3">
      <c r="AD1969" s="16"/>
    </row>
    <row r="1970" spans="30:30" x14ac:dyDescent="0.3">
      <c r="AD1970" s="16"/>
    </row>
    <row r="1971" spans="30:30" x14ac:dyDescent="0.3">
      <c r="AD1971" s="16"/>
    </row>
    <row r="1972" spans="30:30" x14ac:dyDescent="0.3">
      <c r="AD1972" s="16"/>
    </row>
    <row r="1973" spans="30:30" x14ac:dyDescent="0.3">
      <c r="AD1973" s="16"/>
    </row>
    <row r="1974" spans="30:30" x14ac:dyDescent="0.3">
      <c r="AD1974" s="16"/>
    </row>
    <row r="1975" spans="30:30" x14ac:dyDescent="0.3">
      <c r="AD1975" s="16"/>
    </row>
    <row r="1976" spans="30:30" x14ac:dyDescent="0.3">
      <c r="AD1976" s="16"/>
    </row>
    <row r="1977" spans="30:30" x14ac:dyDescent="0.3">
      <c r="AD1977" s="16"/>
    </row>
    <row r="1978" spans="30:30" x14ac:dyDescent="0.3">
      <c r="AD1978" s="16"/>
    </row>
    <row r="1979" spans="30:30" x14ac:dyDescent="0.3">
      <c r="AD1979" s="16"/>
    </row>
    <row r="1980" spans="30:30" x14ac:dyDescent="0.3">
      <c r="AD1980" s="16"/>
    </row>
    <row r="1981" spans="30:30" x14ac:dyDescent="0.3">
      <c r="AD1981" s="16"/>
    </row>
    <row r="1982" spans="30:30" x14ac:dyDescent="0.3">
      <c r="AD1982" s="16"/>
    </row>
    <row r="1983" spans="30:30" x14ac:dyDescent="0.3">
      <c r="AD1983" s="16"/>
    </row>
    <row r="1984" spans="30:30" x14ac:dyDescent="0.3">
      <c r="AD1984" s="16"/>
    </row>
    <row r="1985" spans="30:30" x14ac:dyDescent="0.3">
      <c r="AD1985" s="16"/>
    </row>
    <row r="1986" spans="30:30" x14ac:dyDescent="0.3">
      <c r="AD1986" s="16"/>
    </row>
    <row r="1987" spans="30:30" x14ac:dyDescent="0.3">
      <c r="AD1987" s="16"/>
    </row>
    <row r="1988" spans="30:30" x14ac:dyDescent="0.3">
      <c r="AD1988" s="16"/>
    </row>
    <row r="1989" spans="30:30" x14ac:dyDescent="0.3">
      <c r="AD1989" s="16"/>
    </row>
    <row r="1990" spans="30:30" x14ac:dyDescent="0.3">
      <c r="AD1990" s="16"/>
    </row>
    <row r="1991" spans="30:30" x14ac:dyDescent="0.3">
      <c r="AD1991" s="16"/>
    </row>
    <row r="1992" spans="30:30" x14ac:dyDescent="0.3">
      <c r="AD1992" s="16"/>
    </row>
    <row r="1993" spans="30:30" x14ac:dyDescent="0.3">
      <c r="AD1993" s="16"/>
    </row>
    <row r="1994" spans="30:30" x14ac:dyDescent="0.3">
      <c r="AD1994" s="16"/>
    </row>
    <row r="1995" spans="30:30" x14ac:dyDescent="0.3">
      <c r="AD1995" s="16"/>
    </row>
    <row r="1996" spans="30:30" x14ac:dyDescent="0.3">
      <c r="AD1996" s="16"/>
    </row>
    <row r="1997" spans="30:30" x14ac:dyDescent="0.3">
      <c r="AD1997" s="16"/>
    </row>
    <row r="1998" spans="30:30" x14ac:dyDescent="0.3">
      <c r="AD1998" s="16"/>
    </row>
    <row r="1999" spans="30:30" x14ac:dyDescent="0.3">
      <c r="AD1999" s="16"/>
    </row>
    <row r="2000" spans="30:30" x14ac:dyDescent="0.3">
      <c r="AD2000" s="16"/>
    </row>
    <row r="2001" spans="30:30" x14ac:dyDescent="0.3">
      <c r="AD2001" s="16"/>
    </row>
    <row r="2002" spans="30:30" x14ac:dyDescent="0.3">
      <c r="AD2002" s="16"/>
    </row>
    <row r="2003" spans="30:30" x14ac:dyDescent="0.3">
      <c r="AD2003" s="16"/>
    </row>
    <row r="2004" spans="30:30" x14ac:dyDescent="0.3">
      <c r="AD2004" s="16"/>
    </row>
    <row r="2005" spans="30:30" x14ac:dyDescent="0.3">
      <c r="AD2005" s="16"/>
    </row>
    <row r="2006" spans="30:30" x14ac:dyDescent="0.3">
      <c r="AD2006" s="16"/>
    </row>
    <row r="2007" spans="30:30" x14ac:dyDescent="0.3">
      <c r="AD2007" s="16"/>
    </row>
    <row r="2008" spans="30:30" x14ac:dyDescent="0.3">
      <c r="AD2008" s="16"/>
    </row>
    <row r="2009" spans="30:30" x14ac:dyDescent="0.3">
      <c r="AD2009" s="16"/>
    </row>
    <row r="2010" spans="30:30" x14ac:dyDescent="0.3">
      <c r="AD2010" s="16"/>
    </row>
    <row r="2011" spans="30:30" x14ac:dyDescent="0.3">
      <c r="AD2011" s="16"/>
    </row>
    <row r="2012" spans="30:30" x14ac:dyDescent="0.3">
      <c r="AD2012" s="16"/>
    </row>
    <row r="2013" spans="30:30" x14ac:dyDescent="0.3">
      <c r="AD2013" s="16"/>
    </row>
    <row r="2014" spans="30:30" x14ac:dyDescent="0.3">
      <c r="AD2014" s="16"/>
    </row>
    <row r="2015" spans="30:30" x14ac:dyDescent="0.3">
      <c r="AD2015" s="16"/>
    </row>
    <row r="2016" spans="30:30" x14ac:dyDescent="0.3">
      <c r="AD2016" s="16"/>
    </row>
    <row r="2017" spans="30:30" x14ac:dyDescent="0.3">
      <c r="AD2017" s="16"/>
    </row>
    <row r="2018" spans="30:30" x14ac:dyDescent="0.3">
      <c r="AD2018" s="16"/>
    </row>
    <row r="2019" spans="30:30" x14ac:dyDescent="0.3">
      <c r="AD2019" s="16"/>
    </row>
    <row r="2020" spans="30:30" x14ac:dyDescent="0.3">
      <c r="AD2020" s="16"/>
    </row>
    <row r="2021" spans="30:30" x14ac:dyDescent="0.3">
      <c r="AD2021" s="16"/>
    </row>
    <row r="2022" spans="30:30" x14ac:dyDescent="0.3">
      <c r="AD2022" s="16"/>
    </row>
    <row r="2023" spans="30:30" x14ac:dyDescent="0.3">
      <c r="AD2023" s="16"/>
    </row>
    <row r="2024" spans="30:30" x14ac:dyDescent="0.3">
      <c r="AD2024" s="16"/>
    </row>
    <row r="2025" spans="30:30" x14ac:dyDescent="0.3">
      <c r="AD2025" s="16"/>
    </row>
    <row r="2026" spans="30:30" x14ac:dyDescent="0.3">
      <c r="AD2026" s="16"/>
    </row>
    <row r="2027" spans="30:30" x14ac:dyDescent="0.3">
      <c r="AD2027" s="16"/>
    </row>
    <row r="2028" spans="30:30" x14ac:dyDescent="0.3">
      <c r="AD2028" s="16"/>
    </row>
    <row r="2029" spans="30:30" x14ac:dyDescent="0.3">
      <c r="AD2029" s="16"/>
    </row>
    <row r="2030" spans="30:30" x14ac:dyDescent="0.3">
      <c r="AD2030" s="16"/>
    </row>
    <row r="2031" spans="30:30" x14ac:dyDescent="0.3">
      <c r="AD2031" s="16"/>
    </row>
    <row r="2032" spans="30:30" x14ac:dyDescent="0.3">
      <c r="AD2032" s="16"/>
    </row>
    <row r="2033" spans="30:30" x14ac:dyDescent="0.3">
      <c r="AD2033" s="16"/>
    </row>
    <row r="2034" spans="30:30" x14ac:dyDescent="0.3">
      <c r="AD2034" s="16"/>
    </row>
    <row r="2035" spans="30:30" x14ac:dyDescent="0.3">
      <c r="AD2035" s="16"/>
    </row>
    <row r="2036" spans="30:30" x14ac:dyDescent="0.3">
      <c r="AD2036" s="16"/>
    </row>
    <row r="2037" spans="30:30" x14ac:dyDescent="0.3">
      <c r="AD2037" s="16"/>
    </row>
    <row r="2038" spans="30:30" x14ac:dyDescent="0.3">
      <c r="AD2038" s="16"/>
    </row>
    <row r="2039" spans="30:30" x14ac:dyDescent="0.3">
      <c r="AD2039" s="16"/>
    </row>
    <row r="2040" spans="30:30" x14ac:dyDescent="0.3">
      <c r="AD2040" s="16"/>
    </row>
    <row r="2041" spans="30:30" x14ac:dyDescent="0.3">
      <c r="AD2041" s="16"/>
    </row>
    <row r="2042" spans="30:30" x14ac:dyDescent="0.3">
      <c r="AD2042" s="16"/>
    </row>
    <row r="2043" spans="30:30" x14ac:dyDescent="0.3">
      <c r="AD2043" s="16"/>
    </row>
    <row r="2044" spans="30:30" x14ac:dyDescent="0.3">
      <c r="AD2044" s="16"/>
    </row>
    <row r="2045" spans="30:30" x14ac:dyDescent="0.3">
      <c r="AD2045" s="16"/>
    </row>
    <row r="2046" spans="30:30" x14ac:dyDescent="0.3">
      <c r="AD2046" s="16"/>
    </row>
    <row r="2047" spans="30:30" x14ac:dyDescent="0.3">
      <c r="AD2047" s="16"/>
    </row>
    <row r="2048" spans="30:30" x14ac:dyDescent="0.3">
      <c r="AD2048" s="16"/>
    </row>
    <row r="2049" spans="30:30" x14ac:dyDescent="0.3">
      <c r="AD2049" s="16"/>
    </row>
    <row r="2050" spans="30:30" x14ac:dyDescent="0.3">
      <c r="AD2050" s="16"/>
    </row>
    <row r="2051" spans="30:30" x14ac:dyDescent="0.3">
      <c r="AD2051" s="16"/>
    </row>
    <row r="2052" spans="30:30" x14ac:dyDescent="0.3">
      <c r="AD2052" s="16"/>
    </row>
    <row r="2053" spans="30:30" x14ac:dyDescent="0.3">
      <c r="AD2053" s="16"/>
    </row>
    <row r="2054" spans="30:30" x14ac:dyDescent="0.3">
      <c r="AD2054" s="16"/>
    </row>
    <row r="2055" spans="30:30" x14ac:dyDescent="0.3">
      <c r="AD2055" s="16"/>
    </row>
    <row r="2056" spans="30:30" x14ac:dyDescent="0.3">
      <c r="AD2056" s="16"/>
    </row>
    <row r="2057" spans="30:30" x14ac:dyDescent="0.3">
      <c r="AD2057" s="16"/>
    </row>
    <row r="2058" spans="30:30" x14ac:dyDescent="0.3">
      <c r="AD2058" s="16"/>
    </row>
    <row r="2059" spans="30:30" x14ac:dyDescent="0.3">
      <c r="AD2059" s="16"/>
    </row>
    <row r="2060" spans="30:30" x14ac:dyDescent="0.3">
      <c r="AD2060" s="16"/>
    </row>
    <row r="2061" spans="30:30" x14ac:dyDescent="0.3">
      <c r="AD2061" s="16"/>
    </row>
    <row r="2062" spans="30:30" x14ac:dyDescent="0.3">
      <c r="AD2062" s="16"/>
    </row>
    <row r="2063" spans="30:30" x14ac:dyDescent="0.3">
      <c r="AD2063" s="16"/>
    </row>
    <row r="2064" spans="30:30" x14ac:dyDescent="0.3">
      <c r="AD2064" s="16"/>
    </row>
    <row r="2065" spans="30:30" x14ac:dyDescent="0.3">
      <c r="AD2065" s="16"/>
    </row>
    <row r="2066" spans="30:30" x14ac:dyDescent="0.3">
      <c r="AD2066" s="16"/>
    </row>
    <row r="2067" spans="30:30" x14ac:dyDescent="0.3">
      <c r="AD2067" s="16"/>
    </row>
    <row r="2068" spans="30:30" x14ac:dyDescent="0.3">
      <c r="AD2068" s="16"/>
    </row>
    <row r="2069" spans="30:30" x14ac:dyDescent="0.3">
      <c r="AD2069" s="16"/>
    </row>
    <row r="2070" spans="30:30" x14ac:dyDescent="0.3">
      <c r="AD2070" s="16"/>
    </row>
    <row r="2071" spans="30:30" x14ac:dyDescent="0.3">
      <c r="AD2071" s="16"/>
    </row>
    <row r="2072" spans="30:30" x14ac:dyDescent="0.3">
      <c r="AD2072" s="16"/>
    </row>
    <row r="2073" spans="30:30" x14ac:dyDescent="0.3">
      <c r="AD2073" s="16"/>
    </row>
    <row r="2074" spans="30:30" x14ac:dyDescent="0.3">
      <c r="AD2074" s="16"/>
    </row>
    <row r="2075" spans="30:30" x14ac:dyDescent="0.3">
      <c r="AD2075" s="16"/>
    </row>
    <row r="2076" spans="30:30" x14ac:dyDescent="0.3">
      <c r="AD2076" s="16"/>
    </row>
    <row r="2077" spans="30:30" x14ac:dyDescent="0.3">
      <c r="AD2077" s="16"/>
    </row>
    <row r="2078" spans="30:30" x14ac:dyDescent="0.3">
      <c r="AD2078" s="16"/>
    </row>
    <row r="2079" spans="30:30" x14ac:dyDescent="0.3">
      <c r="AD2079" s="16"/>
    </row>
    <row r="2080" spans="30:30" x14ac:dyDescent="0.3">
      <c r="AD2080" s="16"/>
    </row>
    <row r="2081" spans="30:30" x14ac:dyDescent="0.3">
      <c r="AD2081" s="16"/>
    </row>
    <row r="2082" spans="30:30" x14ac:dyDescent="0.3">
      <c r="AD2082" s="16"/>
    </row>
    <row r="2083" spans="30:30" x14ac:dyDescent="0.3">
      <c r="AD2083" s="16"/>
    </row>
    <row r="2084" spans="30:30" x14ac:dyDescent="0.3">
      <c r="AD2084" s="16"/>
    </row>
    <row r="2085" spans="30:30" x14ac:dyDescent="0.3">
      <c r="AD2085" s="16"/>
    </row>
    <row r="2086" spans="30:30" x14ac:dyDescent="0.3">
      <c r="AD2086" s="16"/>
    </row>
    <row r="2087" spans="30:30" x14ac:dyDescent="0.3">
      <c r="AD2087" s="16"/>
    </row>
    <row r="2088" spans="30:30" x14ac:dyDescent="0.3">
      <c r="AD2088" s="16"/>
    </row>
    <row r="2089" spans="30:30" x14ac:dyDescent="0.3">
      <c r="AD2089" s="16"/>
    </row>
    <row r="2090" spans="30:30" x14ac:dyDescent="0.3">
      <c r="AD2090" s="16"/>
    </row>
    <row r="2091" spans="30:30" x14ac:dyDescent="0.3">
      <c r="AD2091" s="16"/>
    </row>
    <row r="2092" spans="30:30" x14ac:dyDescent="0.3">
      <c r="AD2092" s="16"/>
    </row>
    <row r="2093" spans="30:30" x14ac:dyDescent="0.3">
      <c r="AD2093" s="16"/>
    </row>
    <row r="2094" spans="30:30" x14ac:dyDescent="0.3">
      <c r="AD2094" s="16"/>
    </row>
    <row r="2095" spans="30:30" x14ac:dyDescent="0.3">
      <c r="AD2095" s="16"/>
    </row>
    <row r="2096" spans="30:30" x14ac:dyDescent="0.3">
      <c r="AD2096" s="16"/>
    </row>
    <row r="2097" spans="30:30" x14ac:dyDescent="0.3">
      <c r="AD2097" s="16"/>
    </row>
    <row r="2098" spans="30:30" x14ac:dyDescent="0.3">
      <c r="AD2098" s="16"/>
    </row>
    <row r="2099" spans="30:30" x14ac:dyDescent="0.3">
      <c r="AD2099" s="16"/>
    </row>
    <row r="2100" spans="30:30" x14ac:dyDescent="0.3">
      <c r="AD2100" s="16"/>
    </row>
    <row r="2101" spans="30:30" x14ac:dyDescent="0.3">
      <c r="AD2101" s="16"/>
    </row>
    <row r="2102" spans="30:30" x14ac:dyDescent="0.3">
      <c r="AD2102" s="16"/>
    </row>
    <row r="2103" spans="30:30" x14ac:dyDescent="0.3">
      <c r="AD2103" s="16"/>
    </row>
    <row r="2104" spans="30:30" x14ac:dyDescent="0.3">
      <c r="AD2104" s="16"/>
    </row>
    <row r="2105" spans="30:30" x14ac:dyDescent="0.3">
      <c r="AD2105" s="16"/>
    </row>
    <row r="2106" spans="30:30" x14ac:dyDescent="0.3">
      <c r="AD2106" s="16"/>
    </row>
    <row r="2107" spans="30:30" x14ac:dyDescent="0.3">
      <c r="AD2107" s="16"/>
    </row>
    <row r="2108" spans="30:30" x14ac:dyDescent="0.3">
      <c r="AD2108" s="16"/>
    </row>
    <row r="2109" spans="30:30" x14ac:dyDescent="0.3">
      <c r="AD2109" s="16"/>
    </row>
    <row r="2110" spans="30:30" x14ac:dyDescent="0.3">
      <c r="AD2110" s="16"/>
    </row>
    <row r="2111" spans="30:30" x14ac:dyDescent="0.3">
      <c r="AD2111" s="16"/>
    </row>
    <row r="2112" spans="30:30" x14ac:dyDescent="0.3">
      <c r="AD2112" s="16"/>
    </row>
    <row r="2113" spans="30:30" x14ac:dyDescent="0.3">
      <c r="AD2113" s="16"/>
    </row>
    <row r="2114" spans="30:30" x14ac:dyDescent="0.3">
      <c r="AD2114" s="16"/>
    </row>
    <row r="2115" spans="30:30" x14ac:dyDescent="0.3">
      <c r="AD2115" s="16"/>
    </row>
    <row r="2116" spans="30:30" x14ac:dyDescent="0.3">
      <c r="AD2116" s="16"/>
    </row>
    <row r="2117" spans="30:30" x14ac:dyDescent="0.3">
      <c r="AD2117" s="16"/>
    </row>
    <row r="2118" spans="30:30" x14ac:dyDescent="0.3">
      <c r="AD2118" s="16"/>
    </row>
    <row r="2119" spans="30:30" x14ac:dyDescent="0.3">
      <c r="AD2119" s="16"/>
    </row>
    <row r="2120" spans="30:30" x14ac:dyDescent="0.3">
      <c r="AD2120" s="16"/>
    </row>
    <row r="2121" spans="30:30" x14ac:dyDescent="0.3">
      <c r="AD2121" s="16"/>
    </row>
    <row r="2122" spans="30:30" x14ac:dyDescent="0.3">
      <c r="AD2122" s="16"/>
    </row>
    <row r="2123" spans="30:30" x14ac:dyDescent="0.3">
      <c r="AD2123" s="16"/>
    </row>
    <row r="2124" spans="30:30" x14ac:dyDescent="0.3">
      <c r="AD2124" s="16"/>
    </row>
    <row r="2125" spans="30:30" x14ac:dyDescent="0.3">
      <c r="AD2125" s="16"/>
    </row>
    <row r="2126" spans="30:30" x14ac:dyDescent="0.3">
      <c r="AD2126" s="16"/>
    </row>
    <row r="2127" spans="30:30" x14ac:dyDescent="0.3">
      <c r="AD2127" s="16"/>
    </row>
    <row r="2128" spans="30:30" x14ac:dyDescent="0.3">
      <c r="AD2128" s="16"/>
    </row>
    <row r="2129" spans="30:30" x14ac:dyDescent="0.3">
      <c r="AD2129" s="16"/>
    </row>
    <row r="2130" spans="30:30" x14ac:dyDescent="0.3">
      <c r="AD2130" s="16"/>
    </row>
    <row r="2131" spans="30:30" x14ac:dyDescent="0.3">
      <c r="AD2131" s="16"/>
    </row>
    <row r="2132" spans="30:30" x14ac:dyDescent="0.3">
      <c r="AD2132" s="16"/>
    </row>
    <row r="2133" spans="30:30" x14ac:dyDescent="0.3">
      <c r="AD2133" s="16"/>
    </row>
    <row r="2134" spans="30:30" x14ac:dyDescent="0.3">
      <c r="AD2134" s="16"/>
    </row>
    <row r="2135" spans="30:30" x14ac:dyDescent="0.3">
      <c r="AD2135" s="16"/>
    </row>
    <row r="2136" spans="30:30" x14ac:dyDescent="0.3">
      <c r="AD2136" s="16"/>
    </row>
    <row r="2137" spans="30:30" x14ac:dyDescent="0.3">
      <c r="AD2137" s="16"/>
    </row>
    <row r="2138" spans="30:30" x14ac:dyDescent="0.3">
      <c r="AD2138" s="16"/>
    </row>
    <row r="2139" spans="30:30" x14ac:dyDescent="0.3">
      <c r="AD2139" s="16"/>
    </row>
    <row r="2140" spans="30:30" x14ac:dyDescent="0.3">
      <c r="AD2140" s="16"/>
    </row>
    <row r="2141" spans="30:30" x14ac:dyDescent="0.3">
      <c r="AD2141" s="16"/>
    </row>
    <row r="2142" spans="30:30" x14ac:dyDescent="0.3">
      <c r="AD2142" s="16"/>
    </row>
    <row r="2143" spans="30:30" x14ac:dyDescent="0.3">
      <c r="AD2143" s="16"/>
    </row>
    <row r="2144" spans="30:30" x14ac:dyDescent="0.3">
      <c r="AD2144" s="16"/>
    </row>
    <row r="2145" spans="30:30" x14ac:dyDescent="0.3">
      <c r="AD2145" s="16"/>
    </row>
    <row r="2146" spans="30:30" x14ac:dyDescent="0.3">
      <c r="AD2146" s="16"/>
    </row>
    <row r="2147" spans="30:30" x14ac:dyDescent="0.3">
      <c r="AD2147" s="16"/>
    </row>
    <row r="2148" spans="30:30" x14ac:dyDescent="0.3">
      <c r="AD2148" s="16"/>
    </row>
    <row r="2149" spans="30:30" x14ac:dyDescent="0.3">
      <c r="AD2149" s="16"/>
    </row>
    <row r="2150" spans="30:30" x14ac:dyDescent="0.3">
      <c r="AD2150" s="16"/>
    </row>
    <row r="2151" spans="30:30" x14ac:dyDescent="0.3">
      <c r="AD2151" s="16"/>
    </row>
    <row r="2152" spans="30:30" x14ac:dyDescent="0.3">
      <c r="AD2152" s="16"/>
    </row>
    <row r="2153" spans="30:30" x14ac:dyDescent="0.3">
      <c r="AD2153" s="16"/>
    </row>
    <row r="2154" spans="30:30" x14ac:dyDescent="0.3">
      <c r="AD2154" s="16"/>
    </row>
    <row r="2155" spans="30:30" x14ac:dyDescent="0.3">
      <c r="AD2155" s="16"/>
    </row>
    <row r="2156" spans="30:30" x14ac:dyDescent="0.3">
      <c r="AD2156" s="16"/>
    </row>
    <row r="2157" spans="30:30" x14ac:dyDescent="0.3">
      <c r="AD2157" s="16"/>
    </row>
    <row r="2158" spans="30:30" x14ac:dyDescent="0.3">
      <c r="AD2158" s="16"/>
    </row>
    <row r="2159" spans="30:30" x14ac:dyDescent="0.3">
      <c r="AD2159" s="16"/>
    </row>
    <row r="2160" spans="30:30" x14ac:dyDescent="0.3">
      <c r="AD2160" s="16"/>
    </row>
    <row r="2161" spans="30:30" x14ac:dyDescent="0.3">
      <c r="AD2161" s="16"/>
    </row>
    <row r="2162" spans="30:30" x14ac:dyDescent="0.3">
      <c r="AD2162" s="16"/>
    </row>
    <row r="2163" spans="30:30" x14ac:dyDescent="0.3">
      <c r="AD2163" s="16"/>
    </row>
    <row r="2164" spans="30:30" x14ac:dyDescent="0.3">
      <c r="AD2164" s="16"/>
    </row>
    <row r="2165" spans="30:30" x14ac:dyDescent="0.3">
      <c r="AD2165" s="16"/>
    </row>
    <row r="2166" spans="30:30" x14ac:dyDescent="0.3">
      <c r="AD2166" s="16"/>
    </row>
    <row r="2167" spans="30:30" x14ac:dyDescent="0.3">
      <c r="AD2167" s="16"/>
    </row>
    <row r="2168" spans="30:30" x14ac:dyDescent="0.3">
      <c r="AD2168" s="16"/>
    </row>
    <row r="2169" spans="30:30" x14ac:dyDescent="0.3">
      <c r="AD2169" s="16"/>
    </row>
    <row r="2170" spans="30:30" x14ac:dyDescent="0.3">
      <c r="AD2170" s="16"/>
    </row>
    <row r="2171" spans="30:30" x14ac:dyDescent="0.3">
      <c r="AD2171" s="16"/>
    </row>
    <row r="2172" spans="30:30" x14ac:dyDescent="0.3">
      <c r="AD2172" s="16"/>
    </row>
    <row r="2173" spans="30:30" x14ac:dyDescent="0.3">
      <c r="AD2173" s="16"/>
    </row>
    <row r="2174" spans="30:30" x14ac:dyDescent="0.3">
      <c r="AD2174" s="16"/>
    </row>
    <row r="2175" spans="30:30" x14ac:dyDescent="0.3">
      <c r="AD2175" s="16"/>
    </row>
    <row r="2176" spans="30:30" x14ac:dyDescent="0.3">
      <c r="AD2176" s="16"/>
    </row>
    <row r="2177" spans="30:30" x14ac:dyDescent="0.3">
      <c r="AD2177" s="16"/>
    </row>
    <row r="2178" spans="30:30" x14ac:dyDescent="0.3">
      <c r="AD2178" s="16"/>
    </row>
    <row r="2179" spans="30:30" x14ac:dyDescent="0.3">
      <c r="AD2179" s="16"/>
    </row>
    <row r="2180" spans="30:30" x14ac:dyDescent="0.3">
      <c r="AD2180" s="16"/>
    </row>
    <row r="2181" spans="30:30" x14ac:dyDescent="0.3">
      <c r="AD2181" s="16"/>
    </row>
    <row r="2182" spans="30:30" x14ac:dyDescent="0.3">
      <c r="AD2182" s="16"/>
    </row>
    <row r="2183" spans="30:30" x14ac:dyDescent="0.3">
      <c r="AD2183" s="16"/>
    </row>
    <row r="2184" spans="30:30" x14ac:dyDescent="0.3">
      <c r="AD2184" s="16"/>
    </row>
    <row r="2185" spans="30:30" x14ac:dyDescent="0.3">
      <c r="AD2185" s="16"/>
    </row>
    <row r="2186" spans="30:30" x14ac:dyDescent="0.3">
      <c r="AD2186" s="16"/>
    </row>
    <row r="2187" spans="30:30" x14ac:dyDescent="0.3">
      <c r="AD2187" s="16"/>
    </row>
    <row r="2188" spans="30:30" x14ac:dyDescent="0.3">
      <c r="AD2188" s="16"/>
    </row>
    <row r="2189" spans="30:30" x14ac:dyDescent="0.3">
      <c r="AD2189" s="16"/>
    </row>
    <row r="2190" spans="30:30" x14ac:dyDescent="0.3">
      <c r="AD2190" s="16"/>
    </row>
    <row r="2191" spans="30:30" x14ac:dyDescent="0.3">
      <c r="AD2191" s="16"/>
    </row>
    <row r="2192" spans="30:30" x14ac:dyDescent="0.3">
      <c r="AD2192" s="16"/>
    </row>
    <row r="2193" spans="30:30" x14ac:dyDescent="0.3">
      <c r="AD2193" s="16"/>
    </row>
    <row r="2194" spans="30:30" x14ac:dyDescent="0.3">
      <c r="AD2194" s="16"/>
    </row>
    <row r="2195" spans="30:30" x14ac:dyDescent="0.3">
      <c r="AD2195" s="16"/>
    </row>
    <row r="2196" spans="30:30" x14ac:dyDescent="0.3">
      <c r="AD2196" s="16"/>
    </row>
    <row r="2197" spans="30:30" x14ac:dyDescent="0.3">
      <c r="AD2197" s="16"/>
    </row>
    <row r="2198" spans="30:30" x14ac:dyDescent="0.3">
      <c r="AD2198" s="16"/>
    </row>
    <row r="2199" spans="30:30" x14ac:dyDescent="0.3">
      <c r="AD2199" s="16"/>
    </row>
    <row r="2200" spans="30:30" x14ac:dyDescent="0.3">
      <c r="AD2200" s="16"/>
    </row>
    <row r="2201" spans="30:30" x14ac:dyDescent="0.3">
      <c r="AD2201" s="16"/>
    </row>
    <row r="2202" spans="30:30" x14ac:dyDescent="0.3">
      <c r="AD2202" s="16"/>
    </row>
    <row r="2203" spans="30:30" x14ac:dyDescent="0.3">
      <c r="AD2203" s="16"/>
    </row>
    <row r="2204" spans="30:30" x14ac:dyDescent="0.3">
      <c r="AD2204" s="16"/>
    </row>
    <row r="2205" spans="30:30" x14ac:dyDescent="0.3">
      <c r="AD2205" s="16"/>
    </row>
    <row r="2206" spans="30:30" x14ac:dyDescent="0.3">
      <c r="AD2206" s="16"/>
    </row>
    <row r="2207" spans="30:30" x14ac:dyDescent="0.3">
      <c r="AD2207" s="16"/>
    </row>
    <row r="2208" spans="30:30" x14ac:dyDescent="0.3">
      <c r="AD2208" s="16"/>
    </row>
    <row r="2209" spans="30:30" x14ac:dyDescent="0.3">
      <c r="AD2209" s="16"/>
    </row>
    <row r="2210" spans="30:30" x14ac:dyDescent="0.3">
      <c r="AD2210" s="16"/>
    </row>
    <row r="2211" spans="30:30" x14ac:dyDescent="0.3">
      <c r="AD2211" s="16"/>
    </row>
    <row r="2212" spans="30:30" x14ac:dyDescent="0.3">
      <c r="AD2212" s="16"/>
    </row>
    <row r="2213" spans="30:30" x14ac:dyDescent="0.3">
      <c r="AD2213" s="16"/>
    </row>
    <row r="2214" spans="30:30" x14ac:dyDescent="0.3">
      <c r="AD2214" s="16"/>
    </row>
    <row r="2215" spans="30:30" x14ac:dyDescent="0.3">
      <c r="AD2215" s="16"/>
    </row>
    <row r="2216" spans="30:30" x14ac:dyDescent="0.3">
      <c r="AD2216" s="16"/>
    </row>
    <row r="2217" spans="30:30" x14ac:dyDescent="0.3">
      <c r="AD2217" s="16"/>
    </row>
    <row r="2218" spans="30:30" x14ac:dyDescent="0.3">
      <c r="AD2218" s="16"/>
    </row>
    <row r="2219" spans="30:30" x14ac:dyDescent="0.3">
      <c r="AD2219" s="16"/>
    </row>
    <row r="2220" spans="30:30" x14ac:dyDescent="0.3">
      <c r="AD2220" s="16"/>
    </row>
    <row r="2221" spans="30:30" x14ac:dyDescent="0.3">
      <c r="AD2221" s="16"/>
    </row>
    <row r="2222" spans="30:30" x14ac:dyDescent="0.3">
      <c r="AD2222" s="16"/>
    </row>
    <row r="2223" spans="30:30" x14ac:dyDescent="0.3">
      <c r="AD2223" s="16"/>
    </row>
    <row r="2224" spans="30:30" x14ac:dyDescent="0.3">
      <c r="AD2224" s="16"/>
    </row>
    <row r="2225" spans="30:30" x14ac:dyDescent="0.3">
      <c r="AD2225" s="16"/>
    </row>
    <row r="2226" spans="30:30" x14ac:dyDescent="0.3">
      <c r="AD2226" s="16"/>
    </row>
    <row r="2227" spans="30:30" x14ac:dyDescent="0.3">
      <c r="AD2227" s="16"/>
    </row>
    <row r="2228" spans="30:30" x14ac:dyDescent="0.3">
      <c r="AD2228" s="16"/>
    </row>
    <row r="2229" spans="30:30" x14ac:dyDescent="0.3">
      <c r="AD2229" s="16"/>
    </row>
    <row r="2230" spans="30:30" x14ac:dyDescent="0.3">
      <c r="AD2230" s="16"/>
    </row>
    <row r="2231" spans="30:30" x14ac:dyDescent="0.3">
      <c r="AD2231" s="16"/>
    </row>
    <row r="2232" spans="30:30" x14ac:dyDescent="0.3">
      <c r="AD2232" s="16"/>
    </row>
    <row r="2233" spans="30:30" x14ac:dyDescent="0.3">
      <c r="AD2233" s="16"/>
    </row>
    <row r="2234" spans="30:30" x14ac:dyDescent="0.3">
      <c r="AD2234" s="16"/>
    </row>
    <row r="2235" spans="30:30" x14ac:dyDescent="0.3">
      <c r="AD2235" s="16"/>
    </row>
    <row r="2236" spans="30:30" x14ac:dyDescent="0.3">
      <c r="AD2236" s="16"/>
    </row>
    <row r="2237" spans="30:30" x14ac:dyDescent="0.3">
      <c r="AD2237" s="16"/>
    </row>
    <row r="2238" spans="30:30" x14ac:dyDescent="0.3">
      <c r="AD2238" s="16"/>
    </row>
    <row r="2239" spans="30:30" x14ac:dyDescent="0.3">
      <c r="AD2239" s="16"/>
    </row>
    <row r="2240" spans="30:30" x14ac:dyDescent="0.3">
      <c r="AD2240" s="16"/>
    </row>
    <row r="2241" spans="30:30" x14ac:dyDescent="0.3">
      <c r="AD2241" s="16"/>
    </row>
    <row r="2242" spans="30:30" x14ac:dyDescent="0.3">
      <c r="AD2242" s="16"/>
    </row>
    <row r="2243" spans="30:30" x14ac:dyDescent="0.3">
      <c r="AD2243" s="16"/>
    </row>
    <row r="2244" spans="30:30" x14ac:dyDescent="0.3">
      <c r="AD2244" s="16"/>
    </row>
    <row r="2245" spans="30:30" x14ac:dyDescent="0.3">
      <c r="AD2245" s="16"/>
    </row>
    <row r="2246" spans="30:30" x14ac:dyDescent="0.3">
      <c r="AD2246" s="16"/>
    </row>
    <row r="2247" spans="30:30" x14ac:dyDescent="0.3">
      <c r="AD2247" s="16"/>
    </row>
    <row r="2248" spans="30:30" x14ac:dyDescent="0.3">
      <c r="AD2248" s="16"/>
    </row>
    <row r="2249" spans="30:30" x14ac:dyDescent="0.3">
      <c r="AD2249" s="16"/>
    </row>
    <row r="2250" spans="30:30" x14ac:dyDescent="0.3">
      <c r="AD2250" s="16"/>
    </row>
    <row r="2251" spans="30:30" x14ac:dyDescent="0.3">
      <c r="AD2251" s="16"/>
    </row>
    <row r="2252" spans="30:30" x14ac:dyDescent="0.3">
      <c r="AD2252" s="16"/>
    </row>
    <row r="2253" spans="30:30" x14ac:dyDescent="0.3">
      <c r="AD2253" s="16"/>
    </row>
    <row r="2254" spans="30:30" x14ac:dyDescent="0.3">
      <c r="AD2254" s="16"/>
    </row>
    <row r="2255" spans="30:30" x14ac:dyDescent="0.3">
      <c r="AD2255" s="16"/>
    </row>
    <row r="2256" spans="30:30" x14ac:dyDescent="0.3">
      <c r="AD2256" s="16"/>
    </row>
    <row r="2257" spans="30:30" x14ac:dyDescent="0.3">
      <c r="AD2257" s="16"/>
    </row>
    <row r="2258" spans="30:30" x14ac:dyDescent="0.3">
      <c r="AD2258" s="16"/>
    </row>
    <row r="2259" spans="30:30" x14ac:dyDescent="0.3">
      <c r="AD2259" s="16"/>
    </row>
    <row r="2260" spans="30:30" x14ac:dyDescent="0.3">
      <c r="AD2260" s="16"/>
    </row>
    <row r="2261" spans="30:30" x14ac:dyDescent="0.3">
      <c r="AD2261" s="16"/>
    </row>
    <row r="2262" spans="30:30" x14ac:dyDescent="0.3">
      <c r="AD2262" s="16"/>
    </row>
    <row r="2263" spans="30:30" x14ac:dyDescent="0.3">
      <c r="AD2263" s="16"/>
    </row>
    <row r="2264" spans="30:30" x14ac:dyDescent="0.3">
      <c r="AD2264" s="16"/>
    </row>
    <row r="2265" spans="30:30" x14ac:dyDescent="0.3">
      <c r="AD2265" s="16"/>
    </row>
    <row r="2266" spans="30:30" x14ac:dyDescent="0.3">
      <c r="AD2266" s="16"/>
    </row>
    <row r="2267" spans="30:30" x14ac:dyDescent="0.3">
      <c r="AD2267" s="16"/>
    </row>
    <row r="2268" spans="30:30" x14ac:dyDescent="0.3">
      <c r="AD2268" s="16"/>
    </row>
    <row r="2269" spans="30:30" x14ac:dyDescent="0.3">
      <c r="AD2269" s="16"/>
    </row>
    <row r="2270" spans="30:30" x14ac:dyDescent="0.3">
      <c r="AD2270" s="16"/>
    </row>
    <row r="2271" spans="30:30" x14ac:dyDescent="0.3">
      <c r="AD2271" s="16"/>
    </row>
    <row r="2272" spans="30:30" x14ac:dyDescent="0.3">
      <c r="AD2272" s="16"/>
    </row>
    <row r="2273" spans="30:30" x14ac:dyDescent="0.3">
      <c r="AD2273" s="16"/>
    </row>
    <row r="2274" spans="30:30" x14ac:dyDescent="0.3">
      <c r="AD2274" s="16"/>
    </row>
    <row r="2275" spans="30:30" x14ac:dyDescent="0.3">
      <c r="AD2275" s="16"/>
    </row>
    <row r="2276" spans="30:30" x14ac:dyDescent="0.3">
      <c r="AD2276" s="16"/>
    </row>
    <row r="2277" spans="30:30" x14ac:dyDescent="0.3">
      <c r="AD2277" s="16"/>
    </row>
    <row r="2278" spans="30:30" x14ac:dyDescent="0.3">
      <c r="AD2278" s="16"/>
    </row>
    <row r="2279" spans="30:30" x14ac:dyDescent="0.3">
      <c r="AD2279" s="16"/>
    </row>
    <row r="2280" spans="30:30" x14ac:dyDescent="0.3">
      <c r="AD2280" s="16"/>
    </row>
    <row r="2281" spans="30:30" x14ac:dyDescent="0.3">
      <c r="AD2281" s="16"/>
    </row>
    <row r="2282" spans="30:30" x14ac:dyDescent="0.3">
      <c r="AD2282" s="16"/>
    </row>
    <row r="2283" spans="30:30" x14ac:dyDescent="0.3">
      <c r="AD2283" s="16"/>
    </row>
    <row r="2284" spans="30:30" x14ac:dyDescent="0.3">
      <c r="AD2284" s="16"/>
    </row>
    <row r="2285" spans="30:30" x14ac:dyDescent="0.3">
      <c r="AD2285" s="16"/>
    </row>
    <row r="2286" spans="30:30" x14ac:dyDescent="0.3">
      <c r="AD2286" s="16"/>
    </row>
    <row r="2287" spans="30:30" x14ac:dyDescent="0.3">
      <c r="AD2287" s="16"/>
    </row>
    <row r="2288" spans="30:30" x14ac:dyDescent="0.3">
      <c r="AD2288" s="16"/>
    </row>
    <row r="2289" spans="30:30" x14ac:dyDescent="0.3">
      <c r="AD2289" s="16"/>
    </row>
    <row r="2290" spans="30:30" x14ac:dyDescent="0.3">
      <c r="AD2290" s="16"/>
    </row>
    <row r="2291" spans="30:30" x14ac:dyDescent="0.3">
      <c r="AD2291" s="16"/>
    </row>
    <row r="2292" spans="30:30" x14ac:dyDescent="0.3">
      <c r="AD2292" s="16"/>
    </row>
    <row r="2293" spans="30:30" x14ac:dyDescent="0.3">
      <c r="AD2293" s="16"/>
    </row>
    <row r="2294" spans="30:30" x14ac:dyDescent="0.3">
      <c r="AD2294" s="16"/>
    </row>
    <row r="2295" spans="30:30" x14ac:dyDescent="0.3">
      <c r="AD2295" s="16"/>
    </row>
    <row r="2296" spans="30:30" x14ac:dyDescent="0.3">
      <c r="AD2296" s="16"/>
    </row>
    <row r="2297" spans="30:30" x14ac:dyDescent="0.3">
      <c r="AD2297" s="16"/>
    </row>
    <row r="2298" spans="30:30" x14ac:dyDescent="0.3">
      <c r="AD2298" s="16"/>
    </row>
    <row r="2299" spans="30:30" x14ac:dyDescent="0.3">
      <c r="AD2299" s="16"/>
    </row>
    <row r="2300" spans="30:30" x14ac:dyDescent="0.3">
      <c r="AD2300" s="16"/>
    </row>
    <row r="2301" spans="30:30" x14ac:dyDescent="0.3">
      <c r="AD2301" s="16"/>
    </row>
    <row r="2302" spans="30:30" x14ac:dyDescent="0.3">
      <c r="AD2302" s="16"/>
    </row>
    <row r="2303" spans="30:30" x14ac:dyDescent="0.3">
      <c r="AD2303" s="16"/>
    </row>
    <row r="2304" spans="30:30" x14ac:dyDescent="0.3">
      <c r="AD2304" s="16"/>
    </row>
    <row r="2305" spans="30:30" x14ac:dyDescent="0.3">
      <c r="AD2305" s="16"/>
    </row>
    <row r="2306" spans="30:30" x14ac:dyDescent="0.3">
      <c r="AD2306" s="16"/>
    </row>
    <row r="2307" spans="30:30" x14ac:dyDescent="0.3">
      <c r="AD2307" s="16"/>
    </row>
    <row r="2308" spans="30:30" x14ac:dyDescent="0.3">
      <c r="AD2308" s="16"/>
    </row>
    <row r="2309" spans="30:30" x14ac:dyDescent="0.3">
      <c r="AD2309" s="16"/>
    </row>
    <row r="2310" spans="30:30" x14ac:dyDescent="0.3">
      <c r="AD2310" s="16"/>
    </row>
    <row r="2311" spans="30:30" x14ac:dyDescent="0.3">
      <c r="AD2311" s="16"/>
    </row>
    <row r="2312" spans="30:30" x14ac:dyDescent="0.3">
      <c r="AD2312" s="16"/>
    </row>
    <row r="2313" spans="30:30" x14ac:dyDescent="0.3">
      <c r="AD2313" s="16"/>
    </row>
    <row r="2314" spans="30:30" x14ac:dyDescent="0.3">
      <c r="AD2314" s="16"/>
    </row>
    <row r="2315" spans="30:30" x14ac:dyDescent="0.3">
      <c r="AD2315" s="16"/>
    </row>
    <row r="2316" spans="30:30" x14ac:dyDescent="0.3">
      <c r="AD2316" s="16"/>
    </row>
    <row r="2317" spans="30:30" x14ac:dyDescent="0.3">
      <c r="AD2317" s="16"/>
    </row>
    <row r="2318" spans="30:30" x14ac:dyDescent="0.3">
      <c r="AD2318" s="16"/>
    </row>
    <row r="2319" spans="30:30" x14ac:dyDescent="0.3">
      <c r="AD2319" s="16"/>
    </row>
    <row r="2320" spans="30:30" x14ac:dyDescent="0.3">
      <c r="AD2320" s="16"/>
    </row>
    <row r="2321" spans="30:30" x14ac:dyDescent="0.3">
      <c r="AD2321" s="16"/>
    </row>
    <row r="2322" spans="30:30" x14ac:dyDescent="0.3">
      <c r="AD2322" s="16"/>
    </row>
    <row r="2323" spans="30:30" x14ac:dyDescent="0.3">
      <c r="AD2323" s="16"/>
    </row>
    <row r="2324" spans="30:30" x14ac:dyDescent="0.3">
      <c r="AD2324" s="16"/>
    </row>
    <row r="2325" spans="30:30" x14ac:dyDescent="0.3">
      <c r="AD2325" s="16"/>
    </row>
    <row r="2326" spans="30:30" x14ac:dyDescent="0.3">
      <c r="AD2326" s="16"/>
    </row>
    <row r="2327" spans="30:30" x14ac:dyDescent="0.3">
      <c r="AD2327" s="16"/>
    </row>
    <row r="2328" spans="30:30" x14ac:dyDescent="0.3">
      <c r="AD2328" s="16"/>
    </row>
    <row r="2329" spans="30:30" x14ac:dyDescent="0.3">
      <c r="AD2329" s="16"/>
    </row>
    <row r="2330" spans="30:30" x14ac:dyDescent="0.3">
      <c r="AD2330" s="16"/>
    </row>
    <row r="2331" spans="30:30" x14ac:dyDescent="0.3">
      <c r="AD2331" s="16"/>
    </row>
    <row r="2332" spans="30:30" x14ac:dyDescent="0.3">
      <c r="AD2332" s="16"/>
    </row>
    <row r="2333" spans="30:30" x14ac:dyDescent="0.3">
      <c r="AD2333" s="16"/>
    </row>
    <row r="2334" spans="30:30" x14ac:dyDescent="0.3">
      <c r="AD2334" s="16"/>
    </row>
    <row r="2335" spans="30:30" x14ac:dyDescent="0.3">
      <c r="AD2335" s="16"/>
    </row>
    <row r="2336" spans="30:30" x14ac:dyDescent="0.3">
      <c r="AD2336" s="16"/>
    </row>
    <row r="2337" spans="30:30" x14ac:dyDescent="0.3">
      <c r="AD2337" s="16"/>
    </row>
    <row r="2338" spans="30:30" x14ac:dyDescent="0.3">
      <c r="AD2338" s="16"/>
    </row>
    <row r="2339" spans="30:30" x14ac:dyDescent="0.3">
      <c r="AD2339" s="16"/>
    </row>
    <row r="2340" spans="30:30" x14ac:dyDescent="0.3">
      <c r="AD2340" s="16"/>
    </row>
    <row r="2341" spans="30:30" x14ac:dyDescent="0.3">
      <c r="AD2341" s="16"/>
    </row>
    <row r="2342" spans="30:30" x14ac:dyDescent="0.3">
      <c r="AD2342" s="16"/>
    </row>
    <row r="2343" spans="30:30" x14ac:dyDescent="0.3">
      <c r="AD2343" s="16"/>
    </row>
    <row r="2344" spans="30:30" x14ac:dyDescent="0.3">
      <c r="AD2344" s="16"/>
    </row>
    <row r="2345" spans="30:30" x14ac:dyDescent="0.3">
      <c r="AD2345" s="16"/>
    </row>
    <row r="2346" spans="30:30" x14ac:dyDescent="0.3">
      <c r="AD2346" s="16"/>
    </row>
    <row r="2347" spans="30:30" x14ac:dyDescent="0.3">
      <c r="AD2347" s="16"/>
    </row>
    <row r="2348" spans="30:30" x14ac:dyDescent="0.3">
      <c r="AD2348" s="16"/>
    </row>
    <row r="2349" spans="30:30" x14ac:dyDescent="0.3">
      <c r="AD2349" s="16"/>
    </row>
    <row r="2350" spans="30:30" x14ac:dyDescent="0.3">
      <c r="AD2350" s="16"/>
    </row>
    <row r="2351" spans="30:30" x14ac:dyDescent="0.3">
      <c r="AD2351" s="16"/>
    </row>
    <row r="2352" spans="30:30" x14ac:dyDescent="0.3">
      <c r="AD2352" s="16"/>
    </row>
    <row r="2353" spans="30:30" x14ac:dyDescent="0.3">
      <c r="AD2353" s="16"/>
    </row>
    <row r="2354" spans="30:30" x14ac:dyDescent="0.3">
      <c r="AD2354" s="16"/>
    </row>
    <row r="2355" spans="30:30" x14ac:dyDescent="0.3">
      <c r="AD2355" s="16"/>
    </row>
    <row r="2356" spans="30:30" x14ac:dyDescent="0.3">
      <c r="AD2356" s="16"/>
    </row>
    <row r="2357" spans="30:30" x14ac:dyDescent="0.3">
      <c r="AD2357" s="16"/>
    </row>
    <row r="2358" spans="30:30" x14ac:dyDescent="0.3">
      <c r="AD2358" s="16"/>
    </row>
    <row r="2359" spans="30:30" x14ac:dyDescent="0.3">
      <c r="AD2359" s="16"/>
    </row>
    <row r="2360" spans="30:30" x14ac:dyDescent="0.3">
      <c r="AD2360" s="16"/>
    </row>
    <row r="2361" spans="30:30" x14ac:dyDescent="0.3">
      <c r="AD2361" s="16"/>
    </row>
    <row r="2362" spans="30:30" x14ac:dyDescent="0.3">
      <c r="AD2362" s="16"/>
    </row>
    <row r="2363" spans="30:30" x14ac:dyDescent="0.3">
      <c r="AD2363" s="16"/>
    </row>
    <row r="2364" spans="30:30" x14ac:dyDescent="0.3">
      <c r="AD2364" s="16"/>
    </row>
    <row r="2365" spans="30:30" x14ac:dyDescent="0.3">
      <c r="AD2365" s="16"/>
    </row>
    <row r="2366" spans="30:30" x14ac:dyDescent="0.3">
      <c r="AD2366" s="16"/>
    </row>
    <row r="2367" spans="30:30" x14ac:dyDescent="0.3">
      <c r="AD2367" s="16"/>
    </row>
    <row r="2368" spans="30:30" x14ac:dyDescent="0.3">
      <c r="AD2368" s="16"/>
    </row>
    <row r="2369" spans="30:30" x14ac:dyDescent="0.3">
      <c r="AD2369" s="16"/>
    </row>
    <row r="2370" spans="30:30" x14ac:dyDescent="0.3">
      <c r="AD2370" s="16"/>
    </row>
    <row r="2371" spans="30:30" x14ac:dyDescent="0.3">
      <c r="AD2371" s="16"/>
    </row>
    <row r="2372" spans="30:30" x14ac:dyDescent="0.3">
      <c r="AD2372" s="16"/>
    </row>
    <row r="2373" spans="30:30" x14ac:dyDescent="0.3">
      <c r="AD2373" s="16"/>
    </row>
    <row r="2374" spans="30:30" x14ac:dyDescent="0.3">
      <c r="AD2374" s="16"/>
    </row>
    <row r="2375" spans="30:30" x14ac:dyDescent="0.3">
      <c r="AD2375" s="16"/>
    </row>
    <row r="2376" spans="30:30" x14ac:dyDescent="0.3">
      <c r="AD2376" s="16"/>
    </row>
    <row r="2377" spans="30:30" x14ac:dyDescent="0.3">
      <c r="AD2377" s="16"/>
    </row>
    <row r="2378" spans="30:30" x14ac:dyDescent="0.3">
      <c r="AD2378" s="16"/>
    </row>
    <row r="2379" spans="30:30" x14ac:dyDescent="0.3">
      <c r="AD2379" s="16"/>
    </row>
    <row r="2380" spans="30:30" x14ac:dyDescent="0.3">
      <c r="AD2380" s="16"/>
    </row>
    <row r="2381" spans="30:30" x14ac:dyDescent="0.3">
      <c r="AD2381" s="16"/>
    </row>
    <row r="2382" spans="30:30" x14ac:dyDescent="0.3">
      <c r="AD2382" s="16"/>
    </row>
    <row r="2383" spans="30:30" x14ac:dyDescent="0.3">
      <c r="AD2383" s="16"/>
    </row>
    <row r="2384" spans="30:30" x14ac:dyDescent="0.3">
      <c r="AD2384" s="16"/>
    </row>
    <row r="2385" spans="30:30" x14ac:dyDescent="0.3">
      <c r="AD2385" s="16"/>
    </row>
    <row r="2386" spans="30:30" x14ac:dyDescent="0.3">
      <c r="AD2386" s="16"/>
    </row>
    <row r="2387" spans="30:30" x14ac:dyDescent="0.3">
      <c r="AD2387" s="16"/>
    </row>
    <row r="2388" spans="30:30" x14ac:dyDescent="0.3">
      <c r="AD2388" s="16"/>
    </row>
    <row r="2389" spans="30:30" x14ac:dyDescent="0.3">
      <c r="AD2389" s="16"/>
    </row>
    <row r="2390" spans="30:30" x14ac:dyDescent="0.3">
      <c r="AD2390" s="16"/>
    </row>
    <row r="2391" spans="30:30" x14ac:dyDescent="0.3">
      <c r="AD2391" s="16"/>
    </row>
    <row r="2392" spans="30:30" x14ac:dyDescent="0.3">
      <c r="AD2392" s="16"/>
    </row>
    <row r="2393" spans="30:30" x14ac:dyDescent="0.3">
      <c r="AD2393" s="16"/>
    </row>
    <row r="2394" spans="30:30" x14ac:dyDescent="0.3">
      <c r="AD2394" s="16"/>
    </row>
    <row r="2395" spans="30:30" x14ac:dyDescent="0.3">
      <c r="AD2395" s="16"/>
    </row>
    <row r="2396" spans="30:30" x14ac:dyDescent="0.3">
      <c r="AD2396" s="16"/>
    </row>
    <row r="2397" spans="30:30" x14ac:dyDescent="0.3">
      <c r="AD2397" s="16"/>
    </row>
    <row r="2398" spans="30:30" x14ac:dyDescent="0.3">
      <c r="AD2398" s="16"/>
    </row>
    <row r="2399" spans="30:30" x14ac:dyDescent="0.3">
      <c r="AD2399" s="16"/>
    </row>
    <row r="2400" spans="30:30" x14ac:dyDescent="0.3">
      <c r="AD2400" s="16"/>
    </row>
    <row r="2401" spans="30:30" x14ac:dyDescent="0.3">
      <c r="AD2401" s="16"/>
    </row>
    <row r="2402" spans="30:30" x14ac:dyDescent="0.3">
      <c r="AD2402" s="16"/>
    </row>
    <row r="2403" spans="30:30" x14ac:dyDescent="0.3">
      <c r="AD2403" s="16"/>
    </row>
    <row r="2404" spans="30:30" x14ac:dyDescent="0.3">
      <c r="AD2404" s="16"/>
    </row>
    <row r="2405" spans="30:30" x14ac:dyDescent="0.3">
      <c r="AD2405" s="16"/>
    </row>
    <row r="2406" spans="30:30" x14ac:dyDescent="0.3">
      <c r="AD2406" s="16"/>
    </row>
    <row r="2407" spans="30:30" x14ac:dyDescent="0.3">
      <c r="AD2407" s="16"/>
    </row>
    <row r="2408" spans="30:30" x14ac:dyDescent="0.3">
      <c r="AD2408" s="16"/>
    </row>
    <row r="2409" spans="30:30" x14ac:dyDescent="0.3">
      <c r="AD2409" s="16"/>
    </row>
    <row r="2410" spans="30:30" x14ac:dyDescent="0.3">
      <c r="AD2410" s="16"/>
    </row>
    <row r="2411" spans="30:30" x14ac:dyDescent="0.3">
      <c r="AD2411" s="16"/>
    </row>
    <row r="2412" spans="30:30" x14ac:dyDescent="0.3">
      <c r="AD2412" s="16"/>
    </row>
    <row r="2413" spans="30:30" x14ac:dyDescent="0.3">
      <c r="AD2413" s="16"/>
    </row>
    <row r="2414" spans="30:30" x14ac:dyDescent="0.3">
      <c r="AD2414" s="16"/>
    </row>
    <row r="2415" spans="30:30" x14ac:dyDescent="0.3">
      <c r="AD2415" s="16"/>
    </row>
    <row r="2416" spans="30:30" x14ac:dyDescent="0.3">
      <c r="AD2416" s="16"/>
    </row>
    <row r="2417" spans="30:30" x14ac:dyDescent="0.3">
      <c r="AD2417" s="16"/>
    </row>
    <row r="2418" spans="30:30" x14ac:dyDescent="0.3">
      <c r="AD2418" s="16"/>
    </row>
    <row r="2419" spans="30:30" x14ac:dyDescent="0.3">
      <c r="AD2419" s="16"/>
    </row>
    <row r="2420" spans="30:30" x14ac:dyDescent="0.3">
      <c r="AD2420" s="16"/>
    </row>
    <row r="2421" spans="30:30" x14ac:dyDescent="0.3">
      <c r="AD2421" s="16"/>
    </row>
    <row r="2422" spans="30:30" x14ac:dyDescent="0.3">
      <c r="AD2422" s="16"/>
    </row>
    <row r="2423" spans="30:30" x14ac:dyDescent="0.3">
      <c r="AD2423" s="16"/>
    </row>
    <row r="2424" spans="30:30" x14ac:dyDescent="0.3">
      <c r="AD2424" s="16"/>
    </row>
    <row r="2425" spans="30:30" x14ac:dyDescent="0.3">
      <c r="AD2425" s="16"/>
    </row>
    <row r="2426" spans="30:30" x14ac:dyDescent="0.3">
      <c r="AD2426" s="16"/>
    </row>
    <row r="2427" spans="30:30" x14ac:dyDescent="0.3">
      <c r="AD2427" s="16"/>
    </row>
    <row r="2428" spans="30:30" x14ac:dyDescent="0.3">
      <c r="AD2428" s="16"/>
    </row>
    <row r="2429" spans="30:30" x14ac:dyDescent="0.3">
      <c r="AD2429" s="16"/>
    </row>
    <row r="2430" spans="30:30" x14ac:dyDescent="0.3">
      <c r="AD2430" s="16"/>
    </row>
    <row r="2431" spans="30:30" x14ac:dyDescent="0.3">
      <c r="AD2431" s="16"/>
    </row>
    <row r="2432" spans="30:30" x14ac:dyDescent="0.3">
      <c r="AD2432" s="16"/>
    </row>
    <row r="2433" spans="30:30" x14ac:dyDescent="0.3">
      <c r="AD2433" s="16"/>
    </row>
    <row r="2434" spans="30:30" x14ac:dyDescent="0.3">
      <c r="AD2434" s="16"/>
    </row>
    <row r="2435" spans="30:30" x14ac:dyDescent="0.3">
      <c r="AD2435" s="16"/>
    </row>
    <row r="2436" spans="30:30" x14ac:dyDescent="0.3">
      <c r="AD2436" s="16"/>
    </row>
    <row r="2437" spans="30:30" x14ac:dyDescent="0.3">
      <c r="AD2437" s="16"/>
    </row>
    <row r="2438" spans="30:30" x14ac:dyDescent="0.3">
      <c r="AD2438" s="16"/>
    </row>
    <row r="2439" spans="30:30" x14ac:dyDescent="0.3">
      <c r="AD2439" s="16"/>
    </row>
    <row r="2440" spans="30:30" x14ac:dyDescent="0.3">
      <c r="AD2440" s="16"/>
    </row>
    <row r="2441" spans="30:30" x14ac:dyDescent="0.3">
      <c r="AD2441" s="16"/>
    </row>
    <row r="2442" spans="30:30" x14ac:dyDescent="0.3">
      <c r="AD2442" s="16"/>
    </row>
    <row r="2443" spans="30:30" x14ac:dyDescent="0.3">
      <c r="AD2443" s="16"/>
    </row>
    <row r="2444" spans="30:30" x14ac:dyDescent="0.3">
      <c r="AD2444" s="16"/>
    </row>
    <row r="2445" spans="30:30" x14ac:dyDescent="0.3">
      <c r="AD2445" s="16"/>
    </row>
    <row r="2446" spans="30:30" x14ac:dyDescent="0.3">
      <c r="AD2446" s="16"/>
    </row>
    <row r="2447" spans="30:30" x14ac:dyDescent="0.3">
      <c r="AD2447" s="16"/>
    </row>
    <row r="2448" spans="30:30" x14ac:dyDescent="0.3">
      <c r="AD2448" s="16"/>
    </row>
    <row r="2449" spans="30:30" x14ac:dyDescent="0.3">
      <c r="AD2449" s="16"/>
    </row>
    <row r="2450" spans="30:30" x14ac:dyDescent="0.3">
      <c r="AD2450" s="16"/>
    </row>
    <row r="2451" spans="30:30" x14ac:dyDescent="0.3">
      <c r="AD2451" s="16"/>
    </row>
    <row r="2452" spans="30:30" x14ac:dyDescent="0.3">
      <c r="AD2452" s="16"/>
    </row>
    <row r="2453" spans="30:30" x14ac:dyDescent="0.3">
      <c r="AD2453" s="16"/>
    </row>
    <row r="2454" spans="30:30" x14ac:dyDescent="0.3">
      <c r="AD2454" s="16"/>
    </row>
    <row r="2455" spans="30:30" x14ac:dyDescent="0.3">
      <c r="AD2455" s="16"/>
    </row>
    <row r="2456" spans="30:30" x14ac:dyDescent="0.3">
      <c r="AD2456" s="16"/>
    </row>
    <row r="2457" spans="30:30" x14ac:dyDescent="0.3">
      <c r="AD2457" s="16"/>
    </row>
    <row r="2458" spans="30:30" x14ac:dyDescent="0.3">
      <c r="AD2458" s="16"/>
    </row>
    <row r="2459" spans="30:30" x14ac:dyDescent="0.3">
      <c r="AD2459" s="16"/>
    </row>
    <row r="2460" spans="30:30" x14ac:dyDescent="0.3">
      <c r="AD2460" s="16"/>
    </row>
    <row r="2461" spans="30:30" x14ac:dyDescent="0.3">
      <c r="AD2461" s="16"/>
    </row>
    <row r="2462" spans="30:30" x14ac:dyDescent="0.3">
      <c r="AD2462" s="16"/>
    </row>
    <row r="2463" spans="30:30" x14ac:dyDescent="0.3">
      <c r="AD2463" s="16"/>
    </row>
    <row r="2464" spans="30:30" x14ac:dyDescent="0.3">
      <c r="AD2464" s="16"/>
    </row>
    <row r="2465" spans="30:30" x14ac:dyDescent="0.3">
      <c r="AD2465" s="16"/>
    </row>
    <row r="2466" spans="30:30" x14ac:dyDescent="0.3">
      <c r="AD2466" s="16"/>
    </row>
    <row r="2467" spans="30:30" x14ac:dyDescent="0.3">
      <c r="AD2467" s="16"/>
    </row>
    <row r="2468" spans="30:30" x14ac:dyDescent="0.3">
      <c r="AD2468" s="16"/>
    </row>
    <row r="2469" spans="30:30" x14ac:dyDescent="0.3">
      <c r="AD2469" s="16"/>
    </row>
    <row r="2470" spans="30:30" x14ac:dyDescent="0.3">
      <c r="AD2470" s="16"/>
    </row>
    <row r="2471" spans="30:30" x14ac:dyDescent="0.3">
      <c r="AD2471" s="16"/>
    </row>
    <row r="2472" spans="30:30" x14ac:dyDescent="0.3">
      <c r="AD2472" s="16"/>
    </row>
    <row r="2473" spans="30:30" x14ac:dyDescent="0.3">
      <c r="AD2473" s="16"/>
    </row>
    <row r="2474" spans="30:30" x14ac:dyDescent="0.3">
      <c r="AD2474" s="16"/>
    </row>
    <row r="2475" spans="30:30" x14ac:dyDescent="0.3">
      <c r="AD2475" s="16"/>
    </row>
    <row r="2476" spans="30:30" x14ac:dyDescent="0.3">
      <c r="AD2476" s="16"/>
    </row>
    <row r="2477" spans="30:30" x14ac:dyDescent="0.3">
      <c r="AD2477" s="16"/>
    </row>
    <row r="2478" spans="30:30" x14ac:dyDescent="0.3">
      <c r="AD2478" s="16"/>
    </row>
    <row r="2479" spans="30:30" x14ac:dyDescent="0.3">
      <c r="AD2479" s="16"/>
    </row>
    <row r="2480" spans="30:30" x14ac:dyDescent="0.3">
      <c r="AD2480" s="16"/>
    </row>
    <row r="2481" spans="30:30" x14ac:dyDescent="0.3">
      <c r="AD2481" s="16"/>
    </row>
    <row r="2482" spans="30:30" x14ac:dyDescent="0.3">
      <c r="AD2482" s="16"/>
    </row>
    <row r="2483" spans="30:30" x14ac:dyDescent="0.3">
      <c r="AD2483" s="16"/>
    </row>
    <row r="2484" spans="30:30" x14ac:dyDescent="0.3">
      <c r="AD2484" s="16"/>
    </row>
    <row r="2485" spans="30:30" x14ac:dyDescent="0.3">
      <c r="AD2485" s="16"/>
    </row>
    <row r="2486" spans="30:30" x14ac:dyDescent="0.3">
      <c r="AD2486" s="16"/>
    </row>
    <row r="2487" spans="30:30" x14ac:dyDescent="0.3">
      <c r="AD2487" s="16"/>
    </row>
    <row r="2488" spans="30:30" x14ac:dyDescent="0.3">
      <c r="AD2488" s="16"/>
    </row>
    <row r="2489" spans="30:30" x14ac:dyDescent="0.3">
      <c r="AD2489" s="16"/>
    </row>
    <row r="2490" spans="30:30" x14ac:dyDescent="0.3">
      <c r="AD2490" s="16"/>
    </row>
    <row r="2491" spans="30:30" x14ac:dyDescent="0.3">
      <c r="AD2491" s="16"/>
    </row>
    <row r="2492" spans="30:30" x14ac:dyDescent="0.3">
      <c r="AD2492" s="16"/>
    </row>
    <row r="2493" spans="30:30" x14ac:dyDescent="0.3">
      <c r="AD2493" s="16"/>
    </row>
    <row r="2494" spans="30:30" x14ac:dyDescent="0.3">
      <c r="AD2494" s="16"/>
    </row>
    <row r="2495" spans="30:30" x14ac:dyDescent="0.3">
      <c r="AD2495" s="16"/>
    </row>
    <row r="2496" spans="30:30" x14ac:dyDescent="0.3">
      <c r="AD2496" s="16"/>
    </row>
    <row r="2497" spans="30:30" x14ac:dyDescent="0.3">
      <c r="AD2497" s="16"/>
    </row>
    <row r="2498" spans="30:30" x14ac:dyDescent="0.3">
      <c r="AD2498" s="16"/>
    </row>
    <row r="2499" spans="30:30" x14ac:dyDescent="0.3">
      <c r="AD2499" s="16"/>
    </row>
    <row r="2500" spans="30:30" x14ac:dyDescent="0.3">
      <c r="AD2500" s="16"/>
    </row>
    <row r="2501" spans="30:30" x14ac:dyDescent="0.3">
      <c r="AD2501" s="16"/>
    </row>
    <row r="2502" spans="30:30" x14ac:dyDescent="0.3">
      <c r="AD2502" s="16"/>
    </row>
    <row r="2503" spans="30:30" x14ac:dyDescent="0.3">
      <c r="AD2503" s="16"/>
    </row>
    <row r="2504" spans="30:30" x14ac:dyDescent="0.3">
      <c r="AD2504" s="16"/>
    </row>
    <row r="2505" spans="30:30" x14ac:dyDescent="0.3">
      <c r="AD2505" s="16"/>
    </row>
    <row r="2506" spans="30:30" x14ac:dyDescent="0.3">
      <c r="AD2506" s="16"/>
    </row>
    <row r="2507" spans="30:30" x14ac:dyDescent="0.3">
      <c r="AD2507" s="16"/>
    </row>
    <row r="2508" spans="30:30" x14ac:dyDescent="0.3">
      <c r="AD2508" s="16"/>
    </row>
    <row r="2509" spans="30:30" x14ac:dyDescent="0.3">
      <c r="AD2509" s="16"/>
    </row>
    <row r="2510" spans="30:30" x14ac:dyDescent="0.3">
      <c r="AD2510" s="16"/>
    </row>
    <row r="2511" spans="30:30" x14ac:dyDescent="0.3">
      <c r="AD2511" s="16"/>
    </row>
    <row r="2512" spans="30:30" x14ac:dyDescent="0.3">
      <c r="AD2512" s="16"/>
    </row>
    <row r="2513" spans="30:30" x14ac:dyDescent="0.3">
      <c r="AD2513" s="16"/>
    </row>
    <row r="2514" spans="30:30" x14ac:dyDescent="0.3">
      <c r="AD2514" s="16"/>
    </row>
    <row r="2515" spans="30:30" x14ac:dyDescent="0.3">
      <c r="AD2515" s="16"/>
    </row>
    <row r="2516" spans="30:30" x14ac:dyDescent="0.3">
      <c r="AD2516" s="16"/>
    </row>
    <row r="2517" spans="30:30" x14ac:dyDescent="0.3">
      <c r="AD2517" s="16"/>
    </row>
    <row r="2518" spans="30:30" x14ac:dyDescent="0.3">
      <c r="AD2518" s="16"/>
    </row>
    <row r="2519" spans="30:30" x14ac:dyDescent="0.3">
      <c r="AD2519" s="16"/>
    </row>
    <row r="2520" spans="30:30" x14ac:dyDescent="0.3">
      <c r="AD2520" s="16"/>
    </row>
    <row r="2521" spans="30:30" x14ac:dyDescent="0.3">
      <c r="AD2521" s="16"/>
    </row>
    <row r="2522" spans="30:30" x14ac:dyDescent="0.3">
      <c r="AD2522" s="16"/>
    </row>
    <row r="2523" spans="30:30" x14ac:dyDescent="0.3">
      <c r="AD2523" s="16"/>
    </row>
    <row r="2524" spans="30:30" x14ac:dyDescent="0.3">
      <c r="AD2524" s="16"/>
    </row>
    <row r="2525" spans="30:30" x14ac:dyDescent="0.3">
      <c r="AD2525" s="16"/>
    </row>
    <row r="2526" spans="30:30" x14ac:dyDescent="0.3">
      <c r="AD2526" s="16"/>
    </row>
    <row r="2527" spans="30:30" x14ac:dyDescent="0.3">
      <c r="AD2527" s="16"/>
    </row>
    <row r="2528" spans="30:30" x14ac:dyDescent="0.3">
      <c r="AD2528" s="16"/>
    </row>
    <row r="2529" spans="30:30" x14ac:dyDescent="0.3">
      <c r="AD2529" s="16"/>
    </row>
    <row r="2530" spans="30:30" x14ac:dyDescent="0.3">
      <c r="AD2530" s="16"/>
    </row>
    <row r="2531" spans="30:30" x14ac:dyDescent="0.3">
      <c r="AD2531" s="16"/>
    </row>
    <row r="2532" spans="30:30" x14ac:dyDescent="0.3">
      <c r="AD2532" s="16"/>
    </row>
    <row r="2533" spans="30:30" x14ac:dyDescent="0.3">
      <c r="AD2533" s="16"/>
    </row>
    <row r="2534" spans="30:30" x14ac:dyDescent="0.3">
      <c r="AD2534" s="16"/>
    </row>
    <row r="2535" spans="30:30" x14ac:dyDescent="0.3">
      <c r="AD2535" s="16"/>
    </row>
    <row r="2536" spans="30:30" x14ac:dyDescent="0.3">
      <c r="AD2536" s="16"/>
    </row>
    <row r="2537" spans="30:30" x14ac:dyDescent="0.3">
      <c r="AD2537" s="16"/>
    </row>
    <row r="2538" spans="30:30" x14ac:dyDescent="0.3">
      <c r="AD2538" s="16"/>
    </row>
    <row r="2539" spans="30:30" x14ac:dyDescent="0.3">
      <c r="AD2539" s="16"/>
    </row>
    <row r="2540" spans="30:30" x14ac:dyDescent="0.3">
      <c r="AD2540" s="16"/>
    </row>
    <row r="2541" spans="30:30" x14ac:dyDescent="0.3">
      <c r="AD2541" s="16"/>
    </row>
    <row r="2542" spans="30:30" x14ac:dyDescent="0.3">
      <c r="AD2542" s="16"/>
    </row>
    <row r="2543" spans="30:30" x14ac:dyDescent="0.3">
      <c r="AD2543" s="16"/>
    </row>
    <row r="2544" spans="30:30" x14ac:dyDescent="0.3">
      <c r="AD2544" s="16"/>
    </row>
    <row r="2545" spans="30:30" x14ac:dyDescent="0.3">
      <c r="AD2545" s="16"/>
    </row>
    <row r="2546" spans="30:30" x14ac:dyDescent="0.3">
      <c r="AD2546" s="16"/>
    </row>
    <row r="2547" spans="30:30" x14ac:dyDescent="0.3">
      <c r="AD2547" s="16"/>
    </row>
    <row r="2548" spans="30:30" x14ac:dyDescent="0.3">
      <c r="AD2548" s="16"/>
    </row>
    <row r="2549" spans="30:30" x14ac:dyDescent="0.3">
      <c r="AD2549" s="16"/>
    </row>
    <row r="2550" spans="30:30" x14ac:dyDescent="0.3">
      <c r="AD2550" s="16"/>
    </row>
    <row r="2551" spans="30:30" x14ac:dyDescent="0.3">
      <c r="AD2551" s="16"/>
    </row>
    <row r="2552" spans="30:30" x14ac:dyDescent="0.3">
      <c r="AD2552" s="16"/>
    </row>
    <row r="2553" spans="30:30" x14ac:dyDescent="0.3">
      <c r="AD2553" s="16"/>
    </row>
    <row r="2554" spans="30:30" x14ac:dyDescent="0.3">
      <c r="AD2554" s="16"/>
    </row>
    <row r="2555" spans="30:30" x14ac:dyDescent="0.3">
      <c r="AD2555" s="16"/>
    </row>
    <row r="2556" spans="30:30" x14ac:dyDescent="0.3">
      <c r="AD2556" s="16"/>
    </row>
    <row r="2557" spans="30:30" x14ac:dyDescent="0.3">
      <c r="AD2557" s="16"/>
    </row>
    <row r="2558" spans="30:30" x14ac:dyDescent="0.3">
      <c r="AD2558" s="16"/>
    </row>
    <row r="2559" spans="30:30" x14ac:dyDescent="0.3">
      <c r="AD2559" s="16"/>
    </row>
    <row r="2560" spans="30:30" x14ac:dyDescent="0.3">
      <c r="AD2560" s="16"/>
    </row>
    <row r="2561" spans="30:30" x14ac:dyDescent="0.3">
      <c r="AD2561" s="16"/>
    </row>
    <row r="2562" spans="30:30" x14ac:dyDescent="0.3">
      <c r="AD2562" s="16"/>
    </row>
    <row r="2563" spans="30:30" x14ac:dyDescent="0.3">
      <c r="AD2563" s="16"/>
    </row>
    <row r="2564" spans="30:30" x14ac:dyDescent="0.3">
      <c r="AD2564" s="16"/>
    </row>
    <row r="2565" spans="30:30" x14ac:dyDescent="0.3">
      <c r="AD2565" s="16"/>
    </row>
    <row r="2566" spans="30:30" x14ac:dyDescent="0.3">
      <c r="AD2566" s="16"/>
    </row>
    <row r="2567" spans="30:30" x14ac:dyDescent="0.3">
      <c r="AD2567" s="16"/>
    </row>
    <row r="2568" spans="30:30" x14ac:dyDescent="0.3">
      <c r="AD2568" s="16"/>
    </row>
    <row r="2569" spans="30:30" x14ac:dyDescent="0.3">
      <c r="AD2569" s="16"/>
    </row>
    <row r="2570" spans="30:30" x14ac:dyDescent="0.3">
      <c r="AD2570" s="16"/>
    </row>
    <row r="2571" spans="30:30" x14ac:dyDescent="0.3">
      <c r="AD2571" s="16"/>
    </row>
    <row r="2572" spans="30:30" x14ac:dyDescent="0.3">
      <c r="AD2572" s="16"/>
    </row>
    <row r="2573" spans="30:30" x14ac:dyDescent="0.3">
      <c r="AD2573" s="16"/>
    </row>
    <row r="2574" spans="30:30" x14ac:dyDescent="0.3">
      <c r="AD2574" s="16"/>
    </row>
    <row r="2575" spans="30:30" x14ac:dyDescent="0.3">
      <c r="AD2575" s="16"/>
    </row>
    <row r="2576" spans="30:30" x14ac:dyDescent="0.3">
      <c r="AD2576" s="16"/>
    </row>
    <row r="2577" spans="30:30" x14ac:dyDescent="0.3">
      <c r="AD2577" s="16"/>
    </row>
    <row r="2578" spans="30:30" x14ac:dyDescent="0.3">
      <c r="AD2578" s="16"/>
    </row>
    <row r="2579" spans="30:30" x14ac:dyDescent="0.3">
      <c r="AD2579" s="16"/>
    </row>
    <row r="2580" spans="30:30" x14ac:dyDescent="0.3">
      <c r="AD2580" s="16"/>
    </row>
    <row r="2581" spans="30:30" x14ac:dyDescent="0.3">
      <c r="AD2581" s="16"/>
    </row>
    <row r="2582" spans="30:30" x14ac:dyDescent="0.3">
      <c r="AD2582" s="16"/>
    </row>
    <row r="2583" spans="30:30" x14ac:dyDescent="0.3">
      <c r="AD2583" s="16"/>
    </row>
    <row r="2584" spans="30:30" x14ac:dyDescent="0.3">
      <c r="AD2584" s="16"/>
    </row>
    <row r="2585" spans="30:30" x14ac:dyDescent="0.3">
      <c r="AD2585" s="16"/>
    </row>
    <row r="2586" spans="30:30" x14ac:dyDescent="0.3">
      <c r="AD2586" s="16"/>
    </row>
    <row r="2587" spans="30:30" x14ac:dyDescent="0.3">
      <c r="AD2587" s="16"/>
    </row>
    <row r="2588" spans="30:30" x14ac:dyDescent="0.3">
      <c r="AD2588" s="16"/>
    </row>
    <row r="2589" spans="30:30" x14ac:dyDescent="0.3">
      <c r="AD2589" s="16"/>
    </row>
    <row r="2590" spans="30:30" x14ac:dyDescent="0.3">
      <c r="AD2590" s="16"/>
    </row>
    <row r="2591" spans="30:30" x14ac:dyDescent="0.3">
      <c r="AD2591" s="16"/>
    </row>
    <row r="2592" spans="30:30" x14ac:dyDescent="0.3">
      <c r="AD2592" s="16"/>
    </row>
    <row r="2593" spans="30:30" x14ac:dyDescent="0.3">
      <c r="AD2593" s="16"/>
    </row>
    <row r="2594" spans="30:30" x14ac:dyDescent="0.3">
      <c r="AD2594" s="16"/>
    </row>
    <row r="2595" spans="30:30" x14ac:dyDescent="0.3">
      <c r="AD2595" s="16"/>
    </row>
    <row r="2596" spans="30:30" x14ac:dyDescent="0.3">
      <c r="AD2596" s="16"/>
    </row>
    <row r="2597" spans="30:30" x14ac:dyDescent="0.3">
      <c r="AD2597" s="16"/>
    </row>
    <row r="2598" spans="30:30" x14ac:dyDescent="0.3">
      <c r="AD2598" s="16"/>
    </row>
    <row r="2599" spans="30:30" x14ac:dyDescent="0.3">
      <c r="AD2599" s="16"/>
    </row>
    <row r="2600" spans="30:30" x14ac:dyDescent="0.3">
      <c r="AD2600" s="16"/>
    </row>
    <row r="2601" spans="30:30" x14ac:dyDescent="0.3">
      <c r="AD2601" s="16"/>
    </row>
    <row r="2602" spans="30:30" x14ac:dyDescent="0.3">
      <c r="AD2602" s="16"/>
    </row>
    <row r="2603" spans="30:30" x14ac:dyDescent="0.3">
      <c r="AD2603" s="16"/>
    </row>
    <row r="2604" spans="30:30" x14ac:dyDescent="0.3">
      <c r="AD2604" s="16"/>
    </row>
    <row r="2605" spans="30:30" x14ac:dyDescent="0.3">
      <c r="AD2605" s="16"/>
    </row>
    <row r="2606" spans="30:30" x14ac:dyDescent="0.3">
      <c r="AD2606" s="16"/>
    </row>
    <row r="2607" spans="30:30" x14ac:dyDescent="0.3">
      <c r="AD2607" s="16"/>
    </row>
    <row r="2608" spans="30:30" x14ac:dyDescent="0.3">
      <c r="AD2608" s="16"/>
    </row>
    <row r="2609" spans="30:30" x14ac:dyDescent="0.3">
      <c r="AD2609" s="16"/>
    </row>
    <row r="2610" spans="30:30" x14ac:dyDescent="0.3">
      <c r="AD2610" s="16"/>
    </row>
    <row r="2611" spans="30:30" x14ac:dyDescent="0.3">
      <c r="AD2611" s="16"/>
    </row>
    <row r="2612" spans="30:30" x14ac:dyDescent="0.3">
      <c r="AD2612" s="16"/>
    </row>
    <row r="2613" spans="30:30" x14ac:dyDescent="0.3">
      <c r="AD2613" s="16"/>
    </row>
    <row r="2614" spans="30:30" x14ac:dyDescent="0.3">
      <c r="AD2614" s="16"/>
    </row>
    <row r="2615" spans="30:30" x14ac:dyDescent="0.3">
      <c r="AD2615" s="16"/>
    </row>
    <row r="2616" spans="30:30" x14ac:dyDescent="0.3">
      <c r="AD2616" s="16"/>
    </row>
    <row r="2617" spans="30:30" x14ac:dyDescent="0.3">
      <c r="AD2617" s="16"/>
    </row>
    <row r="2618" spans="30:30" x14ac:dyDescent="0.3">
      <c r="AD2618" s="16"/>
    </row>
    <row r="2619" spans="30:30" x14ac:dyDescent="0.3">
      <c r="AD2619" s="16"/>
    </row>
    <row r="2620" spans="30:30" x14ac:dyDescent="0.3">
      <c r="AD2620" s="16"/>
    </row>
    <row r="2621" spans="30:30" x14ac:dyDescent="0.3">
      <c r="AD2621" s="16"/>
    </row>
    <row r="2622" spans="30:30" x14ac:dyDescent="0.3">
      <c r="AD2622" s="16"/>
    </row>
    <row r="2623" spans="30:30" x14ac:dyDescent="0.3">
      <c r="AD2623" s="16"/>
    </row>
    <row r="2624" spans="30:30" x14ac:dyDescent="0.3">
      <c r="AD2624" s="16"/>
    </row>
    <row r="2625" spans="30:30" x14ac:dyDescent="0.3">
      <c r="AD2625" s="16"/>
    </row>
    <row r="2626" spans="30:30" x14ac:dyDescent="0.3">
      <c r="AD2626" s="16"/>
    </row>
    <row r="2627" spans="30:30" x14ac:dyDescent="0.3">
      <c r="AD2627" s="16"/>
    </row>
    <row r="2628" spans="30:30" x14ac:dyDescent="0.3">
      <c r="AD2628" s="16"/>
    </row>
    <row r="2629" spans="30:30" x14ac:dyDescent="0.3">
      <c r="AD2629" s="16"/>
    </row>
    <row r="2630" spans="30:30" x14ac:dyDescent="0.3">
      <c r="AD2630" s="16"/>
    </row>
    <row r="2631" spans="30:30" x14ac:dyDescent="0.3">
      <c r="AD2631" s="16"/>
    </row>
    <row r="2632" spans="30:30" x14ac:dyDescent="0.3">
      <c r="AD2632" s="16"/>
    </row>
    <row r="2633" spans="30:30" x14ac:dyDescent="0.3">
      <c r="AD2633" s="16"/>
    </row>
    <row r="2634" spans="30:30" x14ac:dyDescent="0.3">
      <c r="AD2634" s="16"/>
    </row>
    <row r="2635" spans="30:30" x14ac:dyDescent="0.3">
      <c r="AD2635" s="16"/>
    </row>
    <row r="2636" spans="30:30" x14ac:dyDescent="0.3">
      <c r="AD2636" s="16"/>
    </row>
    <row r="2637" spans="30:30" x14ac:dyDescent="0.3">
      <c r="AD2637" s="16"/>
    </row>
    <row r="2638" spans="30:30" x14ac:dyDescent="0.3">
      <c r="AD2638" s="16"/>
    </row>
    <row r="2639" spans="30:30" x14ac:dyDescent="0.3">
      <c r="AD2639" s="16"/>
    </row>
    <row r="2640" spans="30:30" x14ac:dyDescent="0.3">
      <c r="AD2640" s="16"/>
    </row>
    <row r="2641" spans="30:30" x14ac:dyDescent="0.3">
      <c r="AD2641" s="16"/>
    </row>
    <row r="2642" spans="30:30" x14ac:dyDescent="0.3">
      <c r="AD2642" s="16"/>
    </row>
    <row r="2643" spans="30:30" x14ac:dyDescent="0.3">
      <c r="AD2643" s="16"/>
    </row>
    <row r="2644" spans="30:30" x14ac:dyDescent="0.3">
      <c r="AD2644" s="16"/>
    </row>
    <row r="2645" spans="30:30" x14ac:dyDescent="0.3">
      <c r="AD2645" s="16"/>
    </row>
    <row r="2646" spans="30:30" x14ac:dyDescent="0.3">
      <c r="AD2646" s="16"/>
    </row>
    <row r="2647" spans="30:30" x14ac:dyDescent="0.3">
      <c r="AD2647" s="16"/>
    </row>
    <row r="2648" spans="30:30" x14ac:dyDescent="0.3">
      <c r="AD2648" s="16"/>
    </row>
    <row r="2649" spans="30:30" x14ac:dyDescent="0.3">
      <c r="AD2649" s="16"/>
    </row>
    <row r="2650" spans="30:30" x14ac:dyDescent="0.3">
      <c r="AD2650" s="16"/>
    </row>
    <row r="2651" spans="30:30" x14ac:dyDescent="0.3">
      <c r="AD2651" s="16"/>
    </row>
    <row r="2652" spans="30:30" x14ac:dyDescent="0.3">
      <c r="AD2652" s="16"/>
    </row>
    <row r="2653" spans="30:30" x14ac:dyDescent="0.3">
      <c r="AD2653" s="16"/>
    </row>
    <row r="2654" spans="30:30" x14ac:dyDescent="0.3">
      <c r="AD2654" s="16"/>
    </row>
    <row r="2655" spans="30:30" x14ac:dyDescent="0.3">
      <c r="AD2655" s="16"/>
    </row>
    <row r="2656" spans="30:30" x14ac:dyDescent="0.3">
      <c r="AD2656" s="16"/>
    </row>
    <row r="2657" spans="30:30" x14ac:dyDescent="0.3">
      <c r="AD2657" s="16"/>
    </row>
    <row r="2658" spans="30:30" x14ac:dyDescent="0.3">
      <c r="AD2658" s="16"/>
    </row>
    <row r="2659" spans="30:30" x14ac:dyDescent="0.3">
      <c r="AD2659" s="16"/>
    </row>
    <row r="2660" spans="30:30" x14ac:dyDescent="0.3">
      <c r="AD2660" s="16"/>
    </row>
    <row r="2661" spans="30:30" x14ac:dyDescent="0.3">
      <c r="AD2661" s="16"/>
    </row>
    <row r="2662" spans="30:30" x14ac:dyDescent="0.3">
      <c r="AD2662" s="16"/>
    </row>
    <row r="2663" spans="30:30" x14ac:dyDescent="0.3">
      <c r="AD2663" s="16"/>
    </row>
    <row r="2664" spans="30:30" x14ac:dyDescent="0.3">
      <c r="AD2664" s="16"/>
    </row>
    <row r="2665" spans="30:30" x14ac:dyDescent="0.3">
      <c r="AD2665" s="16"/>
    </row>
    <row r="2666" spans="30:30" x14ac:dyDescent="0.3">
      <c r="AD2666" s="16"/>
    </row>
    <row r="2667" spans="30:30" x14ac:dyDescent="0.3">
      <c r="AD2667" s="16"/>
    </row>
    <row r="2668" spans="30:30" x14ac:dyDescent="0.3">
      <c r="AD2668" s="16"/>
    </row>
    <row r="2669" spans="30:30" x14ac:dyDescent="0.3">
      <c r="AD2669" s="16"/>
    </row>
    <row r="2670" spans="30:30" x14ac:dyDescent="0.3">
      <c r="AD2670" s="16"/>
    </row>
    <row r="2671" spans="30:30" x14ac:dyDescent="0.3">
      <c r="AD2671" s="16"/>
    </row>
    <row r="2672" spans="30:30" x14ac:dyDescent="0.3">
      <c r="AD2672" s="16"/>
    </row>
    <row r="2673" spans="30:30" x14ac:dyDescent="0.3">
      <c r="AD2673" s="16"/>
    </row>
    <row r="2674" spans="30:30" x14ac:dyDescent="0.3">
      <c r="AD2674" s="16"/>
    </row>
    <row r="2675" spans="30:30" x14ac:dyDescent="0.3">
      <c r="AD2675" s="16"/>
    </row>
    <row r="2676" spans="30:30" x14ac:dyDescent="0.3">
      <c r="AD2676" s="16"/>
    </row>
    <row r="2677" spans="30:30" x14ac:dyDescent="0.3">
      <c r="AD2677" s="16"/>
    </row>
    <row r="2678" spans="30:30" x14ac:dyDescent="0.3">
      <c r="AD2678" s="16"/>
    </row>
    <row r="2679" spans="30:30" x14ac:dyDescent="0.3">
      <c r="AD2679" s="16"/>
    </row>
    <row r="2680" spans="30:30" x14ac:dyDescent="0.3">
      <c r="AD2680" s="16"/>
    </row>
    <row r="2681" spans="30:30" x14ac:dyDescent="0.3">
      <c r="AD2681" s="16"/>
    </row>
    <row r="2682" spans="30:30" x14ac:dyDescent="0.3">
      <c r="AD2682" s="16"/>
    </row>
    <row r="2683" spans="30:30" x14ac:dyDescent="0.3">
      <c r="AD2683" s="16"/>
    </row>
    <row r="2684" spans="30:30" x14ac:dyDescent="0.3">
      <c r="AD2684" s="16"/>
    </row>
    <row r="2685" spans="30:30" x14ac:dyDescent="0.3">
      <c r="AD2685" s="16"/>
    </row>
    <row r="2686" spans="30:30" x14ac:dyDescent="0.3">
      <c r="AD2686" s="16"/>
    </row>
    <row r="2687" spans="30:30" x14ac:dyDescent="0.3">
      <c r="AD2687" s="16"/>
    </row>
    <row r="2688" spans="30:30" x14ac:dyDescent="0.3">
      <c r="AD2688" s="16"/>
    </row>
    <row r="2689" spans="30:30" x14ac:dyDescent="0.3">
      <c r="AD2689" s="16"/>
    </row>
    <row r="2690" spans="30:30" x14ac:dyDescent="0.3">
      <c r="AD2690" s="16"/>
    </row>
    <row r="2691" spans="30:30" x14ac:dyDescent="0.3">
      <c r="AD2691" s="16"/>
    </row>
    <row r="2692" spans="30:30" x14ac:dyDescent="0.3">
      <c r="AD2692" s="16"/>
    </row>
    <row r="2693" spans="30:30" x14ac:dyDescent="0.3">
      <c r="AD2693" s="16"/>
    </row>
    <row r="2694" spans="30:30" x14ac:dyDescent="0.3">
      <c r="AD2694" s="16"/>
    </row>
    <row r="2695" spans="30:30" x14ac:dyDescent="0.3">
      <c r="AD2695" s="16"/>
    </row>
    <row r="2696" spans="30:30" x14ac:dyDescent="0.3">
      <c r="AD2696" s="16"/>
    </row>
    <row r="2697" spans="30:30" x14ac:dyDescent="0.3">
      <c r="AD2697" s="16"/>
    </row>
    <row r="2698" spans="30:30" x14ac:dyDescent="0.3">
      <c r="AD2698" s="16"/>
    </row>
    <row r="2699" spans="30:30" x14ac:dyDescent="0.3">
      <c r="AD2699" s="16"/>
    </row>
    <row r="2700" spans="30:30" x14ac:dyDescent="0.3">
      <c r="AD2700" s="16"/>
    </row>
    <row r="2701" spans="30:30" x14ac:dyDescent="0.3">
      <c r="AD2701" s="16"/>
    </row>
    <row r="2702" spans="30:30" x14ac:dyDescent="0.3">
      <c r="AD2702" s="16"/>
    </row>
    <row r="2703" spans="30:30" x14ac:dyDescent="0.3">
      <c r="AD2703" s="16"/>
    </row>
    <row r="2704" spans="30:30" x14ac:dyDescent="0.3">
      <c r="AD2704" s="16"/>
    </row>
    <row r="2705" spans="30:30" x14ac:dyDescent="0.3">
      <c r="AD2705" s="16"/>
    </row>
    <row r="2706" spans="30:30" x14ac:dyDescent="0.3">
      <c r="AD2706" s="16"/>
    </row>
    <row r="2707" spans="30:30" x14ac:dyDescent="0.3">
      <c r="AD2707" s="16"/>
    </row>
    <row r="2708" spans="30:30" x14ac:dyDescent="0.3">
      <c r="AD2708" s="16"/>
    </row>
    <row r="2709" spans="30:30" x14ac:dyDescent="0.3">
      <c r="AD2709" s="16"/>
    </row>
    <row r="2710" spans="30:30" x14ac:dyDescent="0.3">
      <c r="AD2710" s="16"/>
    </row>
    <row r="2711" spans="30:30" x14ac:dyDescent="0.3">
      <c r="AD2711" s="16"/>
    </row>
    <row r="2712" spans="30:30" x14ac:dyDescent="0.3">
      <c r="AD2712" s="16"/>
    </row>
    <row r="2713" spans="30:30" x14ac:dyDescent="0.3">
      <c r="AD2713" s="16"/>
    </row>
    <row r="2714" spans="30:30" x14ac:dyDescent="0.3">
      <c r="AD2714" s="16"/>
    </row>
    <row r="2715" spans="30:30" x14ac:dyDescent="0.3">
      <c r="AD2715" s="16"/>
    </row>
    <row r="2716" spans="30:30" x14ac:dyDescent="0.3">
      <c r="AD2716" s="16"/>
    </row>
    <row r="2717" spans="30:30" x14ac:dyDescent="0.3">
      <c r="AD2717" s="16"/>
    </row>
    <row r="2718" spans="30:30" x14ac:dyDescent="0.3">
      <c r="AD2718" s="16"/>
    </row>
    <row r="2719" spans="30:30" x14ac:dyDescent="0.3">
      <c r="AD2719" s="16"/>
    </row>
    <row r="2720" spans="30:30" x14ac:dyDescent="0.3">
      <c r="AD2720" s="16"/>
    </row>
    <row r="2721" spans="30:30" x14ac:dyDescent="0.3">
      <c r="AD2721" s="16"/>
    </row>
    <row r="2722" spans="30:30" x14ac:dyDescent="0.3">
      <c r="AD2722" s="16"/>
    </row>
    <row r="2723" spans="30:30" x14ac:dyDescent="0.3">
      <c r="AD2723" s="16"/>
    </row>
    <row r="2724" spans="30:30" x14ac:dyDescent="0.3">
      <c r="AD2724" s="16"/>
    </row>
    <row r="2725" spans="30:30" x14ac:dyDescent="0.3">
      <c r="AD2725" s="16"/>
    </row>
    <row r="2726" spans="30:30" x14ac:dyDescent="0.3">
      <c r="AD2726" s="16"/>
    </row>
    <row r="2727" spans="30:30" x14ac:dyDescent="0.3">
      <c r="AD2727" s="16"/>
    </row>
    <row r="2728" spans="30:30" x14ac:dyDescent="0.3">
      <c r="AD2728" s="16"/>
    </row>
    <row r="2729" spans="30:30" x14ac:dyDescent="0.3">
      <c r="AD2729" s="16"/>
    </row>
    <row r="2730" spans="30:30" x14ac:dyDescent="0.3">
      <c r="AD2730" s="16"/>
    </row>
    <row r="2731" spans="30:30" x14ac:dyDescent="0.3">
      <c r="AD2731" s="16"/>
    </row>
    <row r="2732" spans="30:30" x14ac:dyDescent="0.3">
      <c r="AD2732" s="16"/>
    </row>
    <row r="2733" spans="30:30" x14ac:dyDescent="0.3">
      <c r="AD2733" s="16"/>
    </row>
    <row r="2734" spans="30:30" x14ac:dyDescent="0.3">
      <c r="AD2734" s="16"/>
    </row>
    <row r="2735" spans="30:30" x14ac:dyDescent="0.3">
      <c r="AD2735" s="16"/>
    </row>
    <row r="2736" spans="30:30" x14ac:dyDescent="0.3">
      <c r="AD2736" s="16"/>
    </row>
    <row r="2737" spans="30:30" x14ac:dyDescent="0.3">
      <c r="AD2737" s="16"/>
    </row>
    <row r="2738" spans="30:30" x14ac:dyDescent="0.3">
      <c r="AD2738" s="16"/>
    </row>
    <row r="2739" spans="30:30" x14ac:dyDescent="0.3">
      <c r="AD2739" s="16"/>
    </row>
    <row r="2740" spans="30:30" x14ac:dyDescent="0.3">
      <c r="AD2740" s="16"/>
    </row>
    <row r="2741" spans="30:30" x14ac:dyDescent="0.3">
      <c r="AD2741" s="16"/>
    </row>
    <row r="2742" spans="30:30" x14ac:dyDescent="0.3">
      <c r="AD2742" s="16"/>
    </row>
    <row r="2743" spans="30:30" x14ac:dyDescent="0.3">
      <c r="AD2743" s="16"/>
    </row>
    <row r="2744" spans="30:30" x14ac:dyDescent="0.3">
      <c r="AD2744" s="16"/>
    </row>
    <row r="2745" spans="30:30" x14ac:dyDescent="0.3">
      <c r="AD2745" s="16"/>
    </row>
    <row r="2746" spans="30:30" x14ac:dyDescent="0.3">
      <c r="AD2746" s="16"/>
    </row>
    <row r="2747" spans="30:30" x14ac:dyDescent="0.3">
      <c r="AD2747" s="16"/>
    </row>
    <row r="2748" spans="30:30" x14ac:dyDescent="0.3">
      <c r="AD2748" s="16"/>
    </row>
    <row r="2749" spans="30:30" x14ac:dyDescent="0.3">
      <c r="AD2749" s="16"/>
    </row>
    <row r="2750" spans="30:30" x14ac:dyDescent="0.3">
      <c r="AD2750" s="16"/>
    </row>
    <row r="2751" spans="30:30" x14ac:dyDescent="0.3">
      <c r="AD2751" s="16"/>
    </row>
    <row r="2752" spans="30:30" x14ac:dyDescent="0.3">
      <c r="AD2752" s="16"/>
    </row>
    <row r="2753" spans="30:30" x14ac:dyDescent="0.3">
      <c r="AD2753" s="16"/>
    </row>
    <row r="2754" spans="30:30" x14ac:dyDescent="0.3">
      <c r="AD2754" s="16"/>
    </row>
    <row r="2755" spans="30:30" x14ac:dyDescent="0.3">
      <c r="AD2755" s="16"/>
    </row>
    <row r="2756" spans="30:30" x14ac:dyDescent="0.3">
      <c r="AD2756" s="16"/>
    </row>
    <row r="2757" spans="30:30" x14ac:dyDescent="0.3">
      <c r="AD2757" s="16"/>
    </row>
    <row r="2758" spans="30:30" x14ac:dyDescent="0.3">
      <c r="AD2758" s="16"/>
    </row>
    <row r="2759" spans="30:30" x14ac:dyDescent="0.3">
      <c r="AD2759" s="16"/>
    </row>
    <row r="2760" spans="30:30" x14ac:dyDescent="0.3">
      <c r="AD2760" s="16"/>
    </row>
    <row r="2761" spans="30:30" x14ac:dyDescent="0.3">
      <c r="AD2761" s="16"/>
    </row>
    <row r="2762" spans="30:30" x14ac:dyDescent="0.3">
      <c r="AD2762" s="16"/>
    </row>
    <row r="2763" spans="30:30" x14ac:dyDescent="0.3">
      <c r="AD2763" s="16"/>
    </row>
    <row r="2764" spans="30:30" x14ac:dyDescent="0.3">
      <c r="AD2764" s="16"/>
    </row>
    <row r="2765" spans="30:30" x14ac:dyDescent="0.3">
      <c r="AD2765" s="16"/>
    </row>
    <row r="2766" spans="30:30" x14ac:dyDescent="0.3">
      <c r="AD2766" s="16"/>
    </row>
    <row r="2767" spans="30:30" x14ac:dyDescent="0.3">
      <c r="AD2767" s="16"/>
    </row>
    <row r="2768" spans="30:30" x14ac:dyDescent="0.3">
      <c r="AD2768" s="16"/>
    </row>
    <row r="2769" spans="30:30" x14ac:dyDescent="0.3">
      <c r="AD2769" s="16"/>
    </row>
    <row r="2770" spans="30:30" x14ac:dyDescent="0.3">
      <c r="AD2770" s="16"/>
    </row>
    <row r="2771" spans="30:30" x14ac:dyDescent="0.3">
      <c r="AD2771" s="16"/>
    </row>
    <row r="2772" spans="30:30" x14ac:dyDescent="0.3">
      <c r="AD2772" s="16"/>
    </row>
    <row r="2773" spans="30:30" x14ac:dyDescent="0.3">
      <c r="AD2773" s="16"/>
    </row>
    <row r="2774" spans="30:30" x14ac:dyDescent="0.3">
      <c r="AD2774" s="16"/>
    </row>
    <row r="2775" spans="30:30" x14ac:dyDescent="0.3">
      <c r="AD2775" s="16"/>
    </row>
    <row r="2776" spans="30:30" x14ac:dyDescent="0.3">
      <c r="AD2776" s="16"/>
    </row>
    <row r="2777" spans="30:30" x14ac:dyDescent="0.3">
      <c r="AD2777" s="16"/>
    </row>
    <row r="2778" spans="30:30" x14ac:dyDescent="0.3">
      <c r="AD2778" s="16"/>
    </row>
    <row r="2779" spans="30:30" x14ac:dyDescent="0.3">
      <c r="AD2779" s="16"/>
    </row>
    <row r="2780" spans="30:30" x14ac:dyDescent="0.3">
      <c r="AD2780" s="16"/>
    </row>
    <row r="2781" spans="30:30" x14ac:dyDescent="0.3">
      <c r="AD2781" s="16"/>
    </row>
    <row r="2782" spans="30:30" x14ac:dyDescent="0.3">
      <c r="AD2782" s="16"/>
    </row>
    <row r="2783" spans="30:30" x14ac:dyDescent="0.3">
      <c r="AD2783" s="16"/>
    </row>
    <row r="2784" spans="30:30" x14ac:dyDescent="0.3">
      <c r="AD2784" s="16"/>
    </row>
    <row r="2785" spans="30:30" x14ac:dyDescent="0.3">
      <c r="AD2785" s="16"/>
    </row>
    <row r="2786" spans="30:30" x14ac:dyDescent="0.3">
      <c r="AD2786" s="16"/>
    </row>
    <row r="2787" spans="30:30" x14ac:dyDescent="0.3">
      <c r="AD2787" s="16"/>
    </row>
    <row r="2788" spans="30:30" x14ac:dyDescent="0.3">
      <c r="AD2788" s="16"/>
    </row>
    <row r="2789" spans="30:30" x14ac:dyDescent="0.3">
      <c r="AD2789" s="16"/>
    </row>
    <row r="2790" spans="30:30" x14ac:dyDescent="0.3">
      <c r="AD2790" s="16"/>
    </row>
    <row r="2791" spans="30:30" x14ac:dyDescent="0.3">
      <c r="AD2791" s="16"/>
    </row>
    <row r="2792" spans="30:30" x14ac:dyDescent="0.3">
      <c r="AD2792" s="16"/>
    </row>
    <row r="2793" spans="30:30" x14ac:dyDescent="0.3">
      <c r="AD2793" s="16"/>
    </row>
    <row r="2794" spans="30:30" x14ac:dyDescent="0.3">
      <c r="AD2794" s="16"/>
    </row>
    <row r="2795" spans="30:30" x14ac:dyDescent="0.3">
      <c r="AD2795" s="16"/>
    </row>
    <row r="2796" spans="30:30" x14ac:dyDescent="0.3">
      <c r="AD2796" s="16"/>
    </row>
    <row r="2797" spans="30:30" x14ac:dyDescent="0.3">
      <c r="AD2797" s="16"/>
    </row>
    <row r="2798" spans="30:30" x14ac:dyDescent="0.3">
      <c r="AD2798" s="16"/>
    </row>
    <row r="2799" spans="30:30" x14ac:dyDescent="0.3">
      <c r="AD2799" s="16"/>
    </row>
    <row r="2800" spans="30:30" x14ac:dyDescent="0.3">
      <c r="AD2800" s="16"/>
    </row>
    <row r="2801" spans="30:30" x14ac:dyDescent="0.3">
      <c r="AD2801" s="16"/>
    </row>
    <row r="2802" spans="30:30" x14ac:dyDescent="0.3">
      <c r="AD2802" s="16"/>
    </row>
    <row r="2803" spans="30:30" x14ac:dyDescent="0.3">
      <c r="AD2803" s="16"/>
    </row>
    <row r="2804" spans="30:30" x14ac:dyDescent="0.3">
      <c r="AD2804" s="16"/>
    </row>
    <row r="2805" spans="30:30" x14ac:dyDescent="0.3">
      <c r="AD2805" s="16"/>
    </row>
    <row r="2806" spans="30:30" x14ac:dyDescent="0.3">
      <c r="AD2806" s="16"/>
    </row>
    <row r="2807" spans="30:30" x14ac:dyDescent="0.3">
      <c r="AD2807" s="16"/>
    </row>
    <row r="2808" spans="30:30" x14ac:dyDescent="0.3">
      <c r="AD2808" s="16"/>
    </row>
    <row r="2809" spans="30:30" x14ac:dyDescent="0.3">
      <c r="AD2809" s="16"/>
    </row>
    <row r="2810" spans="30:30" x14ac:dyDescent="0.3">
      <c r="AD2810" s="16"/>
    </row>
    <row r="2811" spans="30:30" x14ac:dyDescent="0.3">
      <c r="AD2811" s="16"/>
    </row>
    <row r="2812" spans="30:30" x14ac:dyDescent="0.3">
      <c r="AD2812" s="16"/>
    </row>
    <row r="2813" spans="30:30" x14ac:dyDescent="0.3">
      <c r="AD2813" s="16"/>
    </row>
    <row r="2814" spans="30:30" x14ac:dyDescent="0.3">
      <c r="AD2814" s="16"/>
    </row>
    <row r="2815" spans="30:30" x14ac:dyDescent="0.3">
      <c r="AD2815" s="16"/>
    </row>
    <row r="2816" spans="30:30" x14ac:dyDescent="0.3">
      <c r="AD2816" s="16"/>
    </row>
    <row r="2817" spans="30:30" x14ac:dyDescent="0.3">
      <c r="AD2817" s="16"/>
    </row>
    <row r="2818" spans="30:30" x14ac:dyDescent="0.3">
      <c r="AD2818" s="16"/>
    </row>
    <row r="2819" spans="30:30" x14ac:dyDescent="0.3">
      <c r="AD2819" s="16"/>
    </row>
    <row r="2820" spans="30:30" x14ac:dyDescent="0.3">
      <c r="AD2820" s="16"/>
    </row>
    <row r="2821" spans="30:30" x14ac:dyDescent="0.3">
      <c r="AD2821" s="16"/>
    </row>
    <row r="2822" spans="30:30" x14ac:dyDescent="0.3">
      <c r="AD2822" s="16"/>
    </row>
    <row r="2823" spans="30:30" x14ac:dyDescent="0.3">
      <c r="AD2823" s="16"/>
    </row>
    <row r="2824" spans="30:30" x14ac:dyDescent="0.3">
      <c r="AD2824" s="16"/>
    </row>
    <row r="2825" spans="30:30" x14ac:dyDescent="0.3">
      <c r="AD2825" s="16"/>
    </row>
    <row r="2826" spans="30:30" x14ac:dyDescent="0.3">
      <c r="AD2826" s="16"/>
    </row>
    <row r="2827" spans="30:30" x14ac:dyDescent="0.3">
      <c r="AD2827" s="16"/>
    </row>
    <row r="2828" spans="30:30" x14ac:dyDescent="0.3">
      <c r="AD2828" s="16"/>
    </row>
    <row r="2829" spans="30:30" x14ac:dyDescent="0.3">
      <c r="AD2829" s="16"/>
    </row>
    <row r="2830" spans="30:30" x14ac:dyDescent="0.3">
      <c r="AD2830" s="16"/>
    </row>
    <row r="2831" spans="30:30" x14ac:dyDescent="0.3">
      <c r="AD2831" s="16"/>
    </row>
    <row r="2832" spans="30:30" x14ac:dyDescent="0.3">
      <c r="AD2832" s="16"/>
    </row>
    <row r="2833" spans="30:30" x14ac:dyDescent="0.3">
      <c r="AD2833" s="16"/>
    </row>
    <row r="2834" spans="30:30" x14ac:dyDescent="0.3">
      <c r="AD2834" s="16"/>
    </row>
    <row r="2835" spans="30:30" x14ac:dyDescent="0.3">
      <c r="AD2835" s="16"/>
    </row>
    <row r="2836" spans="30:30" x14ac:dyDescent="0.3">
      <c r="AD2836" s="16"/>
    </row>
    <row r="2837" spans="30:30" x14ac:dyDescent="0.3">
      <c r="AD2837" s="16"/>
    </row>
    <row r="2838" spans="30:30" x14ac:dyDescent="0.3">
      <c r="AD2838" s="16"/>
    </row>
    <row r="2839" spans="30:30" x14ac:dyDescent="0.3">
      <c r="AD2839" s="16"/>
    </row>
    <row r="2840" spans="30:30" x14ac:dyDescent="0.3">
      <c r="AD2840" s="16"/>
    </row>
    <row r="2841" spans="30:30" x14ac:dyDescent="0.3">
      <c r="AD2841" s="16"/>
    </row>
    <row r="2842" spans="30:30" x14ac:dyDescent="0.3">
      <c r="AD2842" s="16"/>
    </row>
    <row r="2843" spans="30:30" x14ac:dyDescent="0.3">
      <c r="AD2843" s="16"/>
    </row>
    <row r="2844" spans="30:30" x14ac:dyDescent="0.3">
      <c r="AD2844" s="16"/>
    </row>
    <row r="2845" spans="30:30" x14ac:dyDescent="0.3">
      <c r="AD2845" s="16"/>
    </row>
    <row r="2846" spans="30:30" x14ac:dyDescent="0.3">
      <c r="AD2846" s="16"/>
    </row>
    <row r="2847" spans="30:30" x14ac:dyDescent="0.3">
      <c r="AD2847" s="16"/>
    </row>
    <row r="2848" spans="30:30" x14ac:dyDescent="0.3">
      <c r="AD2848" s="16"/>
    </row>
    <row r="2849" spans="30:30" x14ac:dyDescent="0.3">
      <c r="AD2849" s="16"/>
    </row>
    <row r="2850" spans="30:30" x14ac:dyDescent="0.3">
      <c r="AD2850" s="16"/>
    </row>
    <row r="2851" spans="30:30" x14ac:dyDescent="0.3">
      <c r="AD2851" s="16"/>
    </row>
    <row r="2852" spans="30:30" x14ac:dyDescent="0.3">
      <c r="AD2852" s="16"/>
    </row>
    <row r="2853" spans="30:30" x14ac:dyDescent="0.3">
      <c r="AD2853" s="16"/>
    </row>
    <row r="2854" spans="30:30" x14ac:dyDescent="0.3">
      <c r="AD2854" s="16"/>
    </row>
    <row r="2855" spans="30:30" x14ac:dyDescent="0.3">
      <c r="AD2855" s="16"/>
    </row>
    <row r="2856" spans="30:30" x14ac:dyDescent="0.3">
      <c r="AD2856" s="16"/>
    </row>
    <row r="2857" spans="30:30" x14ac:dyDescent="0.3">
      <c r="AD2857" s="16"/>
    </row>
    <row r="2858" spans="30:30" x14ac:dyDescent="0.3">
      <c r="AD2858" s="16"/>
    </row>
    <row r="2859" spans="30:30" x14ac:dyDescent="0.3">
      <c r="AD2859" s="16"/>
    </row>
    <row r="2860" spans="30:30" x14ac:dyDescent="0.3">
      <c r="AD2860" s="16"/>
    </row>
    <row r="2861" spans="30:30" x14ac:dyDescent="0.3">
      <c r="AD2861" s="16"/>
    </row>
    <row r="2862" spans="30:30" x14ac:dyDescent="0.3">
      <c r="AD2862" s="16"/>
    </row>
    <row r="2863" spans="30:30" x14ac:dyDescent="0.3">
      <c r="AD2863" s="16"/>
    </row>
    <row r="2864" spans="30:30" x14ac:dyDescent="0.3">
      <c r="AD2864" s="16"/>
    </row>
    <row r="2865" spans="30:30" x14ac:dyDescent="0.3">
      <c r="AD2865" s="16"/>
    </row>
    <row r="2866" spans="30:30" x14ac:dyDescent="0.3">
      <c r="AD2866" s="16"/>
    </row>
    <row r="2867" spans="30:30" x14ac:dyDescent="0.3">
      <c r="AD2867" s="16"/>
    </row>
    <row r="2868" spans="30:30" x14ac:dyDescent="0.3">
      <c r="AD2868" s="16"/>
    </row>
    <row r="2869" spans="30:30" x14ac:dyDescent="0.3">
      <c r="AD2869" s="16"/>
    </row>
    <row r="2870" spans="30:30" x14ac:dyDescent="0.3">
      <c r="AD2870" s="16"/>
    </row>
    <row r="2871" spans="30:30" x14ac:dyDescent="0.3">
      <c r="AD2871" s="16"/>
    </row>
    <row r="2872" spans="30:30" x14ac:dyDescent="0.3">
      <c r="AD2872" s="16"/>
    </row>
    <row r="2873" spans="30:30" x14ac:dyDescent="0.3">
      <c r="AD2873" s="16"/>
    </row>
    <row r="2874" spans="30:30" x14ac:dyDescent="0.3">
      <c r="AD2874" s="16"/>
    </row>
    <row r="2875" spans="30:30" x14ac:dyDescent="0.3">
      <c r="AD2875" s="16"/>
    </row>
    <row r="2876" spans="30:30" x14ac:dyDescent="0.3">
      <c r="AD2876" s="16"/>
    </row>
    <row r="2877" spans="30:30" x14ac:dyDescent="0.3">
      <c r="AD2877" s="16"/>
    </row>
    <row r="2878" spans="30:30" x14ac:dyDescent="0.3">
      <c r="AD2878" s="16"/>
    </row>
    <row r="2879" spans="30:30" x14ac:dyDescent="0.3">
      <c r="AD2879" s="16"/>
    </row>
    <row r="2880" spans="30:30" x14ac:dyDescent="0.3">
      <c r="AD2880" s="16"/>
    </row>
    <row r="2881" spans="30:30" x14ac:dyDescent="0.3">
      <c r="AD2881" s="16"/>
    </row>
    <row r="2882" spans="30:30" x14ac:dyDescent="0.3">
      <c r="AD2882" s="16"/>
    </row>
    <row r="2883" spans="30:30" x14ac:dyDescent="0.3">
      <c r="AD2883" s="16"/>
    </row>
    <row r="2884" spans="30:30" x14ac:dyDescent="0.3">
      <c r="AD2884" s="16"/>
    </row>
    <row r="2885" spans="30:30" x14ac:dyDescent="0.3">
      <c r="AD2885" s="16"/>
    </row>
    <row r="2886" spans="30:30" x14ac:dyDescent="0.3">
      <c r="AD2886" s="16"/>
    </row>
    <row r="2887" spans="30:30" x14ac:dyDescent="0.3">
      <c r="AD2887" s="16"/>
    </row>
    <row r="2888" spans="30:30" x14ac:dyDescent="0.3">
      <c r="AD2888" s="16"/>
    </row>
    <row r="2889" spans="30:30" x14ac:dyDescent="0.3">
      <c r="AD2889" s="16"/>
    </row>
    <row r="2890" spans="30:30" x14ac:dyDescent="0.3">
      <c r="AD2890" s="16"/>
    </row>
    <row r="2891" spans="30:30" x14ac:dyDescent="0.3">
      <c r="AD2891" s="16"/>
    </row>
    <row r="2892" spans="30:30" x14ac:dyDescent="0.3">
      <c r="AD2892" s="16"/>
    </row>
    <row r="2893" spans="30:30" x14ac:dyDescent="0.3">
      <c r="AD2893" s="16"/>
    </row>
    <row r="2894" spans="30:30" x14ac:dyDescent="0.3">
      <c r="AD2894" s="16"/>
    </row>
    <row r="2895" spans="30:30" x14ac:dyDescent="0.3">
      <c r="AD2895" s="16"/>
    </row>
    <row r="2896" spans="30:30" x14ac:dyDescent="0.3">
      <c r="AD2896" s="16"/>
    </row>
    <row r="2897" spans="30:30" x14ac:dyDescent="0.3">
      <c r="AD2897" s="16"/>
    </row>
    <row r="2898" spans="30:30" x14ac:dyDescent="0.3">
      <c r="AD2898" s="16"/>
    </row>
    <row r="2899" spans="30:30" x14ac:dyDescent="0.3">
      <c r="AD2899" s="16"/>
    </row>
    <row r="2900" spans="30:30" x14ac:dyDescent="0.3">
      <c r="AD2900" s="16"/>
    </row>
    <row r="2901" spans="30:30" x14ac:dyDescent="0.3">
      <c r="AD2901" s="16"/>
    </row>
    <row r="2902" spans="30:30" x14ac:dyDescent="0.3">
      <c r="AD2902" s="16"/>
    </row>
    <row r="2903" spans="30:30" x14ac:dyDescent="0.3">
      <c r="AD2903" s="16"/>
    </row>
    <row r="2904" spans="30:30" x14ac:dyDescent="0.3">
      <c r="AD2904" s="16"/>
    </row>
    <row r="2905" spans="30:30" x14ac:dyDescent="0.3">
      <c r="AD2905" s="16"/>
    </row>
    <row r="2906" spans="30:30" x14ac:dyDescent="0.3">
      <c r="AD2906" s="16"/>
    </row>
    <row r="2907" spans="30:30" x14ac:dyDescent="0.3">
      <c r="AD2907" s="16"/>
    </row>
    <row r="2908" spans="30:30" x14ac:dyDescent="0.3">
      <c r="AD2908" s="16"/>
    </row>
    <row r="2909" spans="30:30" x14ac:dyDescent="0.3">
      <c r="AD2909" s="16"/>
    </row>
    <row r="2910" spans="30:30" x14ac:dyDescent="0.3">
      <c r="AD2910" s="16"/>
    </row>
    <row r="2911" spans="30:30" x14ac:dyDescent="0.3">
      <c r="AD2911" s="16"/>
    </row>
    <row r="2912" spans="30:30" x14ac:dyDescent="0.3">
      <c r="AD2912" s="16"/>
    </row>
    <row r="2913" spans="30:30" x14ac:dyDescent="0.3">
      <c r="AD2913" s="16"/>
    </row>
    <row r="2914" spans="30:30" x14ac:dyDescent="0.3">
      <c r="AD2914" s="16"/>
    </row>
    <row r="2915" spans="30:30" x14ac:dyDescent="0.3">
      <c r="AD2915" s="16"/>
    </row>
    <row r="2916" spans="30:30" x14ac:dyDescent="0.3">
      <c r="AD2916" s="16"/>
    </row>
    <row r="2917" spans="30:30" x14ac:dyDescent="0.3">
      <c r="AD2917" s="16"/>
    </row>
    <row r="2918" spans="30:30" x14ac:dyDescent="0.3">
      <c r="AD2918" s="16"/>
    </row>
    <row r="2919" spans="30:30" x14ac:dyDescent="0.3">
      <c r="AD2919" s="16"/>
    </row>
    <row r="2920" spans="30:30" x14ac:dyDescent="0.3">
      <c r="AD2920" s="16"/>
    </row>
    <row r="2921" spans="30:30" x14ac:dyDescent="0.3">
      <c r="AD2921" s="16"/>
    </row>
    <row r="2922" spans="30:30" x14ac:dyDescent="0.3">
      <c r="AD2922" s="16"/>
    </row>
    <row r="2923" spans="30:30" x14ac:dyDescent="0.3">
      <c r="AD2923" s="16"/>
    </row>
    <row r="2924" spans="30:30" x14ac:dyDescent="0.3">
      <c r="AD2924" s="16"/>
    </row>
    <row r="2925" spans="30:30" x14ac:dyDescent="0.3">
      <c r="AD2925" s="16"/>
    </row>
    <row r="2926" spans="30:30" x14ac:dyDescent="0.3">
      <c r="AD2926" s="16"/>
    </row>
    <row r="2927" spans="30:30" x14ac:dyDescent="0.3">
      <c r="AD2927" s="16"/>
    </row>
    <row r="2928" spans="30:30" x14ac:dyDescent="0.3">
      <c r="AD2928" s="16"/>
    </row>
    <row r="2929" spans="30:30" x14ac:dyDescent="0.3">
      <c r="AD2929" s="16"/>
    </row>
    <row r="2930" spans="30:30" x14ac:dyDescent="0.3">
      <c r="AD2930" s="16"/>
    </row>
    <row r="2931" spans="30:30" x14ac:dyDescent="0.3">
      <c r="AD2931" s="16"/>
    </row>
    <row r="2932" spans="30:30" x14ac:dyDescent="0.3">
      <c r="AD2932" s="16"/>
    </row>
    <row r="2933" spans="30:30" x14ac:dyDescent="0.3">
      <c r="AD2933" s="16"/>
    </row>
    <row r="2934" spans="30:30" x14ac:dyDescent="0.3">
      <c r="AD2934" s="16"/>
    </row>
    <row r="2935" spans="30:30" x14ac:dyDescent="0.3">
      <c r="AD2935" s="16"/>
    </row>
    <row r="2936" spans="30:30" x14ac:dyDescent="0.3">
      <c r="AD2936" s="16"/>
    </row>
    <row r="2937" spans="30:30" x14ac:dyDescent="0.3">
      <c r="AD2937" s="16"/>
    </row>
    <row r="2938" spans="30:30" x14ac:dyDescent="0.3">
      <c r="AD2938" s="16"/>
    </row>
    <row r="2939" spans="30:30" x14ac:dyDescent="0.3">
      <c r="AD2939" s="16"/>
    </row>
    <row r="2940" spans="30:30" x14ac:dyDescent="0.3">
      <c r="AD2940" s="16"/>
    </row>
    <row r="2941" spans="30:30" x14ac:dyDescent="0.3">
      <c r="AD2941" s="16"/>
    </row>
    <row r="2942" spans="30:30" x14ac:dyDescent="0.3">
      <c r="AD2942" s="16"/>
    </row>
    <row r="2943" spans="30:30" x14ac:dyDescent="0.3">
      <c r="AD2943" s="16"/>
    </row>
    <row r="2944" spans="30:30" x14ac:dyDescent="0.3">
      <c r="AD2944" s="16"/>
    </row>
    <row r="2945" spans="30:30" x14ac:dyDescent="0.3">
      <c r="AD2945" s="16"/>
    </row>
    <row r="2946" spans="30:30" x14ac:dyDescent="0.3">
      <c r="AD2946" s="16"/>
    </row>
    <row r="2947" spans="30:30" x14ac:dyDescent="0.3">
      <c r="AD2947" s="16"/>
    </row>
    <row r="2948" spans="30:30" x14ac:dyDescent="0.3">
      <c r="AD2948" s="16"/>
    </row>
    <row r="2949" spans="30:30" x14ac:dyDescent="0.3">
      <c r="AD2949" s="16"/>
    </row>
    <row r="2950" spans="30:30" x14ac:dyDescent="0.3">
      <c r="AD2950" s="16"/>
    </row>
    <row r="2951" spans="30:30" x14ac:dyDescent="0.3">
      <c r="AD2951" s="16"/>
    </row>
    <row r="2952" spans="30:30" x14ac:dyDescent="0.3">
      <c r="AD2952" s="16"/>
    </row>
    <row r="2953" spans="30:30" x14ac:dyDescent="0.3">
      <c r="AD2953" s="16"/>
    </row>
    <row r="2954" spans="30:30" x14ac:dyDescent="0.3">
      <c r="AD2954" s="16"/>
    </row>
    <row r="2955" spans="30:30" x14ac:dyDescent="0.3">
      <c r="AD2955" s="16"/>
    </row>
    <row r="2956" spans="30:30" x14ac:dyDescent="0.3">
      <c r="AD2956" s="16"/>
    </row>
    <row r="2957" spans="30:30" x14ac:dyDescent="0.3">
      <c r="AD2957" s="16"/>
    </row>
    <row r="2958" spans="30:30" x14ac:dyDescent="0.3">
      <c r="AD2958" s="16"/>
    </row>
    <row r="2959" spans="30:30" x14ac:dyDescent="0.3">
      <c r="AD2959" s="16"/>
    </row>
    <row r="2960" spans="30:30" x14ac:dyDescent="0.3">
      <c r="AD2960" s="16"/>
    </row>
    <row r="2961" spans="30:30" x14ac:dyDescent="0.3">
      <c r="AD2961" s="16"/>
    </row>
    <row r="2962" spans="30:30" x14ac:dyDescent="0.3">
      <c r="AD2962" s="16"/>
    </row>
    <row r="2963" spans="30:30" x14ac:dyDescent="0.3">
      <c r="AD2963" s="16"/>
    </row>
    <row r="2964" spans="30:30" x14ac:dyDescent="0.3">
      <c r="AD2964" s="16"/>
    </row>
    <row r="2965" spans="30:30" x14ac:dyDescent="0.3">
      <c r="AD2965" s="16"/>
    </row>
    <row r="2966" spans="30:30" x14ac:dyDescent="0.3">
      <c r="AD2966" s="16"/>
    </row>
    <row r="2967" spans="30:30" x14ac:dyDescent="0.3">
      <c r="AD2967" s="16"/>
    </row>
    <row r="2968" spans="30:30" x14ac:dyDescent="0.3">
      <c r="AD2968" s="16"/>
    </row>
    <row r="2969" spans="30:30" x14ac:dyDescent="0.3">
      <c r="AD2969" s="16"/>
    </row>
    <row r="2970" spans="30:30" x14ac:dyDescent="0.3">
      <c r="AD2970" s="16"/>
    </row>
    <row r="2971" spans="30:30" x14ac:dyDescent="0.3">
      <c r="AD2971" s="16"/>
    </row>
    <row r="2972" spans="30:30" x14ac:dyDescent="0.3">
      <c r="AD2972" s="16"/>
    </row>
    <row r="2973" spans="30:30" x14ac:dyDescent="0.3">
      <c r="AD2973" s="16"/>
    </row>
    <row r="2974" spans="30:30" x14ac:dyDescent="0.3">
      <c r="AD2974" s="16"/>
    </row>
    <row r="2975" spans="30:30" x14ac:dyDescent="0.3">
      <c r="AD2975" s="16"/>
    </row>
    <row r="2976" spans="30:30" x14ac:dyDescent="0.3">
      <c r="AD2976" s="16"/>
    </row>
    <row r="2977" spans="30:30" x14ac:dyDescent="0.3">
      <c r="AD2977" s="16"/>
    </row>
    <row r="2978" spans="30:30" x14ac:dyDescent="0.3">
      <c r="AD2978" s="16"/>
    </row>
    <row r="2979" spans="30:30" x14ac:dyDescent="0.3">
      <c r="AD2979" s="16"/>
    </row>
    <row r="2980" spans="30:30" x14ac:dyDescent="0.3">
      <c r="AD2980" s="16"/>
    </row>
    <row r="2981" spans="30:30" x14ac:dyDescent="0.3">
      <c r="AD2981" s="16"/>
    </row>
    <row r="2982" spans="30:30" x14ac:dyDescent="0.3">
      <c r="AD2982" s="16"/>
    </row>
    <row r="2983" spans="30:30" x14ac:dyDescent="0.3">
      <c r="AD2983" s="16"/>
    </row>
    <row r="2984" spans="30:30" x14ac:dyDescent="0.3">
      <c r="AD2984" s="16"/>
    </row>
    <row r="2985" spans="30:30" x14ac:dyDescent="0.3">
      <c r="AD2985" s="16"/>
    </row>
    <row r="2986" spans="30:30" x14ac:dyDescent="0.3">
      <c r="AD2986" s="16"/>
    </row>
    <row r="2987" spans="30:30" x14ac:dyDescent="0.3">
      <c r="AD2987" s="16"/>
    </row>
    <row r="2988" spans="30:30" x14ac:dyDescent="0.3">
      <c r="AD2988" s="16"/>
    </row>
    <row r="2989" spans="30:30" x14ac:dyDescent="0.3">
      <c r="AD2989" s="16"/>
    </row>
    <row r="2990" spans="30:30" x14ac:dyDescent="0.3">
      <c r="AD2990" s="16"/>
    </row>
    <row r="2991" spans="30:30" x14ac:dyDescent="0.3">
      <c r="AD2991" s="16"/>
    </row>
    <row r="2992" spans="30:30" x14ac:dyDescent="0.3">
      <c r="AD2992" s="16"/>
    </row>
    <row r="2993" spans="30:30" x14ac:dyDescent="0.3">
      <c r="AD2993" s="16"/>
    </row>
    <row r="2994" spans="30:30" x14ac:dyDescent="0.3">
      <c r="AD2994" s="16"/>
    </row>
    <row r="2995" spans="30:30" x14ac:dyDescent="0.3">
      <c r="AD2995" s="16"/>
    </row>
    <row r="2996" spans="30:30" x14ac:dyDescent="0.3">
      <c r="AD2996" s="16"/>
    </row>
    <row r="2997" spans="30:30" x14ac:dyDescent="0.3">
      <c r="AD2997" s="16"/>
    </row>
    <row r="2998" spans="30:30" x14ac:dyDescent="0.3">
      <c r="AD2998" s="16"/>
    </row>
    <row r="2999" spans="30:30" x14ac:dyDescent="0.3">
      <c r="AD2999" s="16"/>
    </row>
    <row r="3000" spans="30:30" x14ac:dyDescent="0.3">
      <c r="AD3000" s="16"/>
    </row>
    <row r="3001" spans="30:30" x14ac:dyDescent="0.3">
      <c r="AD3001" s="16"/>
    </row>
    <row r="3002" spans="30:30" x14ac:dyDescent="0.3">
      <c r="AD3002" s="16"/>
    </row>
    <row r="3003" spans="30:30" x14ac:dyDescent="0.3">
      <c r="AD3003" s="16"/>
    </row>
    <row r="3004" spans="30:30" x14ac:dyDescent="0.3">
      <c r="AD3004" s="16"/>
    </row>
    <row r="3005" spans="30:30" x14ac:dyDescent="0.3">
      <c r="AD3005" s="16"/>
    </row>
    <row r="3006" spans="30:30" x14ac:dyDescent="0.3">
      <c r="AD3006" s="16"/>
    </row>
    <row r="3007" spans="30:30" x14ac:dyDescent="0.3">
      <c r="AD3007" s="16"/>
    </row>
    <row r="3008" spans="30:30" x14ac:dyDescent="0.3">
      <c r="AD3008" s="16"/>
    </row>
    <row r="3009" spans="30:30" x14ac:dyDescent="0.3">
      <c r="AD3009" s="16"/>
    </row>
    <row r="3010" spans="30:30" x14ac:dyDescent="0.3">
      <c r="AD3010" s="16"/>
    </row>
    <row r="3011" spans="30:30" x14ac:dyDescent="0.3">
      <c r="AD3011" s="16"/>
    </row>
    <row r="3012" spans="30:30" x14ac:dyDescent="0.3">
      <c r="AD3012" s="16"/>
    </row>
    <row r="3013" spans="30:30" x14ac:dyDescent="0.3">
      <c r="AD3013" s="16"/>
    </row>
    <row r="3014" spans="30:30" x14ac:dyDescent="0.3">
      <c r="AD3014" s="16"/>
    </row>
    <row r="3015" spans="30:30" x14ac:dyDescent="0.3">
      <c r="AD3015" s="16"/>
    </row>
    <row r="3016" spans="30:30" x14ac:dyDescent="0.3">
      <c r="AD3016" s="16"/>
    </row>
    <row r="3017" spans="30:30" x14ac:dyDescent="0.3">
      <c r="AD3017" s="16"/>
    </row>
    <row r="3018" spans="30:30" x14ac:dyDescent="0.3">
      <c r="AD3018" s="16"/>
    </row>
    <row r="3019" spans="30:30" x14ac:dyDescent="0.3">
      <c r="AD3019" s="16"/>
    </row>
    <row r="3020" spans="30:30" x14ac:dyDescent="0.3">
      <c r="AD3020" s="16"/>
    </row>
    <row r="3021" spans="30:30" x14ac:dyDescent="0.3">
      <c r="AD3021" s="16"/>
    </row>
    <row r="3022" spans="30:30" x14ac:dyDescent="0.3">
      <c r="AD3022" s="16"/>
    </row>
    <row r="3023" spans="30:30" x14ac:dyDescent="0.3">
      <c r="AD3023" s="16"/>
    </row>
    <row r="3024" spans="30:30" x14ac:dyDescent="0.3">
      <c r="AD3024" s="16"/>
    </row>
    <row r="3025" spans="30:30" x14ac:dyDescent="0.3">
      <c r="AD3025" s="16"/>
    </row>
    <row r="3026" spans="30:30" x14ac:dyDescent="0.3">
      <c r="AD3026" s="16"/>
    </row>
    <row r="3027" spans="30:30" x14ac:dyDescent="0.3">
      <c r="AD3027" s="16"/>
    </row>
    <row r="3028" spans="30:30" x14ac:dyDescent="0.3">
      <c r="AD3028" s="16"/>
    </row>
    <row r="3029" spans="30:30" x14ac:dyDescent="0.3">
      <c r="AD3029" s="16"/>
    </row>
    <row r="3030" spans="30:30" x14ac:dyDescent="0.3">
      <c r="AD3030" s="16"/>
    </row>
    <row r="3031" spans="30:30" x14ac:dyDescent="0.3">
      <c r="AD3031" s="16"/>
    </row>
    <row r="3032" spans="30:30" x14ac:dyDescent="0.3">
      <c r="AD3032" s="16"/>
    </row>
    <row r="3033" spans="30:30" x14ac:dyDescent="0.3">
      <c r="AD3033" s="16"/>
    </row>
    <row r="3034" spans="30:30" x14ac:dyDescent="0.3">
      <c r="AD3034" s="16"/>
    </row>
    <row r="3035" spans="30:30" x14ac:dyDescent="0.3">
      <c r="AD3035" s="16"/>
    </row>
    <row r="3036" spans="30:30" x14ac:dyDescent="0.3">
      <c r="AD3036" s="16"/>
    </row>
    <row r="3037" spans="30:30" x14ac:dyDescent="0.3">
      <c r="AD3037" s="16"/>
    </row>
    <row r="3038" spans="30:30" x14ac:dyDescent="0.3">
      <c r="AD3038" s="16"/>
    </row>
    <row r="3039" spans="30:30" x14ac:dyDescent="0.3">
      <c r="AD3039" s="16"/>
    </row>
    <row r="3040" spans="30:30" x14ac:dyDescent="0.3">
      <c r="AD3040" s="16"/>
    </row>
    <row r="3041" spans="30:30" x14ac:dyDescent="0.3">
      <c r="AD3041" s="16"/>
    </row>
    <row r="3042" spans="30:30" x14ac:dyDescent="0.3">
      <c r="AD3042" s="16"/>
    </row>
    <row r="3043" spans="30:30" x14ac:dyDescent="0.3">
      <c r="AD3043" s="16"/>
    </row>
    <row r="3044" spans="30:30" x14ac:dyDescent="0.3">
      <c r="AD3044" s="16"/>
    </row>
    <row r="3045" spans="30:30" x14ac:dyDescent="0.3">
      <c r="AD3045" s="16"/>
    </row>
    <row r="3046" spans="30:30" x14ac:dyDescent="0.3">
      <c r="AD3046" s="16"/>
    </row>
    <row r="3047" spans="30:30" x14ac:dyDescent="0.3">
      <c r="AD3047" s="16"/>
    </row>
    <row r="3048" spans="30:30" x14ac:dyDescent="0.3">
      <c r="AD3048" s="16"/>
    </row>
    <row r="3049" spans="30:30" x14ac:dyDescent="0.3">
      <c r="AD3049" s="16"/>
    </row>
    <row r="3050" spans="30:30" x14ac:dyDescent="0.3">
      <c r="AD3050" s="16"/>
    </row>
    <row r="3051" spans="30:30" x14ac:dyDescent="0.3">
      <c r="AD3051" s="16"/>
    </row>
    <row r="3052" spans="30:30" x14ac:dyDescent="0.3">
      <c r="AD3052" s="16"/>
    </row>
    <row r="3053" spans="30:30" x14ac:dyDescent="0.3">
      <c r="AD3053" s="16"/>
    </row>
    <row r="3054" spans="30:30" x14ac:dyDescent="0.3">
      <c r="AD3054" s="16"/>
    </row>
    <row r="3055" spans="30:30" x14ac:dyDescent="0.3">
      <c r="AD3055" s="16"/>
    </row>
    <row r="3056" spans="30:30" x14ac:dyDescent="0.3">
      <c r="AD3056" s="16"/>
    </row>
    <row r="3057" spans="30:30" x14ac:dyDescent="0.3">
      <c r="AD3057" s="16"/>
    </row>
    <row r="3058" spans="30:30" x14ac:dyDescent="0.3">
      <c r="AD3058" s="16"/>
    </row>
    <row r="3059" spans="30:30" x14ac:dyDescent="0.3">
      <c r="AD3059" s="16"/>
    </row>
    <row r="3060" spans="30:30" x14ac:dyDescent="0.3">
      <c r="AD3060" s="16"/>
    </row>
    <row r="3061" spans="30:30" x14ac:dyDescent="0.3">
      <c r="AD3061" s="16"/>
    </row>
    <row r="3062" spans="30:30" x14ac:dyDescent="0.3">
      <c r="AD3062" s="16"/>
    </row>
    <row r="3063" spans="30:30" x14ac:dyDescent="0.3">
      <c r="AD3063" s="16"/>
    </row>
    <row r="3064" spans="30:30" x14ac:dyDescent="0.3">
      <c r="AD3064" s="16"/>
    </row>
    <row r="3065" spans="30:30" x14ac:dyDescent="0.3">
      <c r="AD3065" s="16"/>
    </row>
    <row r="3066" spans="30:30" x14ac:dyDescent="0.3">
      <c r="AD3066" s="16"/>
    </row>
    <row r="3067" spans="30:30" x14ac:dyDescent="0.3">
      <c r="AD3067" s="16"/>
    </row>
    <row r="3068" spans="30:30" x14ac:dyDescent="0.3">
      <c r="AD3068" s="16"/>
    </row>
    <row r="3069" spans="30:30" x14ac:dyDescent="0.3">
      <c r="AD3069" s="16"/>
    </row>
    <row r="3070" spans="30:30" x14ac:dyDescent="0.3">
      <c r="AD3070" s="16"/>
    </row>
    <row r="3071" spans="30:30" x14ac:dyDescent="0.3">
      <c r="AD3071" s="16"/>
    </row>
    <row r="3072" spans="30:30" x14ac:dyDescent="0.3">
      <c r="AD3072" s="16"/>
    </row>
    <row r="3073" spans="30:30" x14ac:dyDescent="0.3">
      <c r="AD3073" s="16"/>
    </row>
    <row r="3074" spans="30:30" x14ac:dyDescent="0.3">
      <c r="AD3074" s="16"/>
    </row>
    <row r="3075" spans="30:30" x14ac:dyDescent="0.3">
      <c r="AD3075" s="16"/>
    </row>
    <row r="3076" spans="30:30" x14ac:dyDescent="0.3">
      <c r="AD3076" s="16"/>
    </row>
    <row r="3077" spans="30:30" x14ac:dyDescent="0.3">
      <c r="AD3077" s="16"/>
    </row>
    <row r="3078" spans="30:30" x14ac:dyDescent="0.3">
      <c r="AD3078" s="16"/>
    </row>
    <row r="3079" spans="30:30" x14ac:dyDescent="0.3">
      <c r="AD3079" s="16"/>
    </row>
    <row r="3080" spans="30:30" x14ac:dyDescent="0.3">
      <c r="AD3080" s="16"/>
    </row>
    <row r="3081" spans="30:30" x14ac:dyDescent="0.3">
      <c r="AD3081" s="16"/>
    </row>
    <row r="3082" spans="30:30" x14ac:dyDescent="0.3">
      <c r="AD3082" s="16"/>
    </row>
    <row r="3083" spans="30:30" x14ac:dyDescent="0.3">
      <c r="AD3083" s="16"/>
    </row>
    <row r="3084" spans="30:30" x14ac:dyDescent="0.3">
      <c r="AD3084" s="16"/>
    </row>
    <row r="3085" spans="30:30" x14ac:dyDescent="0.3">
      <c r="AD3085" s="16"/>
    </row>
    <row r="3086" spans="30:30" x14ac:dyDescent="0.3">
      <c r="AD3086" s="16"/>
    </row>
    <row r="3087" spans="30:30" x14ac:dyDescent="0.3">
      <c r="AD3087" s="16"/>
    </row>
    <row r="3088" spans="30:30" x14ac:dyDescent="0.3">
      <c r="AD3088" s="16"/>
    </row>
    <row r="3089" spans="30:30" x14ac:dyDescent="0.3">
      <c r="AD3089" s="16"/>
    </row>
    <row r="3090" spans="30:30" x14ac:dyDescent="0.3">
      <c r="AD3090" s="16"/>
    </row>
    <row r="3091" spans="30:30" x14ac:dyDescent="0.3">
      <c r="AD3091" s="16"/>
    </row>
    <row r="3092" spans="30:30" x14ac:dyDescent="0.3">
      <c r="AD3092" s="16"/>
    </row>
    <row r="3093" spans="30:30" x14ac:dyDescent="0.3">
      <c r="AD3093" s="16"/>
    </row>
    <row r="3094" spans="30:30" x14ac:dyDescent="0.3">
      <c r="AD3094" s="16"/>
    </row>
    <row r="3095" spans="30:30" x14ac:dyDescent="0.3">
      <c r="AD3095" s="16"/>
    </row>
    <row r="3096" spans="30:30" x14ac:dyDescent="0.3">
      <c r="AD3096" s="16"/>
    </row>
    <row r="3097" spans="30:30" x14ac:dyDescent="0.3">
      <c r="AD3097" s="16"/>
    </row>
    <row r="3098" spans="30:30" x14ac:dyDescent="0.3">
      <c r="AD3098" s="16"/>
    </row>
    <row r="3099" spans="30:30" x14ac:dyDescent="0.3">
      <c r="AD3099" s="16"/>
    </row>
    <row r="3100" spans="30:30" x14ac:dyDescent="0.3">
      <c r="AD3100" s="16"/>
    </row>
    <row r="3101" spans="30:30" x14ac:dyDescent="0.3">
      <c r="AD3101" s="16"/>
    </row>
    <row r="3102" spans="30:30" x14ac:dyDescent="0.3">
      <c r="AD3102" s="16"/>
    </row>
    <row r="3103" spans="30:30" x14ac:dyDescent="0.3">
      <c r="AD3103" s="16"/>
    </row>
    <row r="3104" spans="30:30" x14ac:dyDescent="0.3">
      <c r="AD3104" s="16"/>
    </row>
    <row r="3105" spans="30:30" x14ac:dyDescent="0.3">
      <c r="AD3105" s="16"/>
    </row>
    <row r="3106" spans="30:30" x14ac:dyDescent="0.3">
      <c r="AD3106" s="16"/>
    </row>
    <row r="3107" spans="30:30" x14ac:dyDescent="0.3">
      <c r="AD3107" s="16"/>
    </row>
    <row r="3108" spans="30:30" x14ac:dyDescent="0.3">
      <c r="AD3108" s="16"/>
    </row>
    <row r="3109" spans="30:30" x14ac:dyDescent="0.3">
      <c r="AD3109" s="16"/>
    </row>
    <row r="3110" spans="30:30" x14ac:dyDescent="0.3">
      <c r="AD3110" s="16"/>
    </row>
    <row r="3111" spans="30:30" x14ac:dyDescent="0.3">
      <c r="AD3111" s="16"/>
    </row>
    <row r="3112" spans="30:30" x14ac:dyDescent="0.3">
      <c r="AD3112" s="16"/>
    </row>
    <row r="3113" spans="30:30" x14ac:dyDescent="0.3">
      <c r="AD3113" s="16"/>
    </row>
    <row r="3114" spans="30:30" x14ac:dyDescent="0.3">
      <c r="AD3114" s="16"/>
    </row>
    <row r="3115" spans="30:30" x14ac:dyDescent="0.3">
      <c r="AD3115" s="16"/>
    </row>
    <row r="3116" spans="30:30" x14ac:dyDescent="0.3">
      <c r="AD3116" s="16"/>
    </row>
    <row r="3117" spans="30:30" x14ac:dyDescent="0.3">
      <c r="AD3117" s="16"/>
    </row>
    <row r="3118" spans="30:30" x14ac:dyDescent="0.3">
      <c r="AD3118" s="16"/>
    </row>
    <row r="3119" spans="30:30" x14ac:dyDescent="0.3">
      <c r="AD3119" s="16"/>
    </row>
    <row r="3120" spans="30:30" x14ac:dyDescent="0.3">
      <c r="AD3120" s="16"/>
    </row>
    <row r="3121" spans="30:30" x14ac:dyDescent="0.3">
      <c r="AD3121" s="16"/>
    </row>
    <row r="3122" spans="30:30" x14ac:dyDescent="0.3">
      <c r="AD3122" s="16"/>
    </row>
    <row r="3123" spans="30:30" x14ac:dyDescent="0.3">
      <c r="AD3123" s="16"/>
    </row>
    <row r="3124" spans="30:30" x14ac:dyDescent="0.3">
      <c r="AD3124" s="16"/>
    </row>
    <row r="3125" spans="30:30" x14ac:dyDescent="0.3">
      <c r="AD3125" s="16"/>
    </row>
    <row r="3126" spans="30:30" x14ac:dyDescent="0.3">
      <c r="AD3126" s="16"/>
    </row>
    <row r="3127" spans="30:30" x14ac:dyDescent="0.3">
      <c r="AD3127" s="16"/>
    </row>
    <row r="3128" spans="30:30" x14ac:dyDescent="0.3">
      <c r="AD3128" s="16"/>
    </row>
    <row r="3129" spans="30:30" x14ac:dyDescent="0.3">
      <c r="AD3129" s="16"/>
    </row>
    <row r="3130" spans="30:30" x14ac:dyDescent="0.3">
      <c r="AD3130" s="16"/>
    </row>
    <row r="3131" spans="30:30" x14ac:dyDescent="0.3">
      <c r="AD3131" s="16"/>
    </row>
    <row r="3132" spans="30:30" x14ac:dyDescent="0.3">
      <c r="AD3132" s="16"/>
    </row>
    <row r="3133" spans="30:30" x14ac:dyDescent="0.3">
      <c r="AD3133" s="16"/>
    </row>
    <row r="3134" spans="30:30" x14ac:dyDescent="0.3">
      <c r="AD3134" s="16"/>
    </row>
    <row r="3135" spans="30:30" x14ac:dyDescent="0.3">
      <c r="AD3135" s="16"/>
    </row>
    <row r="3136" spans="30:30" x14ac:dyDescent="0.3">
      <c r="AD3136" s="16"/>
    </row>
    <row r="3137" spans="30:30" x14ac:dyDescent="0.3">
      <c r="AD3137" s="16"/>
    </row>
    <row r="3138" spans="30:30" x14ac:dyDescent="0.3">
      <c r="AD3138" s="16"/>
    </row>
    <row r="3139" spans="30:30" x14ac:dyDescent="0.3">
      <c r="AD3139" s="16"/>
    </row>
    <row r="3140" spans="30:30" x14ac:dyDescent="0.3">
      <c r="AD3140" s="16"/>
    </row>
    <row r="3141" spans="30:30" x14ac:dyDescent="0.3">
      <c r="AD3141" s="16"/>
    </row>
    <row r="3142" spans="30:30" x14ac:dyDescent="0.3">
      <c r="AD3142" s="16"/>
    </row>
    <row r="3143" spans="30:30" x14ac:dyDescent="0.3">
      <c r="AD3143" s="16"/>
    </row>
    <row r="3144" spans="30:30" x14ac:dyDescent="0.3">
      <c r="AD3144" s="16"/>
    </row>
    <row r="3145" spans="30:30" x14ac:dyDescent="0.3">
      <c r="AD3145" s="16"/>
    </row>
    <row r="3146" spans="30:30" x14ac:dyDescent="0.3">
      <c r="AD3146" s="16"/>
    </row>
    <row r="3147" spans="30:30" x14ac:dyDescent="0.3">
      <c r="AD3147" s="16"/>
    </row>
    <row r="3148" spans="30:30" x14ac:dyDescent="0.3">
      <c r="AD3148" s="16"/>
    </row>
    <row r="3149" spans="30:30" x14ac:dyDescent="0.3">
      <c r="AD3149" s="16"/>
    </row>
    <row r="3150" spans="30:30" x14ac:dyDescent="0.3">
      <c r="AD3150" s="16"/>
    </row>
    <row r="3151" spans="30:30" x14ac:dyDescent="0.3">
      <c r="AD3151" s="16"/>
    </row>
    <row r="3152" spans="30:30" x14ac:dyDescent="0.3">
      <c r="AD3152" s="16"/>
    </row>
    <row r="3153" spans="30:30" x14ac:dyDescent="0.3">
      <c r="AD3153" s="16"/>
    </row>
    <row r="3154" spans="30:30" x14ac:dyDescent="0.3">
      <c r="AD3154" s="16"/>
    </row>
    <row r="3155" spans="30:30" x14ac:dyDescent="0.3">
      <c r="AD3155" s="16"/>
    </row>
    <row r="3156" spans="30:30" x14ac:dyDescent="0.3">
      <c r="AD3156" s="16"/>
    </row>
    <row r="3157" spans="30:30" x14ac:dyDescent="0.3">
      <c r="AD3157" s="16"/>
    </row>
    <row r="3158" spans="30:30" x14ac:dyDescent="0.3">
      <c r="AD3158" s="16"/>
    </row>
    <row r="3159" spans="30:30" x14ac:dyDescent="0.3">
      <c r="AD3159" s="16"/>
    </row>
    <row r="3160" spans="30:30" x14ac:dyDescent="0.3">
      <c r="AD3160" s="16"/>
    </row>
    <row r="3161" spans="30:30" x14ac:dyDescent="0.3">
      <c r="AD3161" s="16"/>
    </row>
    <row r="3162" spans="30:30" x14ac:dyDescent="0.3">
      <c r="AD3162" s="16"/>
    </row>
    <row r="3163" spans="30:30" x14ac:dyDescent="0.3">
      <c r="AD3163" s="16"/>
    </row>
    <row r="3164" spans="30:30" x14ac:dyDescent="0.3">
      <c r="AD3164" s="16"/>
    </row>
    <row r="3165" spans="30:30" x14ac:dyDescent="0.3">
      <c r="AD3165" s="16"/>
    </row>
    <row r="3166" spans="30:30" x14ac:dyDescent="0.3">
      <c r="AD3166" s="16"/>
    </row>
    <row r="3167" spans="30:30" x14ac:dyDescent="0.3">
      <c r="AD3167" s="16"/>
    </row>
    <row r="3168" spans="30:30" x14ac:dyDescent="0.3">
      <c r="AD3168" s="16"/>
    </row>
    <row r="3169" spans="30:30" x14ac:dyDescent="0.3">
      <c r="AD3169" s="16"/>
    </row>
    <row r="3170" spans="30:30" x14ac:dyDescent="0.3">
      <c r="AD3170" s="16"/>
    </row>
    <row r="3171" spans="30:30" x14ac:dyDescent="0.3">
      <c r="AD3171" s="16"/>
    </row>
    <row r="3172" spans="30:30" x14ac:dyDescent="0.3">
      <c r="AD3172" s="16"/>
    </row>
    <row r="3173" spans="30:30" x14ac:dyDescent="0.3">
      <c r="AD3173" s="16"/>
    </row>
    <row r="3174" spans="30:30" x14ac:dyDescent="0.3">
      <c r="AD3174" s="16"/>
    </row>
    <row r="3175" spans="30:30" x14ac:dyDescent="0.3">
      <c r="AD3175" s="16"/>
    </row>
    <row r="3176" spans="30:30" x14ac:dyDescent="0.3">
      <c r="AD3176" s="16"/>
    </row>
    <row r="3177" spans="30:30" x14ac:dyDescent="0.3">
      <c r="AD3177" s="16"/>
    </row>
    <row r="3178" spans="30:30" x14ac:dyDescent="0.3">
      <c r="AD3178" s="16"/>
    </row>
    <row r="3179" spans="30:30" x14ac:dyDescent="0.3">
      <c r="AD3179" s="16"/>
    </row>
    <row r="3180" spans="30:30" x14ac:dyDescent="0.3">
      <c r="AD3180" s="16"/>
    </row>
    <row r="3181" spans="30:30" x14ac:dyDescent="0.3">
      <c r="AD3181" s="16"/>
    </row>
    <row r="3182" spans="30:30" x14ac:dyDescent="0.3">
      <c r="AD3182" s="16"/>
    </row>
    <row r="3183" spans="30:30" x14ac:dyDescent="0.3">
      <c r="AD3183" s="16"/>
    </row>
    <row r="3184" spans="30:30" x14ac:dyDescent="0.3">
      <c r="AD3184" s="16"/>
    </row>
    <row r="3185" spans="30:30" x14ac:dyDescent="0.3">
      <c r="AD3185" s="16"/>
    </row>
    <row r="3186" spans="30:30" x14ac:dyDescent="0.3">
      <c r="AD3186" s="16"/>
    </row>
    <row r="3187" spans="30:30" x14ac:dyDescent="0.3">
      <c r="AD3187" s="16"/>
    </row>
    <row r="3188" spans="30:30" x14ac:dyDescent="0.3">
      <c r="AD3188" s="16"/>
    </row>
    <row r="3189" spans="30:30" x14ac:dyDescent="0.3">
      <c r="AD3189" s="16"/>
    </row>
    <row r="3190" spans="30:30" x14ac:dyDescent="0.3">
      <c r="AD3190" s="16"/>
    </row>
    <row r="3191" spans="30:30" x14ac:dyDescent="0.3">
      <c r="AD3191" s="16"/>
    </row>
    <row r="3192" spans="30:30" x14ac:dyDescent="0.3">
      <c r="AD3192" s="16"/>
    </row>
    <row r="3193" spans="30:30" x14ac:dyDescent="0.3">
      <c r="AD3193" s="16"/>
    </row>
    <row r="3194" spans="30:30" x14ac:dyDescent="0.3">
      <c r="AD3194" s="16"/>
    </row>
    <row r="3195" spans="30:30" x14ac:dyDescent="0.3">
      <c r="AD3195" s="16"/>
    </row>
    <row r="3196" spans="30:30" x14ac:dyDescent="0.3">
      <c r="AD3196" s="16"/>
    </row>
    <row r="3197" spans="30:30" x14ac:dyDescent="0.3">
      <c r="AD3197" s="16"/>
    </row>
    <row r="3198" spans="30:30" x14ac:dyDescent="0.3">
      <c r="AD3198" s="16"/>
    </row>
    <row r="3199" spans="30:30" x14ac:dyDescent="0.3">
      <c r="AD3199" s="16"/>
    </row>
    <row r="3200" spans="30:30" x14ac:dyDescent="0.3">
      <c r="AD3200" s="16"/>
    </row>
    <row r="3201" spans="30:30" x14ac:dyDescent="0.3">
      <c r="AD3201" s="16"/>
    </row>
    <row r="3202" spans="30:30" x14ac:dyDescent="0.3">
      <c r="AD3202" s="16"/>
    </row>
    <row r="3203" spans="30:30" x14ac:dyDescent="0.3">
      <c r="AD3203" s="16"/>
    </row>
    <row r="3204" spans="30:30" x14ac:dyDescent="0.3">
      <c r="AD3204" s="16"/>
    </row>
    <row r="3205" spans="30:30" x14ac:dyDescent="0.3">
      <c r="AD3205" s="16"/>
    </row>
    <row r="3206" spans="30:30" x14ac:dyDescent="0.3">
      <c r="AD3206" s="16"/>
    </row>
    <row r="3207" spans="30:30" x14ac:dyDescent="0.3">
      <c r="AD3207" s="16"/>
    </row>
    <row r="3208" spans="30:30" x14ac:dyDescent="0.3">
      <c r="AD3208" s="16"/>
    </row>
    <row r="3209" spans="30:30" x14ac:dyDescent="0.3">
      <c r="AD3209" s="16"/>
    </row>
    <row r="3210" spans="30:30" x14ac:dyDescent="0.3">
      <c r="AD3210" s="16"/>
    </row>
    <row r="3211" spans="30:30" x14ac:dyDescent="0.3">
      <c r="AD3211" s="16"/>
    </row>
    <row r="3212" spans="30:30" x14ac:dyDescent="0.3">
      <c r="AD3212" s="16"/>
    </row>
    <row r="3213" spans="30:30" x14ac:dyDescent="0.3">
      <c r="AD3213" s="16"/>
    </row>
    <row r="3214" spans="30:30" x14ac:dyDescent="0.3">
      <c r="AD3214" s="16"/>
    </row>
    <row r="3215" spans="30:30" x14ac:dyDescent="0.3">
      <c r="AD3215" s="16"/>
    </row>
    <row r="3216" spans="30:30" x14ac:dyDescent="0.3">
      <c r="AD3216" s="16"/>
    </row>
    <row r="3217" spans="30:30" x14ac:dyDescent="0.3">
      <c r="AD3217" s="16"/>
    </row>
    <row r="3218" spans="30:30" x14ac:dyDescent="0.3">
      <c r="AD3218" s="16"/>
    </row>
    <row r="3219" spans="30:30" x14ac:dyDescent="0.3">
      <c r="AD3219" s="16"/>
    </row>
    <row r="3220" spans="30:30" x14ac:dyDescent="0.3">
      <c r="AD3220" s="16"/>
    </row>
    <row r="3221" spans="30:30" x14ac:dyDescent="0.3">
      <c r="AD3221" s="16"/>
    </row>
    <row r="3222" spans="30:30" x14ac:dyDescent="0.3">
      <c r="AD3222" s="16"/>
    </row>
    <row r="3223" spans="30:30" x14ac:dyDescent="0.3">
      <c r="AD3223" s="16"/>
    </row>
    <row r="3224" spans="30:30" x14ac:dyDescent="0.3">
      <c r="AD3224" s="16"/>
    </row>
    <row r="3225" spans="30:30" x14ac:dyDescent="0.3">
      <c r="AD3225" s="16"/>
    </row>
    <row r="3226" spans="30:30" x14ac:dyDescent="0.3">
      <c r="AD3226" s="16"/>
    </row>
    <row r="3227" spans="30:30" x14ac:dyDescent="0.3">
      <c r="AD3227" s="16"/>
    </row>
    <row r="3228" spans="30:30" x14ac:dyDescent="0.3">
      <c r="AD3228" s="16"/>
    </row>
    <row r="3229" spans="30:30" x14ac:dyDescent="0.3">
      <c r="AD3229" s="16"/>
    </row>
    <row r="3230" spans="30:30" x14ac:dyDescent="0.3">
      <c r="AD3230" s="16"/>
    </row>
    <row r="3231" spans="30:30" x14ac:dyDescent="0.3">
      <c r="AD3231" s="16"/>
    </row>
    <row r="3232" spans="30:30" x14ac:dyDescent="0.3">
      <c r="AD3232" s="16"/>
    </row>
    <row r="3233" spans="30:30" x14ac:dyDescent="0.3">
      <c r="AD3233" s="16"/>
    </row>
    <row r="3234" spans="30:30" x14ac:dyDescent="0.3">
      <c r="AD3234" s="16"/>
    </row>
    <row r="3235" spans="30:30" x14ac:dyDescent="0.3">
      <c r="AD3235" s="16"/>
    </row>
    <row r="3236" spans="30:30" x14ac:dyDescent="0.3">
      <c r="AD3236" s="16"/>
    </row>
    <row r="3237" spans="30:30" x14ac:dyDescent="0.3">
      <c r="AD3237" s="16"/>
    </row>
    <row r="3238" spans="30:30" x14ac:dyDescent="0.3">
      <c r="AD3238" s="16"/>
    </row>
    <row r="3239" spans="30:30" x14ac:dyDescent="0.3">
      <c r="AD3239" s="16"/>
    </row>
    <row r="3240" spans="30:30" x14ac:dyDescent="0.3">
      <c r="AD3240" s="16"/>
    </row>
    <row r="3241" spans="30:30" x14ac:dyDescent="0.3">
      <c r="AD3241" s="16"/>
    </row>
    <row r="3242" spans="30:30" x14ac:dyDescent="0.3">
      <c r="AD3242" s="16"/>
    </row>
    <row r="3243" spans="30:30" x14ac:dyDescent="0.3">
      <c r="AD3243" s="16"/>
    </row>
    <row r="3244" spans="30:30" x14ac:dyDescent="0.3">
      <c r="AD3244" s="16"/>
    </row>
    <row r="3245" spans="30:30" x14ac:dyDescent="0.3">
      <c r="AD3245" s="16"/>
    </row>
    <row r="3246" spans="30:30" x14ac:dyDescent="0.3">
      <c r="AD3246" s="16"/>
    </row>
    <row r="3247" spans="30:30" x14ac:dyDescent="0.3">
      <c r="AD3247" s="16"/>
    </row>
    <row r="3248" spans="30:30" x14ac:dyDescent="0.3">
      <c r="AD3248" s="16"/>
    </row>
    <row r="3249" spans="30:30" x14ac:dyDescent="0.3">
      <c r="AD3249" s="16"/>
    </row>
    <row r="3250" spans="30:30" x14ac:dyDescent="0.3">
      <c r="AD3250" s="16"/>
    </row>
    <row r="3251" spans="30:30" x14ac:dyDescent="0.3">
      <c r="AD3251" s="16"/>
    </row>
    <row r="3252" spans="30:30" x14ac:dyDescent="0.3">
      <c r="AD3252" s="16"/>
    </row>
    <row r="3253" spans="30:30" x14ac:dyDescent="0.3">
      <c r="AD3253" s="16"/>
    </row>
    <row r="3254" spans="30:30" x14ac:dyDescent="0.3">
      <c r="AD3254" s="16"/>
    </row>
    <row r="3255" spans="30:30" x14ac:dyDescent="0.3">
      <c r="AD3255" s="16"/>
    </row>
    <row r="3256" spans="30:30" x14ac:dyDescent="0.3">
      <c r="AD3256" s="16"/>
    </row>
    <row r="3257" spans="30:30" x14ac:dyDescent="0.3">
      <c r="AD3257" s="16"/>
    </row>
    <row r="3258" spans="30:30" x14ac:dyDescent="0.3">
      <c r="AD3258" s="16"/>
    </row>
    <row r="3259" spans="30:30" x14ac:dyDescent="0.3">
      <c r="AD3259" s="16"/>
    </row>
    <row r="3260" spans="30:30" x14ac:dyDescent="0.3">
      <c r="AD3260" s="16"/>
    </row>
    <row r="3261" spans="30:30" x14ac:dyDescent="0.3">
      <c r="AD3261" s="16"/>
    </row>
    <row r="3262" spans="30:30" x14ac:dyDescent="0.3">
      <c r="AD3262" s="16"/>
    </row>
    <row r="3263" spans="30:30" x14ac:dyDescent="0.3">
      <c r="AD3263" s="16"/>
    </row>
    <row r="3264" spans="30:30" x14ac:dyDescent="0.3">
      <c r="AD3264" s="16"/>
    </row>
    <row r="3265" spans="30:30" x14ac:dyDescent="0.3">
      <c r="AD3265" s="16"/>
    </row>
    <row r="3266" spans="30:30" x14ac:dyDescent="0.3">
      <c r="AD3266" s="16"/>
    </row>
    <row r="3267" spans="30:30" x14ac:dyDescent="0.3">
      <c r="AD3267" s="16"/>
    </row>
    <row r="3268" spans="30:30" x14ac:dyDescent="0.3">
      <c r="AD3268" s="16"/>
    </row>
    <row r="3269" spans="30:30" x14ac:dyDescent="0.3">
      <c r="AD3269" s="16"/>
    </row>
    <row r="3270" spans="30:30" x14ac:dyDescent="0.3">
      <c r="AD3270" s="16"/>
    </row>
    <row r="3271" spans="30:30" x14ac:dyDescent="0.3">
      <c r="AD3271" s="16"/>
    </row>
    <row r="3272" spans="30:30" x14ac:dyDescent="0.3">
      <c r="AD3272" s="16"/>
    </row>
    <row r="3273" spans="30:30" x14ac:dyDescent="0.3">
      <c r="AD3273" s="16"/>
    </row>
    <row r="3274" spans="30:30" x14ac:dyDescent="0.3">
      <c r="AD3274" s="16"/>
    </row>
    <row r="3275" spans="30:30" x14ac:dyDescent="0.3">
      <c r="AD3275" s="16"/>
    </row>
    <row r="3276" spans="30:30" x14ac:dyDescent="0.3">
      <c r="AD3276" s="16"/>
    </row>
    <row r="3277" spans="30:30" x14ac:dyDescent="0.3">
      <c r="AD3277" s="16"/>
    </row>
    <row r="3278" spans="30:30" x14ac:dyDescent="0.3">
      <c r="AD3278" s="16"/>
    </row>
    <row r="3279" spans="30:30" x14ac:dyDescent="0.3">
      <c r="AD3279" s="16"/>
    </row>
    <row r="3280" spans="30:30" x14ac:dyDescent="0.3">
      <c r="AD3280" s="16"/>
    </row>
    <row r="3281" spans="30:30" x14ac:dyDescent="0.3">
      <c r="AD3281" s="16"/>
    </row>
    <row r="3282" spans="30:30" x14ac:dyDescent="0.3">
      <c r="AD3282" s="16"/>
    </row>
    <row r="3283" spans="30:30" x14ac:dyDescent="0.3">
      <c r="AD3283" s="16"/>
    </row>
    <row r="3284" spans="30:30" x14ac:dyDescent="0.3">
      <c r="AD3284" s="16"/>
    </row>
    <row r="3285" spans="30:30" x14ac:dyDescent="0.3">
      <c r="AD3285" s="16"/>
    </row>
    <row r="3286" spans="30:30" x14ac:dyDescent="0.3">
      <c r="AD3286" s="16"/>
    </row>
    <row r="3287" spans="30:30" x14ac:dyDescent="0.3">
      <c r="AD3287" s="16"/>
    </row>
    <row r="3288" spans="30:30" x14ac:dyDescent="0.3">
      <c r="AD3288" s="16"/>
    </row>
    <row r="3289" spans="30:30" x14ac:dyDescent="0.3">
      <c r="AD3289" s="16"/>
    </row>
    <row r="3290" spans="30:30" x14ac:dyDescent="0.3">
      <c r="AD3290" s="16"/>
    </row>
    <row r="3291" spans="30:30" x14ac:dyDescent="0.3">
      <c r="AD3291" s="16"/>
    </row>
    <row r="3292" spans="30:30" x14ac:dyDescent="0.3">
      <c r="AD3292" s="16"/>
    </row>
    <row r="3293" spans="30:30" x14ac:dyDescent="0.3">
      <c r="AD3293" s="16"/>
    </row>
    <row r="3294" spans="30:30" x14ac:dyDescent="0.3">
      <c r="AD3294" s="16"/>
    </row>
    <row r="3295" spans="30:30" x14ac:dyDescent="0.3">
      <c r="AD3295" s="16"/>
    </row>
    <row r="3296" spans="30:30" x14ac:dyDescent="0.3">
      <c r="AD3296" s="16"/>
    </row>
    <row r="3297" spans="30:30" x14ac:dyDescent="0.3">
      <c r="AD3297" s="16"/>
    </row>
    <row r="3298" spans="30:30" x14ac:dyDescent="0.3">
      <c r="AD3298" s="16"/>
    </row>
    <row r="3299" spans="30:30" x14ac:dyDescent="0.3">
      <c r="AD3299" s="16"/>
    </row>
    <row r="3300" spans="30:30" x14ac:dyDescent="0.3">
      <c r="AD3300" s="16"/>
    </row>
    <row r="3301" spans="30:30" x14ac:dyDescent="0.3">
      <c r="AD3301" s="16"/>
    </row>
    <row r="3302" spans="30:30" x14ac:dyDescent="0.3">
      <c r="AD3302" s="16"/>
    </row>
    <row r="3303" spans="30:30" x14ac:dyDescent="0.3">
      <c r="AD3303" s="16"/>
    </row>
    <row r="3304" spans="30:30" x14ac:dyDescent="0.3">
      <c r="AD3304" s="16"/>
    </row>
    <row r="3305" spans="30:30" x14ac:dyDescent="0.3">
      <c r="AD3305" s="16"/>
    </row>
    <row r="3306" spans="30:30" x14ac:dyDescent="0.3">
      <c r="AD3306" s="16"/>
    </row>
    <row r="3307" spans="30:30" x14ac:dyDescent="0.3">
      <c r="AD3307" s="16"/>
    </row>
    <row r="3308" spans="30:30" x14ac:dyDescent="0.3">
      <c r="AD3308" s="16"/>
    </row>
    <row r="3309" spans="30:30" x14ac:dyDescent="0.3">
      <c r="AD3309" s="16"/>
    </row>
    <row r="3310" spans="30:30" x14ac:dyDescent="0.3">
      <c r="AD3310" s="16"/>
    </row>
    <row r="3311" spans="30:30" x14ac:dyDescent="0.3">
      <c r="AD3311" s="16"/>
    </row>
    <row r="3312" spans="30:30" x14ac:dyDescent="0.3">
      <c r="AD3312" s="16"/>
    </row>
    <row r="3313" spans="30:30" x14ac:dyDescent="0.3">
      <c r="AD3313" s="16"/>
    </row>
    <row r="3314" spans="30:30" x14ac:dyDescent="0.3">
      <c r="AD3314" s="16"/>
    </row>
    <row r="3315" spans="30:30" x14ac:dyDescent="0.3">
      <c r="AD3315" s="16"/>
    </row>
    <row r="3316" spans="30:30" x14ac:dyDescent="0.3">
      <c r="AD3316" s="16"/>
    </row>
    <row r="3317" spans="30:30" x14ac:dyDescent="0.3">
      <c r="AD3317" s="16"/>
    </row>
    <row r="3318" spans="30:30" x14ac:dyDescent="0.3">
      <c r="AD3318" s="16"/>
    </row>
    <row r="3319" spans="30:30" x14ac:dyDescent="0.3">
      <c r="AD3319" s="16"/>
    </row>
    <row r="3320" spans="30:30" x14ac:dyDescent="0.3">
      <c r="AD3320" s="16"/>
    </row>
    <row r="3321" spans="30:30" x14ac:dyDescent="0.3">
      <c r="AD3321" s="16"/>
    </row>
    <row r="3322" spans="30:30" x14ac:dyDescent="0.3">
      <c r="AD3322" s="16"/>
    </row>
    <row r="3323" spans="30:30" x14ac:dyDescent="0.3">
      <c r="AD3323" s="16"/>
    </row>
    <row r="3324" spans="30:30" x14ac:dyDescent="0.3">
      <c r="AD3324" s="16"/>
    </row>
    <row r="3325" spans="30:30" x14ac:dyDescent="0.3">
      <c r="AD3325" s="16"/>
    </row>
    <row r="3326" spans="30:30" x14ac:dyDescent="0.3">
      <c r="AD3326" s="16"/>
    </row>
    <row r="3327" spans="30:30" x14ac:dyDescent="0.3">
      <c r="AD3327" s="16"/>
    </row>
    <row r="3328" spans="30:30" x14ac:dyDescent="0.3">
      <c r="AD3328" s="16"/>
    </row>
    <row r="3329" spans="30:30" x14ac:dyDescent="0.3">
      <c r="AD3329" s="16"/>
    </row>
    <row r="3330" spans="30:30" x14ac:dyDescent="0.3">
      <c r="AD3330" s="16"/>
    </row>
    <row r="3331" spans="30:30" x14ac:dyDescent="0.3">
      <c r="AD3331" s="16"/>
    </row>
    <row r="3332" spans="30:30" x14ac:dyDescent="0.3">
      <c r="AD3332" s="16"/>
    </row>
    <row r="3333" spans="30:30" x14ac:dyDescent="0.3">
      <c r="AD3333" s="16"/>
    </row>
    <row r="3334" spans="30:30" x14ac:dyDescent="0.3">
      <c r="AD3334" s="16"/>
    </row>
    <row r="3335" spans="30:30" x14ac:dyDescent="0.3">
      <c r="AD3335" s="16"/>
    </row>
    <row r="3336" spans="30:30" x14ac:dyDescent="0.3">
      <c r="AD3336" s="16"/>
    </row>
    <row r="3337" spans="30:30" x14ac:dyDescent="0.3">
      <c r="AD3337" s="16"/>
    </row>
    <row r="3338" spans="30:30" x14ac:dyDescent="0.3">
      <c r="AD3338" s="16"/>
    </row>
    <row r="3339" spans="30:30" x14ac:dyDescent="0.3">
      <c r="AD3339" s="16"/>
    </row>
    <row r="3340" spans="30:30" x14ac:dyDescent="0.3">
      <c r="AD3340" s="16"/>
    </row>
    <row r="3341" spans="30:30" x14ac:dyDescent="0.3">
      <c r="AD3341" s="16"/>
    </row>
    <row r="3342" spans="30:30" x14ac:dyDescent="0.3">
      <c r="AD3342" s="16"/>
    </row>
    <row r="3343" spans="30:30" x14ac:dyDescent="0.3">
      <c r="AD3343" s="16"/>
    </row>
    <row r="3344" spans="30:30" x14ac:dyDescent="0.3">
      <c r="AD3344" s="16"/>
    </row>
    <row r="3345" spans="30:30" x14ac:dyDescent="0.3">
      <c r="AD3345" s="16"/>
    </row>
    <row r="3346" spans="30:30" x14ac:dyDescent="0.3">
      <c r="AD3346" s="16"/>
    </row>
    <row r="3347" spans="30:30" x14ac:dyDescent="0.3">
      <c r="AD3347" s="16"/>
    </row>
    <row r="3348" spans="30:30" x14ac:dyDescent="0.3">
      <c r="AD3348" s="16"/>
    </row>
    <row r="3349" spans="30:30" x14ac:dyDescent="0.3">
      <c r="AD3349" s="16"/>
    </row>
    <row r="3350" spans="30:30" x14ac:dyDescent="0.3">
      <c r="AD3350" s="16"/>
    </row>
    <row r="3351" spans="30:30" x14ac:dyDescent="0.3">
      <c r="AD3351" s="16"/>
    </row>
    <row r="3352" spans="30:30" x14ac:dyDescent="0.3">
      <c r="AD3352" s="16"/>
    </row>
    <row r="3353" spans="30:30" x14ac:dyDescent="0.3">
      <c r="AD3353" s="16"/>
    </row>
    <row r="3354" spans="30:30" x14ac:dyDescent="0.3">
      <c r="AD3354" s="16"/>
    </row>
    <row r="3355" spans="30:30" x14ac:dyDescent="0.3">
      <c r="AD3355" s="16"/>
    </row>
    <row r="3356" spans="30:30" x14ac:dyDescent="0.3">
      <c r="AD3356" s="16"/>
    </row>
    <row r="3357" spans="30:30" x14ac:dyDescent="0.3">
      <c r="AD3357" s="16"/>
    </row>
    <row r="3358" spans="30:30" x14ac:dyDescent="0.3">
      <c r="AD3358" s="16"/>
    </row>
    <row r="3359" spans="30:30" x14ac:dyDescent="0.3">
      <c r="AD3359" s="16"/>
    </row>
    <row r="3360" spans="30:30" x14ac:dyDescent="0.3">
      <c r="AD3360" s="16"/>
    </row>
    <row r="3361" spans="30:30" x14ac:dyDescent="0.3">
      <c r="AD3361" s="16"/>
    </row>
    <row r="3362" spans="30:30" x14ac:dyDescent="0.3">
      <c r="AD3362" s="16"/>
    </row>
    <row r="3363" spans="30:30" x14ac:dyDescent="0.3">
      <c r="AD3363" s="16"/>
    </row>
    <row r="3364" spans="30:30" x14ac:dyDescent="0.3">
      <c r="AD3364" s="16"/>
    </row>
    <row r="3365" spans="30:30" x14ac:dyDescent="0.3">
      <c r="AD3365" s="16"/>
    </row>
    <row r="3366" spans="30:30" x14ac:dyDescent="0.3">
      <c r="AD3366" s="16"/>
    </row>
    <row r="3367" spans="30:30" x14ac:dyDescent="0.3">
      <c r="AD3367" s="16"/>
    </row>
    <row r="3368" spans="30:30" x14ac:dyDescent="0.3">
      <c r="AD3368" s="16"/>
    </row>
    <row r="3369" spans="30:30" x14ac:dyDescent="0.3">
      <c r="AD3369" s="16"/>
    </row>
    <row r="3370" spans="30:30" x14ac:dyDescent="0.3">
      <c r="AD3370" s="16"/>
    </row>
    <row r="3371" spans="30:30" x14ac:dyDescent="0.3">
      <c r="AD3371" s="16"/>
    </row>
    <row r="3372" spans="30:30" x14ac:dyDescent="0.3">
      <c r="AD3372" s="16"/>
    </row>
    <row r="3373" spans="30:30" x14ac:dyDescent="0.3">
      <c r="AD3373" s="16"/>
    </row>
    <row r="3374" spans="30:30" x14ac:dyDescent="0.3">
      <c r="AD3374" s="16"/>
    </row>
    <row r="3375" spans="30:30" x14ac:dyDescent="0.3">
      <c r="AD3375" s="16"/>
    </row>
    <row r="3376" spans="30:30" x14ac:dyDescent="0.3">
      <c r="AD3376" s="16"/>
    </row>
    <row r="3377" spans="30:30" x14ac:dyDescent="0.3">
      <c r="AD3377" s="16"/>
    </row>
    <row r="3378" spans="30:30" x14ac:dyDescent="0.3">
      <c r="AD3378" s="16"/>
    </row>
    <row r="3379" spans="30:30" x14ac:dyDescent="0.3">
      <c r="AD3379" s="16"/>
    </row>
    <row r="3380" spans="30:30" x14ac:dyDescent="0.3">
      <c r="AD3380" s="16"/>
    </row>
    <row r="3381" spans="30:30" x14ac:dyDescent="0.3">
      <c r="AD3381" s="16"/>
    </row>
    <row r="3382" spans="30:30" x14ac:dyDescent="0.3">
      <c r="AD3382" s="16"/>
    </row>
    <row r="3383" spans="30:30" x14ac:dyDescent="0.3">
      <c r="AD3383" s="16"/>
    </row>
    <row r="3384" spans="30:30" x14ac:dyDescent="0.3">
      <c r="AD3384" s="16"/>
    </row>
    <row r="3385" spans="30:30" x14ac:dyDescent="0.3">
      <c r="AD3385" s="16"/>
    </row>
    <row r="3386" spans="30:30" x14ac:dyDescent="0.3">
      <c r="AD3386" s="16"/>
    </row>
    <row r="3387" spans="30:30" x14ac:dyDescent="0.3">
      <c r="AD3387" s="16"/>
    </row>
    <row r="3388" spans="30:30" x14ac:dyDescent="0.3">
      <c r="AD3388" s="16"/>
    </row>
    <row r="3389" spans="30:30" x14ac:dyDescent="0.3">
      <c r="AD3389" s="16"/>
    </row>
    <row r="3390" spans="30:30" x14ac:dyDescent="0.3">
      <c r="AD3390" s="16"/>
    </row>
    <row r="3391" spans="30:30" x14ac:dyDescent="0.3">
      <c r="AD3391" s="16"/>
    </row>
    <row r="3392" spans="30:30" x14ac:dyDescent="0.3">
      <c r="AD3392" s="16"/>
    </row>
    <row r="3393" spans="30:30" x14ac:dyDescent="0.3">
      <c r="AD3393" s="16"/>
    </row>
    <row r="3394" spans="30:30" x14ac:dyDescent="0.3">
      <c r="AD3394" s="16"/>
    </row>
    <row r="3395" spans="30:30" x14ac:dyDescent="0.3">
      <c r="AD3395" s="16"/>
    </row>
    <row r="3396" spans="30:30" x14ac:dyDescent="0.3">
      <c r="AD3396" s="16"/>
    </row>
    <row r="3397" spans="30:30" x14ac:dyDescent="0.3">
      <c r="AD3397" s="16"/>
    </row>
    <row r="3398" spans="30:30" x14ac:dyDescent="0.3">
      <c r="AD3398" s="16"/>
    </row>
    <row r="3399" spans="30:30" x14ac:dyDescent="0.3">
      <c r="AD3399" s="16"/>
    </row>
    <row r="3400" spans="30:30" x14ac:dyDescent="0.3">
      <c r="AD3400" s="16"/>
    </row>
    <row r="3401" spans="30:30" x14ac:dyDescent="0.3">
      <c r="AD3401" s="16"/>
    </row>
    <row r="3402" spans="30:30" x14ac:dyDescent="0.3">
      <c r="AD3402" s="16"/>
    </row>
    <row r="3403" spans="30:30" x14ac:dyDescent="0.3">
      <c r="AD3403" s="16"/>
    </row>
    <row r="3404" spans="30:30" x14ac:dyDescent="0.3">
      <c r="AD3404" s="16"/>
    </row>
    <row r="3405" spans="30:30" x14ac:dyDescent="0.3">
      <c r="AD3405" s="16"/>
    </row>
    <row r="3406" spans="30:30" x14ac:dyDescent="0.3">
      <c r="AD3406" s="16"/>
    </row>
    <row r="3407" spans="30:30" x14ac:dyDescent="0.3">
      <c r="AD3407" s="16"/>
    </row>
    <row r="3408" spans="30:30" x14ac:dyDescent="0.3">
      <c r="AD3408" s="16"/>
    </row>
    <row r="3409" spans="30:30" x14ac:dyDescent="0.3">
      <c r="AD3409" s="16"/>
    </row>
    <row r="3410" spans="30:30" x14ac:dyDescent="0.3">
      <c r="AD3410" s="16"/>
    </row>
    <row r="3411" spans="30:30" x14ac:dyDescent="0.3">
      <c r="AD3411" s="16"/>
    </row>
    <row r="3412" spans="30:30" x14ac:dyDescent="0.3">
      <c r="AD3412" s="16"/>
    </row>
    <row r="3413" spans="30:30" x14ac:dyDescent="0.3">
      <c r="AD3413" s="16"/>
    </row>
    <row r="3414" spans="30:30" x14ac:dyDescent="0.3">
      <c r="AD3414" s="16"/>
    </row>
    <row r="3415" spans="30:30" x14ac:dyDescent="0.3">
      <c r="AD3415" s="16"/>
    </row>
    <row r="3416" spans="30:30" x14ac:dyDescent="0.3">
      <c r="AD3416" s="16"/>
    </row>
    <row r="3417" spans="30:30" x14ac:dyDescent="0.3">
      <c r="AD3417" s="16"/>
    </row>
    <row r="3418" spans="30:30" x14ac:dyDescent="0.3">
      <c r="AD3418" s="16"/>
    </row>
    <row r="3419" spans="30:30" x14ac:dyDescent="0.3">
      <c r="AD3419" s="16"/>
    </row>
    <row r="3420" spans="30:30" x14ac:dyDescent="0.3">
      <c r="AD3420" s="16"/>
    </row>
    <row r="3421" spans="30:30" x14ac:dyDescent="0.3">
      <c r="AD3421" s="16"/>
    </row>
    <row r="3422" spans="30:30" x14ac:dyDescent="0.3">
      <c r="AD3422" s="16"/>
    </row>
    <row r="3423" spans="30:30" x14ac:dyDescent="0.3">
      <c r="AD3423" s="16"/>
    </row>
    <row r="3424" spans="30:30" x14ac:dyDescent="0.3">
      <c r="AD3424" s="16"/>
    </row>
    <row r="3425" spans="30:30" x14ac:dyDescent="0.3">
      <c r="AD3425" s="16"/>
    </row>
    <row r="3426" spans="30:30" x14ac:dyDescent="0.3">
      <c r="AD3426" s="16"/>
    </row>
    <row r="3427" spans="30:30" x14ac:dyDescent="0.3">
      <c r="AD3427" s="16"/>
    </row>
    <row r="3428" spans="30:30" x14ac:dyDescent="0.3">
      <c r="AD3428" s="16"/>
    </row>
    <row r="3429" spans="30:30" x14ac:dyDescent="0.3">
      <c r="AD3429" s="16"/>
    </row>
    <row r="3430" spans="30:30" x14ac:dyDescent="0.3">
      <c r="AD3430" s="16"/>
    </row>
    <row r="3431" spans="30:30" x14ac:dyDescent="0.3">
      <c r="AD3431" s="16"/>
    </row>
    <row r="3432" spans="30:30" x14ac:dyDescent="0.3">
      <c r="AD3432" s="16"/>
    </row>
    <row r="3433" spans="30:30" x14ac:dyDescent="0.3">
      <c r="AD3433" s="16"/>
    </row>
    <row r="3434" spans="30:30" x14ac:dyDescent="0.3">
      <c r="AD3434" s="16"/>
    </row>
    <row r="3435" spans="30:30" x14ac:dyDescent="0.3">
      <c r="AD3435" s="16"/>
    </row>
    <row r="3436" spans="30:30" x14ac:dyDescent="0.3">
      <c r="AD3436" s="16"/>
    </row>
    <row r="3437" spans="30:30" x14ac:dyDescent="0.3">
      <c r="AD3437" s="16"/>
    </row>
    <row r="3438" spans="30:30" x14ac:dyDescent="0.3">
      <c r="AD3438" s="16"/>
    </row>
    <row r="3439" spans="30:30" x14ac:dyDescent="0.3">
      <c r="AD3439" s="16"/>
    </row>
    <row r="3440" spans="30:30" x14ac:dyDescent="0.3">
      <c r="AD3440" s="16"/>
    </row>
    <row r="3441" spans="30:30" x14ac:dyDescent="0.3">
      <c r="AD3441" s="16"/>
    </row>
    <row r="3442" spans="30:30" x14ac:dyDescent="0.3">
      <c r="AD3442" s="16"/>
    </row>
    <row r="3443" spans="30:30" x14ac:dyDescent="0.3">
      <c r="AD3443" s="16"/>
    </row>
    <row r="3444" spans="30:30" x14ac:dyDescent="0.3">
      <c r="AD3444" s="16"/>
    </row>
    <row r="3445" spans="30:30" x14ac:dyDescent="0.3">
      <c r="AD3445" s="16"/>
    </row>
    <row r="3446" spans="30:30" x14ac:dyDescent="0.3">
      <c r="AD3446" s="16"/>
    </row>
    <row r="3447" spans="30:30" x14ac:dyDescent="0.3">
      <c r="AD3447" s="16"/>
    </row>
    <row r="3448" spans="30:30" x14ac:dyDescent="0.3">
      <c r="AD3448" s="16"/>
    </row>
    <row r="3449" spans="30:30" x14ac:dyDescent="0.3">
      <c r="AD3449" s="16"/>
    </row>
    <row r="3450" spans="30:30" x14ac:dyDescent="0.3">
      <c r="AD3450" s="16"/>
    </row>
    <row r="3451" spans="30:30" x14ac:dyDescent="0.3">
      <c r="AD3451" s="16"/>
    </row>
    <row r="3452" spans="30:30" x14ac:dyDescent="0.3">
      <c r="AD3452" s="16"/>
    </row>
    <row r="3453" spans="30:30" x14ac:dyDescent="0.3">
      <c r="AD3453" s="16"/>
    </row>
    <row r="3454" spans="30:30" x14ac:dyDescent="0.3">
      <c r="AD3454" s="16"/>
    </row>
    <row r="3455" spans="30:30" x14ac:dyDescent="0.3">
      <c r="AD3455" s="16"/>
    </row>
    <row r="3456" spans="30:30" x14ac:dyDescent="0.3">
      <c r="AD3456" s="16"/>
    </row>
    <row r="3457" spans="30:30" x14ac:dyDescent="0.3">
      <c r="AD3457" s="16"/>
    </row>
    <row r="3458" spans="30:30" x14ac:dyDescent="0.3">
      <c r="AD3458" s="16"/>
    </row>
    <row r="3459" spans="30:30" x14ac:dyDescent="0.3">
      <c r="AD3459" s="16"/>
    </row>
    <row r="3460" spans="30:30" x14ac:dyDescent="0.3">
      <c r="AD3460" s="16"/>
    </row>
    <row r="3461" spans="30:30" x14ac:dyDescent="0.3">
      <c r="AD3461" s="16"/>
    </row>
    <row r="3462" spans="30:30" x14ac:dyDescent="0.3">
      <c r="AD3462" s="16"/>
    </row>
    <row r="3463" spans="30:30" x14ac:dyDescent="0.3">
      <c r="AD3463" s="16"/>
    </row>
    <row r="3464" spans="30:30" x14ac:dyDescent="0.3">
      <c r="AD3464" s="16"/>
    </row>
    <row r="3465" spans="30:30" x14ac:dyDescent="0.3">
      <c r="AD3465" s="16"/>
    </row>
    <row r="3466" spans="30:30" x14ac:dyDescent="0.3">
      <c r="AD3466" s="16"/>
    </row>
    <row r="3467" spans="30:30" x14ac:dyDescent="0.3">
      <c r="AD3467" s="16"/>
    </row>
    <row r="3468" spans="30:30" x14ac:dyDescent="0.3">
      <c r="AD3468" s="16"/>
    </row>
    <row r="3469" spans="30:30" x14ac:dyDescent="0.3">
      <c r="AD3469" s="16"/>
    </row>
    <row r="3470" spans="30:30" x14ac:dyDescent="0.3">
      <c r="AD3470" s="16"/>
    </row>
    <row r="3471" spans="30:30" x14ac:dyDescent="0.3">
      <c r="AD3471" s="16"/>
    </row>
    <row r="3472" spans="30:30" x14ac:dyDescent="0.3">
      <c r="AD3472" s="16"/>
    </row>
    <row r="3473" spans="30:30" x14ac:dyDescent="0.3">
      <c r="AD3473" s="16"/>
    </row>
    <row r="3474" spans="30:30" x14ac:dyDescent="0.3">
      <c r="AD3474" s="16"/>
    </row>
    <row r="3475" spans="30:30" x14ac:dyDescent="0.3">
      <c r="AD3475" s="16"/>
    </row>
    <row r="3476" spans="30:30" x14ac:dyDescent="0.3">
      <c r="AD3476" s="16"/>
    </row>
    <row r="3477" spans="30:30" x14ac:dyDescent="0.3">
      <c r="AD3477" s="16"/>
    </row>
    <row r="3478" spans="30:30" x14ac:dyDescent="0.3">
      <c r="AD3478" s="16"/>
    </row>
    <row r="3479" spans="30:30" x14ac:dyDescent="0.3">
      <c r="AD3479" s="16"/>
    </row>
    <row r="3480" spans="30:30" x14ac:dyDescent="0.3">
      <c r="AD3480" s="16"/>
    </row>
    <row r="3481" spans="30:30" x14ac:dyDescent="0.3">
      <c r="AD3481" s="16"/>
    </row>
    <row r="3482" spans="30:30" x14ac:dyDescent="0.3">
      <c r="AD3482" s="16"/>
    </row>
    <row r="3483" spans="30:30" x14ac:dyDescent="0.3">
      <c r="AD3483" s="16"/>
    </row>
    <row r="3484" spans="30:30" x14ac:dyDescent="0.3">
      <c r="AD3484" s="16"/>
    </row>
    <row r="3485" spans="30:30" x14ac:dyDescent="0.3">
      <c r="AD3485" s="16"/>
    </row>
    <row r="3486" spans="30:30" x14ac:dyDescent="0.3">
      <c r="AD3486" s="16"/>
    </row>
    <row r="3487" spans="30:30" x14ac:dyDescent="0.3">
      <c r="AD3487" s="16"/>
    </row>
    <row r="3488" spans="30:30" x14ac:dyDescent="0.3">
      <c r="AD3488" s="16"/>
    </row>
    <row r="3489" spans="30:30" x14ac:dyDescent="0.3">
      <c r="AD3489" s="16"/>
    </row>
    <row r="3490" spans="30:30" x14ac:dyDescent="0.3">
      <c r="AD3490" s="16"/>
    </row>
    <row r="3491" spans="30:30" x14ac:dyDescent="0.3">
      <c r="AD3491" s="16"/>
    </row>
    <row r="3492" spans="30:30" x14ac:dyDescent="0.3">
      <c r="AD3492" s="16"/>
    </row>
    <row r="3493" spans="30:30" x14ac:dyDescent="0.3">
      <c r="AD3493" s="16"/>
    </row>
    <row r="3494" spans="30:30" x14ac:dyDescent="0.3">
      <c r="AD3494" s="16"/>
    </row>
    <row r="3495" spans="30:30" x14ac:dyDescent="0.3">
      <c r="AD3495" s="16"/>
    </row>
    <row r="3496" spans="30:30" x14ac:dyDescent="0.3">
      <c r="AD3496" s="16"/>
    </row>
    <row r="3497" spans="30:30" x14ac:dyDescent="0.3">
      <c r="AD3497" s="16"/>
    </row>
    <row r="3498" spans="30:30" x14ac:dyDescent="0.3">
      <c r="AD3498" s="16"/>
    </row>
    <row r="3499" spans="30:30" x14ac:dyDescent="0.3">
      <c r="AD3499" s="16"/>
    </row>
    <row r="3500" spans="30:30" x14ac:dyDescent="0.3">
      <c r="AD3500" s="16"/>
    </row>
    <row r="3501" spans="30:30" x14ac:dyDescent="0.3">
      <c r="AD3501" s="16"/>
    </row>
    <row r="3502" spans="30:30" x14ac:dyDescent="0.3">
      <c r="AD3502" s="16"/>
    </row>
    <row r="3503" spans="30:30" x14ac:dyDescent="0.3">
      <c r="AD3503" s="16"/>
    </row>
    <row r="3504" spans="30:30" x14ac:dyDescent="0.3">
      <c r="AD3504" s="16"/>
    </row>
    <row r="3505" spans="30:30" x14ac:dyDescent="0.3">
      <c r="AD3505" s="16"/>
    </row>
    <row r="3506" spans="30:30" x14ac:dyDescent="0.3">
      <c r="AD3506" s="16"/>
    </row>
    <row r="3507" spans="30:30" x14ac:dyDescent="0.3">
      <c r="AD3507" s="16"/>
    </row>
    <row r="3508" spans="30:30" x14ac:dyDescent="0.3">
      <c r="AD3508" s="16"/>
    </row>
    <row r="3509" spans="30:30" x14ac:dyDescent="0.3">
      <c r="AD3509" s="16"/>
    </row>
    <row r="3510" spans="30:30" x14ac:dyDescent="0.3">
      <c r="AD3510" s="16"/>
    </row>
    <row r="3511" spans="30:30" x14ac:dyDescent="0.3">
      <c r="AD3511" s="16"/>
    </row>
    <row r="3512" spans="30:30" x14ac:dyDescent="0.3">
      <c r="AD3512" s="16"/>
    </row>
    <row r="3513" spans="30:30" x14ac:dyDescent="0.3">
      <c r="AD3513" s="16"/>
    </row>
    <row r="3514" spans="30:30" x14ac:dyDescent="0.3">
      <c r="AD3514" s="16"/>
    </row>
    <row r="3515" spans="30:30" x14ac:dyDescent="0.3">
      <c r="AD3515" s="16"/>
    </row>
    <row r="3516" spans="30:30" x14ac:dyDescent="0.3">
      <c r="AD3516" s="16"/>
    </row>
    <row r="3517" spans="30:30" x14ac:dyDescent="0.3">
      <c r="AD3517" s="16"/>
    </row>
    <row r="3518" spans="30:30" x14ac:dyDescent="0.3">
      <c r="AD3518" s="16"/>
    </row>
    <row r="3519" spans="30:30" x14ac:dyDescent="0.3">
      <c r="AD3519" s="16"/>
    </row>
    <row r="3520" spans="30:30" x14ac:dyDescent="0.3">
      <c r="AD3520" s="16"/>
    </row>
    <row r="3521" spans="30:30" x14ac:dyDescent="0.3">
      <c r="AD3521" s="16"/>
    </row>
    <row r="3522" spans="30:30" x14ac:dyDescent="0.3">
      <c r="AD3522" s="16"/>
    </row>
    <row r="3523" spans="30:30" x14ac:dyDescent="0.3">
      <c r="AD3523" s="16"/>
    </row>
    <row r="3524" spans="30:30" x14ac:dyDescent="0.3">
      <c r="AD3524" s="16"/>
    </row>
    <row r="3525" spans="30:30" x14ac:dyDescent="0.3">
      <c r="AD3525" s="16"/>
    </row>
    <row r="3526" spans="30:30" x14ac:dyDescent="0.3">
      <c r="AD3526" s="16"/>
    </row>
    <row r="3527" spans="30:30" x14ac:dyDescent="0.3">
      <c r="AD3527" s="16"/>
    </row>
    <row r="3528" spans="30:30" x14ac:dyDescent="0.3">
      <c r="AD3528" s="16"/>
    </row>
    <row r="3529" spans="30:30" x14ac:dyDescent="0.3">
      <c r="AD3529" s="16"/>
    </row>
    <row r="3530" spans="30:30" x14ac:dyDescent="0.3">
      <c r="AD3530" s="16"/>
    </row>
    <row r="3531" spans="30:30" x14ac:dyDescent="0.3">
      <c r="AD3531" s="16"/>
    </row>
    <row r="3532" spans="30:30" x14ac:dyDescent="0.3">
      <c r="AD3532" s="16"/>
    </row>
    <row r="3533" spans="30:30" x14ac:dyDescent="0.3">
      <c r="AD3533" s="16"/>
    </row>
    <row r="3534" spans="30:30" x14ac:dyDescent="0.3">
      <c r="AD3534" s="16"/>
    </row>
    <row r="3535" spans="30:30" x14ac:dyDescent="0.3">
      <c r="AD3535" s="16"/>
    </row>
    <row r="3536" spans="30:30" x14ac:dyDescent="0.3">
      <c r="AD3536" s="16"/>
    </row>
    <row r="3537" spans="30:30" x14ac:dyDescent="0.3">
      <c r="AD3537" s="16"/>
    </row>
    <row r="3538" spans="30:30" x14ac:dyDescent="0.3">
      <c r="AD3538" s="16"/>
    </row>
    <row r="3539" spans="30:30" x14ac:dyDescent="0.3">
      <c r="AD3539" s="16"/>
    </row>
    <row r="3540" spans="30:30" x14ac:dyDescent="0.3">
      <c r="AD3540" s="16"/>
    </row>
    <row r="3541" spans="30:30" x14ac:dyDescent="0.3">
      <c r="AD3541" s="16"/>
    </row>
    <row r="3542" spans="30:30" x14ac:dyDescent="0.3">
      <c r="AD3542" s="16"/>
    </row>
    <row r="3543" spans="30:30" x14ac:dyDescent="0.3">
      <c r="AD3543" s="16"/>
    </row>
    <row r="3544" spans="30:30" x14ac:dyDescent="0.3">
      <c r="AD3544" s="16"/>
    </row>
    <row r="3545" spans="30:30" x14ac:dyDescent="0.3">
      <c r="AD3545" s="16"/>
    </row>
    <row r="3546" spans="30:30" x14ac:dyDescent="0.3">
      <c r="AD3546" s="16"/>
    </row>
    <row r="3547" spans="30:30" x14ac:dyDescent="0.3">
      <c r="AD3547" s="16"/>
    </row>
    <row r="3548" spans="30:30" x14ac:dyDescent="0.3">
      <c r="AD3548" s="16"/>
    </row>
    <row r="3549" spans="30:30" x14ac:dyDescent="0.3">
      <c r="AD3549" s="16"/>
    </row>
    <row r="3550" spans="30:30" x14ac:dyDescent="0.3">
      <c r="AD3550" s="16"/>
    </row>
    <row r="3551" spans="30:30" x14ac:dyDescent="0.3">
      <c r="AD3551" s="16"/>
    </row>
    <row r="3552" spans="30:30" x14ac:dyDescent="0.3">
      <c r="AD3552" s="16"/>
    </row>
    <row r="3553" spans="30:30" x14ac:dyDescent="0.3">
      <c r="AD3553" s="16"/>
    </row>
    <row r="3554" spans="30:30" x14ac:dyDescent="0.3">
      <c r="AD3554" s="16"/>
    </row>
    <row r="3555" spans="30:30" x14ac:dyDescent="0.3">
      <c r="AD3555" s="16"/>
    </row>
    <row r="3556" spans="30:30" x14ac:dyDescent="0.3">
      <c r="AD3556" s="16"/>
    </row>
    <row r="3557" spans="30:30" x14ac:dyDescent="0.3">
      <c r="AD3557" s="16"/>
    </row>
    <row r="3558" spans="30:30" x14ac:dyDescent="0.3">
      <c r="AD3558" s="16"/>
    </row>
    <row r="3559" spans="30:30" x14ac:dyDescent="0.3">
      <c r="AD3559" s="16"/>
    </row>
    <row r="3560" spans="30:30" x14ac:dyDescent="0.3">
      <c r="AD3560" s="16"/>
    </row>
    <row r="3561" spans="30:30" x14ac:dyDescent="0.3">
      <c r="AD3561" s="16"/>
    </row>
    <row r="3562" spans="30:30" x14ac:dyDescent="0.3">
      <c r="AD3562" s="16"/>
    </row>
    <row r="3563" spans="30:30" x14ac:dyDescent="0.3">
      <c r="AD3563" s="16"/>
    </row>
    <row r="3564" spans="30:30" x14ac:dyDescent="0.3">
      <c r="AD3564" s="16"/>
    </row>
    <row r="3565" spans="30:30" x14ac:dyDescent="0.3">
      <c r="AD3565" s="16"/>
    </row>
    <row r="3566" spans="30:30" x14ac:dyDescent="0.3">
      <c r="AD3566" s="16"/>
    </row>
    <row r="3567" spans="30:30" x14ac:dyDescent="0.3">
      <c r="AD3567" s="16"/>
    </row>
    <row r="3568" spans="30:30" x14ac:dyDescent="0.3">
      <c r="AD3568" s="16"/>
    </row>
    <row r="3569" spans="30:30" x14ac:dyDescent="0.3">
      <c r="AD3569" s="16"/>
    </row>
    <row r="3570" spans="30:30" x14ac:dyDescent="0.3">
      <c r="AD3570" s="16"/>
    </row>
    <row r="3571" spans="30:30" x14ac:dyDescent="0.3">
      <c r="AD3571" s="16"/>
    </row>
    <row r="3572" spans="30:30" x14ac:dyDescent="0.3">
      <c r="AD3572" s="16"/>
    </row>
    <row r="3573" spans="30:30" x14ac:dyDescent="0.3">
      <c r="AD3573" s="16"/>
    </row>
    <row r="3574" spans="30:30" x14ac:dyDescent="0.3">
      <c r="AD3574" s="16"/>
    </row>
    <row r="3575" spans="30:30" x14ac:dyDescent="0.3">
      <c r="AD3575" s="16"/>
    </row>
    <row r="3576" spans="30:30" x14ac:dyDescent="0.3">
      <c r="AD3576" s="16"/>
    </row>
    <row r="3577" spans="30:30" x14ac:dyDescent="0.3">
      <c r="AD3577" s="16"/>
    </row>
    <row r="3578" spans="30:30" x14ac:dyDescent="0.3">
      <c r="AD3578" s="16"/>
    </row>
    <row r="3579" spans="30:30" x14ac:dyDescent="0.3">
      <c r="AD3579" s="16"/>
    </row>
    <row r="3580" spans="30:30" x14ac:dyDescent="0.3">
      <c r="AD3580" s="16"/>
    </row>
    <row r="3581" spans="30:30" x14ac:dyDescent="0.3">
      <c r="AD3581" s="16"/>
    </row>
    <row r="3582" spans="30:30" x14ac:dyDescent="0.3">
      <c r="AD3582" s="16"/>
    </row>
    <row r="3583" spans="30:30" x14ac:dyDescent="0.3">
      <c r="AD3583" s="16"/>
    </row>
    <row r="3584" spans="30:30" x14ac:dyDescent="0.3">
      <c r="AD3584" s="16"/>
    </row>
    <row r="3585" spans="30:30" x14ac:dyDescent="0.3">
      <c r="AD3585" s="16"/>
    </row>
    <row r="3586" spans="30:30" x14ac:dyDescent="0.3">
      <c r="AD3586" s="16"/>
    </row>
    <row r="3587" spans="30:30" x14ac:dyDescent="0.3">
      <c r="AD3587" s="16"/>
    </row>
    <row r="3588" spans="30:30" x14ac:dyDescent="0.3">
      <c r="AD3588" s="16"/>
    </row>
    <row r="3589" spans="30:30" x14ac:dyDescent="0.3">
      <c r="AD3589" s="16"/>
    </row>
    <row r="3590" spans="30:30" x14ac:dyDescent="0.3">
      <c r="AD3590" s="16"/>
    </row>
    <row r="3591" spans="30:30" x14ac:dyDescent="0.3">
      <c r="AD3591" s="16"/>
    </row>
    <row r="3592" spans="30:30" x14ac:dyDescent="0.3">
      <c r="AD3592" s="16"/>
    </row>
    <row r="3593" spans="30:30" x14ac:dyDescent="0.3">
      <c r="AD3593" s="16"/>
    </row>
    <row r="3594" spans="30:30" x14ac:dyDescent="0.3">
      <c r="AD3594" s="16"/>
    </row>
    <row r="3595" spans="30:30" x14ac:dyDescent="0.3">
      <c r="AD3595" s="16"/>
    </row>
    <row r="3596" spans="30:30" x14ac:dyDescent="0.3">
      <c r="AD3596" s="16"/>
    </row>
    <row r="3597" spans="30:30" x14ac:dyDescent="0.3">
      <c r="AD3597" s="16"/>
    </row>
    <row r="3598" spans="30:30" x14ac:dyDescent="0.3">
      <c r="AD3598" s="16"/>
    </row>
    <row r="3599" spans="30:30" x14ac:dyDescent="0.3">
      <c r="AD3599" s="16"/>
    </row>
    <row r="3600" spans="30:30" x14ac:dyDescent="0.3">
      <c r="AD3600" s="16"/>
    </row>
    <row r="3601" spans="30:30" x14ac:dyDescent="0.3">
      <c r="AD3601" s="16"/>
    </row>
    <row r="3602" spans="30:30" x14ac:dyDescent="0.3">
      <c r="AD3602" s="16"/>
    </row>
    <row r="3603" spans="30:30" x14ac:dyDescent="0.3">
      <c r="AD3603" s="16"/>
    </row>
    <row r="3604" spans="30:30" x14ac:dyDescent="0.3">
      <c r="AD3604" s="16"/>
    </row>
    <row r="3605" spans="30:30" x14ac:dyDescent="0.3">
      <c r="AD3605" s="16"/>
    </row>
    <row r="3606" spans="30:30" x14ac:dyDescent="0.3">
      <c r="AD3606" s="16"/>
    </row>
    <row r="3607" spans="30:30" x14ac:dyDescent="0.3">
      <c r="AD3607" s="16"/>
    </row>
    <row r="3608" spans="30:30" x14ac:dyDescent="0.3">
      <c r="AD3608" s="16"/>
    </row>
    <row r="3609" spans="30:30" x14ac:dyDescent="0.3">
      <c r="AD3609" s="16"/>
    </row>
    <row r="3610" spans="30:30" x14ac:dyDescent="0.3">
      <c r="AD3610" s="16"/>
    </row>
    <row r="3611" spans="30:30" x14ac:dyDescent="0.3">
      <c r="AD3611" s="16"/>
    </row>
    <row r="3612" spans="30:30" x14ac:dyDescent="0.3">
      <c r="AD3612" s="16"/>
    </row>
    <row r="3613" spans="30:30" x14ac:dyDescent="0.3">
      <c r="AD3613" s="16"/>
    </row>
    <row r="3614" spans="30:30" x14ac:dyDescent="0.3">
      <c r="AD3614" s="16"/>
    </row>
    <row r="3615" spans="30:30" x14ac:dyDescent="0.3">
      <c r="AD3615" s="16"/>
    </row>
    <row r="3616" spans="30:30" x14ac:dyDescent="0.3">
      <c r="AD3616" s="16"/>
    </row>
    <row r="3617" spans="30:30" x14ac:dyDescent="0.3">
      <c r="AD3617" s="16"/>
    </row>
    <row r="3618" spans="30:30" x14ac:dyDescent="0.3">
      <c r="AD3618" s="16"/>
    </row>
    <row r="3619" spans="30:30" x14ac:dyDescent="0.3">
      <c r="AD3619" s="16"/>
    </row>
    <row r="3620" spans="30:30" x14ac:dyDescent="0.3">
      <c r="AD3620" s="16"/>
    </row>
    <row r="3621" spans="30:30" x14ac:dyDescent="0.3">
      <c r="AD3621" s="16"/>
    </row>
    <row r="3622" spans="30:30" x14ac:dyDescent="0.3">
      <c r="AD3622" s="16"/>
    </row>
    <row r="3623" spans="30:30" x14ac:dyDescent="0.3">
      <c r="AD3623" s="16"/>
    </row>
    <row r="3624" spans="30:30" x14ac:dyDescent="0.3">
      <c r="AD3624" s="16"/>
    </row>
    <row r="3625" spans="30:30" x14ac:dyDescent="0.3">
      <c r="AD3625" s="16"/>
    </row>
    <row r="3626" spans="30:30" x14ac:dyDescent="0.3">
      <c r="AD3626" s="16"/>
    </row>
    <row r="3627" spans="30:30" x14ac:dyDescent="0.3">
      <c r="AD3627" s="16"/>
    </row>
    <row r="3628" spans="30:30" x14ac:dyDescent="0.3">
      <c r="AD3628" s="16"/>
    </row>
    <row r="3629" spans="30:30" x14ac:dyDescent="0.3">
      <c r="AD3629" s="16"/>
    </row>
    <row r="3630" spans="30:30" x14ac:dyDescent="0.3">
      <c r="AD3630" s="16"/>
    </row>
    <row r="3631" spans="30:30" x14ac:dyDescent="0.3">
      <c r="AD3631" s="16"/>
    </row>
    <row r="3632" spans="30:30" x14ac:dyDescent="0.3">
      <c r="AD3632" s="16"/>
    </row>
    <row r="3633" spans="30:30" x14ac:dyDescent="0.3">
      <c r="AD3633" s="16"/>
    </row>
    <row r="3634" spans="30:30" x14ac:dyDescent="0.3">
      <c r="AD3634" s="16"/>
    </row>
    <row r="3635" spans="30:30" x14ac:dyDescent="0.3">
      <c r="AD3635" s="16"/>
    </row>
    <row r="3636" spans="30:30" x14ac:dyDescent="0.3">
      <c r="AD3636" s="16"/>
    </row>
    <row r="3637" spans="30:30" x14ac:dyDescent="0.3">
      <c r="AD3637" s="16"/>
    </row>
    <row r="3638" spans="30:30" x14ac:dyDescent="0.3">
      <c r="AD3638" s="16"/>
    </row>
    <row r="3639" spans="30:30" x14ac:dyDescent="0.3">
      <c r="AD3639" s="16"/>
    </row>
    <row r="3640" spans="30:30" x14ac:dyDescent="0.3">
      <c r="AD3640" s="16"/>
    </row>
    <row r="3641" spans="30:30" x14ac:dyDescent="0.3">
      <c r="AD3641" s="16"/>
    </row>
    <row r="3642" spans="30:30" x14ac:dyDescent="0.3">
      <c r="AD3642" s="16"/>
    </row>
    <row r="3643" spans="30:30" x14ac:dyDescent="0.3">
      <c r="AD3643" s="16"/>
    </row>
    <row r="3644" spans="30:30" x14ac:dyDescent="0.3">
      <c r="AD3644" s="16"/>
    </row>
    <row r="3645" spans="30:30" x14ac:dyDescent="0.3">
      <c r="AD3645" s="16"/>
    </row>
    <row r="3646" spans="30:30" x14ac:dyDescent="0.3">
      <c r="AD3646" s="16"/>
    </row>
    <row r="3647" spans="30:30" x14ac:dyDescent="0.3">
      <c r="AD3647" s="16"/>
    </row>
    <row r="3648" spans="30:30" x14ac:dyDescent="0.3">
      <c r="AD3648" s="16"/>
    </row>
    <row r="3649" spans="30:30" x14ac:dyDescent="0.3">
      <c r="AD3649" s="16"/>
    </row>
    <row r="3650" spans="30:30" x14ac:dyDescent="0.3">
      <c r="AD3650" s="16"/>
    </row>
    <row r="3651" spans="30:30" x14ac:dyDescent="0.3">
      <c r="AD3651" s="16"/>
    </row>
    <row r="3652" spans="30:30" x14ac:dyDescent="0.3">
      <c r="AD3652" s="16"/>
    </row>
    <row r="3653" spans="30:30" x14ac:dyDescent="0.3">
      <c r="AD3653" s="16"/>
    </row>
    <row r="3654" spans="30:30" x14ac:dyDescent="0.3">
      <c r="AD3654" s="16"/>
    </row>
    <row r="3655" spans="30:30" x14ac:dyDescent="0.3">
      <c r="AD3655" s="16"/>
    </row>
    <row r="3656" spans="30:30" x14ac:dyDescent="0.3">
      <c r="AD3656" s="16"/>
    </row>
    <row r="3657" spans="30:30" x14ac:dyDescent="0.3">
      <c r="AD3657" s="16"/>
    </row>
    <row r="3658" spans="30:30" x14ac:dyDescent="0.3">
      <c r="AD3658" s="16"/>
    </row>
    <row r="3659" spans="30:30" x14ac:dyDescent="0.3">
      <c r="AD3659" s="16"/>
    </row>
    <row r="3660" spans="30:30" x14ac:dyDescent="0.3">
      <c r="AD3660" s="16"/>
    </row>
    <row r="3661" spans="30:30" x14ac:dyDescent="0.3">
      <c r="AD3661" s="16"/>
    </row>
    <row r="3662" spans="30:30" x14ac:dyDescent="0.3">
      <c r="AD3662" s="16"/>
    </row>
    <row r="3663" spans="30:30" x14ac:dyDescent="0.3">
      <c r="AD3663" s="16"/>
    </row>
    <row r="3664" spans="30:30" x14ac:dyDescent="0.3">
      <c r="AD3664" s="16"/>
    </row>
    <row r="3665" spans="30:30" x14ac:dyDescent="0.3">
      <c r="AD3665" s="16"/>
    </row>
    <row r="3666" spans="30:30" x14ac:dyDescent="0.3">
      <c r="AD3666" s="16"/>
    </row>
    <row r="3667" spans="30:30" x14ac:dyDescent="0.3">
      <c r="AD3667" s="16"/>
    </row>
    <row r="3668" spans="30:30" x14ac:dyDescent="0.3">
      <c r="AD3668" s="16"/>
    </row>
    <row r="3669" spans="30:30" x14ac:dyDescent="0.3">
      <c r="AD3669" s="16"/>
    </row>
    <row r="3670" spans="30:30" x14ac:dyDescent="0.3">
      <c r="AD3670" s="16"/>
    </row>
    <row r="3671" spans="30:30" x14ac:dyDescent="0.3">
      <c r="AD3671" s="16"/>
    </row>
    <row r="3672" spans="30:30" x14ac:dyDescent="0.3">
      <c r="AD3672" s="16"/>
    </row>
    <row r="3673" spans="30:30" x14ac:dyDescent="0.3">
      <c r="AD3673" s="16"/>
    </row>
    <row r="3674" spans="30:30" x14ac:dyDescent="0.3">
      <c r="AD3674" s="16"/>
    </row>
    <row r="3675" spans="30:30" x14ac:dyDescent="0.3">
      <c r="AD3675" s="16"/>
    </row>
    <row r="3676" spans="30:30" x14ac:dyDescent="0.3">
      <c r="AD3676" s="16"/>
    </row>
    <row r="3677" spans="30:30" x14ac:dyDescent="0.3">
      <c r="AD3677" s="16"/>
    </row>
    <row r="3678" spans="30:30" x14ac:dyDescent="0.3">
      <c r="AD3678" s="16"/>
    </row>
    <row r="3679" spans="30:30" x14ac:dyDescent="0.3">
      <c r="AD3679" s="16"/>
    </row>
    <row r="3680" spans="30:30" x14ac:dyDescent="0.3">
      <c r="AD3680" s="16"/>
    </row>
    <row r="3681" spans="30:30" x14ac:dyDescent="0.3">
      <c r="AD3681" s="16"/>
    </row>
    <row r="3682" spans="30:30" x14ac:dyDescent="0.3">
      <c r="AD3682" s="16"/>
    </row>
    <row r="3683" spans="30:30" x14ac:dyDescent="0.3">
      <c r="AD3683" s="16"/>
    </row>
    <row r="3684" spans="30:30" x14ac:dyDescent="0.3">
      <c r="AD3684" s="16"/>
    </row>
    <row r="3685" spans="30:30" x14ac:dyDescent="0.3">
      <c r="AD3685" s="16"/>
    </row>
    <row r="3686" spans="30:30" x14ac:dyDescent="0.3">
      <c r="AD3686" s="16"/>
    </row>
    <row r="3687" spans="30:30" x14ac:dyDescent="0.3">
      <c r="AD3687" s="16"/>
    </row>
    <row r="3688" spans="30:30" x14ac:dyDescent="0.3">
      <c r="AD3688" s="16"/>
    </row>
    <row r="3689" spans="30:30" x14ac:dyDescent="0.3">
      <c r="AD3689" s="16"/>
    </row>
    <row r="3690" spans="30:30" x14ac:dyDescent="0.3">
      <c r="AD3690" s="16"/>
    </row>
    <row r="3691" spans="30:30" x14ac:dyDescent="0.3">
      <c r="AD3691" s="16"/>
    </row>
    <row r="3692" spans="30:30" x14ac:dyDescent="0.3">
      <c r="AD3692" s="16"/>
    </row>
    <row r="3693" spans="30:30" x14ac:dyDescent="0.3">
      <c r="AD3693" s="16"/>
    </row>
    <row r="3694" spans="30:30" x14ac:dyDescent="0.3">
      <c r="AD3694" s="16"/>
    </row>
    <row r="3695" spans="30:30" x14ac:dyDescent="0.3">
      <c r="AD3695" s="16"/>
    </row>
    <row r="3696" spans="30:30" x14ac:dyDescent="0.3">
      <c r="AD3696" s="16"/>
    </row>
    <row r="3697" spans="30:30" x14ac:dyDescent="0.3">
      <c r="AD3697" s="16"/>
    </row>
    <row r="3698" spans="30:30" x14ac:dyDescent="0.3">
      <c r="AD3698" s="16"/>
    </row>
    <row r="3699" spans="30:30" x14ac:dyDescent="0.3">
      <c r="AD3699" s="16"/>
    </row>
    <row r="3700" spans="30:30" x14ac:dyDescent="0.3">
      <c r="AD3700" s="16"/>
    </row>
    <row r="3701" spans="30:30" x14ac:dyDescent="0.3">
      <c r="AD3701" s="16"/>
    </row>
    <row r="3702" spans="30:30" x14ac:dyDescent="0.3">
      <c r="AD3702" s="16"/>
    </row>
    <row r="3703" spans="30:30" x14ac:dyDescent="0.3">
      <c r="AD3703" s="16"/>
    </row>
    <row r="3704" spans="30:30" x14ac:dyDescent="0.3">
      <c r="AD3704" s="16"/>
    </row>
    <row r="3705" spans="30:30" x14ac:dyDescent="0.3">
      <c r="AD3705" s="16"/>
    </row>
    <row r="3706" spans="30:30" x14ac:dyDescent="0.3">
      <c r="AD3706" s="16"/>
    </row>
    <row r="3707" spans="30:30" x14ac:dyDescent="0.3">
      <c r="AD3707" s="16"/>
    </row>
    <row r="3708" spans="30:30" x14ac:dyDescent="0.3">
      <c r="AD3708" s="16"/>
    </row>
    <row r="3709" spans="30:30" x14ac:dyDescent="0.3">
      <c r="AD3709" s="16"/>
    </row>
    <row r="3710" spans="30:30" x14ac:dyDescent="0.3">
      <c r="AD3710" s="16"/>
    </row>
    <row r="3711" spans="30:30" x14ac:dyDescent="0.3">
      <c r="AD3711" s="16"/>
    </row>
    <row r="3712" spans="30:30" x14ac:dyDescent="0.3">
      <c r="AD3712" s="16"/>
    </row>
    <row r="3713" spans="30:30" x14ac:dyDescent="0.3">
      <c r="AD3713" s="16"/>
    </row>
    <row r="3714" spans="30:30" x14ac:dyDescent="0.3">
      <c r="AD3714" s="16"/>
    </row>
    <row r="3715" spans="30:30" x14ac:dyDescent="0.3">
      <c r="AD3715" s="16"/>
    </row>
    <row r="3716" spans="30:30" x14ac:dyDescent="0.3">
      <c r="AD3716" s="16"/>
    </row>
    <row r="3717" spans="30:30" x14ac:dyDescent="0.3">
      <c r="AD3717" s="16"/>
    </row>
    <row r="3718" spans="30:30" x14ac:dyDescent="0.3">
      <c r="AD3718" s="16"/>
    </row>
    <row r="3719" spans="30:30" x14ac:dyDescent="0.3">
      <c r="AD3719" s="16"/>
    </row>
    <row r="3720" spans="30:30" x14ac:dyDescent="0.3">
      <c r="AD3720" s="16"/>
    </row>
    <row r="3721" spans="30:30" x14ac:dyDescent="0.3">
      <c r="AD3721" s="16"/>
    </row>
    <row r="3722" spans="30:30" x14ac:dyDescent="0.3">
      <c r="AD3722" s="16"/>
    </row>
    <row r="3723" spans="30:30" x14ac:dyDescent="0.3">
      <c r="AD3723" s="16"/>
    </row>
    <row r="3724" spans="30:30" x14ac:dyDescent="0.3">
      <c r="AD3724" s="16"/>
    </row>
    <row r="3725" spans="30:30" x14ac:dyDescent="0.3">
      <c r="AD3725" s="16"/>
    </row>
    <row r="3726" spans="30:30" x14ac:dyDescent="0.3">
      <c r="AD3726" s="16"/>
    </row>
    <row r="3727" spans="30:30" x14ac:dyDescent="0.3">
      <c r="AD3727" s="16"/>
    </row>
    <row r="3728" spans="30:30" x14ac:dyDescent="0.3">
      <c r="AD3728" s="16"/>
    </row>
    <row r="3729" spans="30:30" x14ac:dyDescent="0.3">
      <c r="AD3729" s="16"/>
    </row>
    <row r="3730" spans="30:30" x14ac:dyDescent="0.3">
      <c r="AD3730" s="16"/>
    </row>
    <row r="3731" spans="30:30" x14ac:dyDescent="0.3">
      <c r="AD3731" s="16"/>
    </row>
    <row r="3732" spans="30:30" x14ac:dyDescent="0.3">
      <c r="AD3732" s="16"/>
    </row>
    <row r="3733" spans="30:30" x14ac:dyDescent="0.3">
      <c r="AD3733" s="16"/>
    </row>
    <row r="3734" spans="30:30" x14ac:dyDescent="0.3">
      <c r="AD3734" s="16"/>
    </row>
    <row r="3735" spans="30:30" x14ac:dyDescent="0.3">
      <c r="AD3735" s="16"/>
    </row>
    <row r="3736" spans="30:30" x14ac:dyDescent="0.3">
      <c r="AD3736" s="16"/>
    </row>
    <row r="3737" spans="30:30" x14ac:dyDescent="0.3">
      <c r="AD3737" s="16"/>
    </row>
    <row r="3738" spans="30:30" x14ac:dyDescent="0.3">
      <c r="AD3738" s="16"/>
    </row>
    <row r="3739" spans="30:30" x14ac:dyDescent="0.3">
      <c r="AD3739" s="16"/>
    </row>
    <row r="3740" spans="30:30" x14ac:dyDescent="0.3">
      <c r="AD3740" s="16"/>
    </row>
    <row r="3741" spans="30:30" x14ac:dyDescent="0.3">
      <c r="AD3741" s="16"/>
    </row>
    <row r="3742" spans="30:30" x14ac:dyDescent="0.3">
      <c r="AD3742" s="16"/>
    </row>
    <row r="3743" spans="30:30" x14ac:dyDescent="0.3">
      <c r="AD3743" s="16"/>
    </row>
    <row r="3744" spans="30:30" x14ac:dyDescent="0.3">
      <c r="AD3744" s="16"/>
    </row>
    <row r="3745" spans="30:30" x14ac:dyDescent="0.3">
      <c r="AD3745" s="16"/>
    </row>
    <row r="3746" spans="30:30" x14ac:dyDescent="0.3">
      <c r="AD3746" s="16"/>
    </row>
    <row r="3747" spans="30:30" x14ac:dyDescent="0.3">
      <c r="AD3747" s="16"/>
    </row>
    <row r="3748" spans="30:30" x14ac:dyDescent="0.3">
      <c r="AD3748" s="16"/>
    </row>
    <row r="3749" spans="30:30" x14ac:dyDescent="0.3">
      <c r="AD3749" s="16"/>
    </row>
    <row r="3750" spans="30:30" x14ac:dyDescent="0.3">
      <c r="AD3750" s="16"/>
    </row>
    <row r="3751" spans="30:30" x14ac:dyDescent="0.3">
      <c r="AD3751" s="16"/>
    </row>
    <row r="3752" spans="30:30" x14ac:dyDescent="0.3">
      <c r="AD3752" s="16"/>
    </row>
    <row r="3753" spans="30:30" x14ac:dyDescent="0.3">
      <c r="AD3753" s="16"/>
    </row>
    <row r="3754" spans="30:30" x14ac:dyDescent="0.3">
      <c r="AD3754" s="16"/>
    </row>
    <row r="3755" spans="30:30" x14ac:dyDescent="0.3">
      <c r="AD3755" s="16"/>
    </row>
    <row r="3756" spans="30:30" x14ac:dyDescent="0.3">
      <c r="AD3756" s="16"/>
    </row>
    <row r="3757" spans="30:30" x14ac:dyDescent="0.3">
      <c r="AD3757" s="16"/>
    </row>
    <row r="3758" spans="30:30" x14ac:dyDescent="0.3">
      <c r="AD3758" s="16"/>
    </row>
    <row r="3759" spans="30:30" x14ac:dyDescent="0.3">
      <c r="AD3759" s="16"/>
    </row>
    <row r="3760" spans="30:30" x14ac:dyDescent="0.3">
      <c r="AD3760" s="16"/>
    </row>
    <row r="3761" spans="30:30" x14ac:dyDescent="0.3">
      <c r="AD3761" s="16"/>
    </row>
    <row r="3762" spans="30:30" x14ac:dyDescent="0.3">
      <c r="AD3762" s="16"/>
    </row>
    <row r="3763" spans="30:30" x14ac:dyDescent="0.3">
      <c r="AD3763" s="16"/>
    </row>
    <row r="3764" spans="30:30" x14ac:dyDescent="0.3">
      <c r="AD3764" s="16"/>
    </row>
    <row r="3765" spans="30:30" x14ac:dyDescent="0.3">
      <c r="AD3765" s="16"/>
    </row>
    <row r="3766" spans="30:30" x14ac:dyDescent="0.3">
      <c r="AD3766" s="16"/>
    </row>
    <row r="3767" spans="30:30" x14ac:dyDescent="0.3">
      <c r="AD3767" s="16"/>
    </row>
    <row r="3768" spans="30:30" x14ac:dyDescent="0.3">
      <c r="AD3768" s="16"/>
    </row>
    <row r="3769" spans="30:30" x14ac:dyDescent="0.3">
      <c r="AD3769" s="16"/>
    </row>
    <row r="3770" spans="30:30" x14ac:dyDescent="0.3">
      <c r="AD3770" s="16"/>
    </row>
    <row r="3771" spans="30:30" x14ac:dyDescent="0.3">
      <c r="AD3771" s="16"/>
    </row>
    <row r="3772" spans="30:30" x14ac:dyDescent="0.3">
      <c r="AD3772" s="16"/>
    </row>
    <row r="3773" spans="30:30" x14ac:dyDescent="0.3">
      <c r="AD3773" s="16"/>
    </row>
    <row r="3774" spans="30:30" x14ac:dyDescent="0.3">
      <c r="AD3774" s="16"/>
    </row>
    <row r="3775" spans="30:30" x14ac:dyDescent="0.3">
      <c r="AD3775" s="16"/>
    </row>
    <row r="3776" spans="30:30" x14ac:dyDescent="0.3">
      <c r="AD3776" s="16"/>
    </row>
    <row r="3777" spans="30:30" x14ac:dyDescent="0.3">
      <c r="AD3777" s="16"/>
    </row>
    <row r="3778" spans="30:30" x14ac:dyDescent="0.3">
      <c r="AD3778" s="16"/>
    </row>
    <row r="3779" spans="30:30" x14ac:dyDescent="0.3">
      <c r="AD3779" s="16"/>
    </row>
    <row r="3780" spans="30:30" x14ac:dyDescent="0.3">
      <c r="AD3780" s="16"/>
    </row>
    <row r="3781" spans="30:30" x14ac:dyDescent="0.3">
      <c r="AD3781" s="16"/>
    </row>
    <row r="3782" spans="30:30" x14ac:dyDescent="0.3">
      <c r="AD3782" s="16"/>
    </row>
    <row r="3783" spans="30:30" x14ac:dyDescent="0.3">
      <c r="AD3783" s="16"/>
    </row>
    <row r="3784" spans="30:30" x14ac:dyDescent="0.3">
      <c r="AD3784" s="16"/>
    </row>
    <row r="3785" spans="30:30" x14ac:dyDescent="0.3">
      <c r="AD3785" s="16"/>
    </row>
    <row r="3786" spans="30:30" x14ac:dyDescent="0.3">
      <c r="AD3786" s="16"/>
    </row>
    <row r="3787" spans="30:30" x14ac:dyDescent="0.3">
      <c r="AD3787" s="16"/>
    </row>
    <row r="3788" spans="30:30" x14ac:dyDescent="0.3">
      <c r="AD3788" s="16"/>
    </row>
    <row r="3789" spans="30:30" x14ac:dyDescent="0.3">
      <c r="AD3789" s="16"/>
    </row>
    <row r="3790" spans="30:30" x14ac:dyDescent="0.3">
      <c r="AD3790" s="16"/>
    </row>
    <row r="3791" spans="30:30" x14ac:dyDescent="0.3">
      <c r="AD3791" s="16"/>
    </row>
    <row r="3792" spans="30:30" x14ac:dyDescent="0.3">
      <c r="AD3792" s="16"/>
    </row>
    <row r="3793" spans="30:30" x14ac:dyDescent="0.3">
      <c r="AD3793" s="16"/>
    </row>
    <row r="3794" spans="30:30" x14ac:dyDescent="0.3">
      <c r="AD3794" s="16"/>
    </row>
    <row r="3795" spans="30:30" x14ac:dyDescent="0.3">
      <c r="AD3795" s="16"/>
    </row>
    <row r="3796" spans="30:30" x14ac:dyDescent="0.3">
      <c r="AD3796" s="16"/>
    </row>
    <row r="3797" spans="30:30" x14ac:dyDescent="0.3">
      <c r="AD3797" s="16"/>
    </row>
    <row r="3798" spans="30:30" x14ac:dyDescent="0.3">
      <c r="AD3798" s="16"/>
    </row>
    <row r="3799" spans="30:30" x14ac:dyDescent="0.3">
      <c r="AD3799" s="16"/>
    </row>
    <row r="3800" spans="30:30" x14ac:dyDescent="0.3">
      <c r="AD3800" s="16"/>
    </row>
    <row r="3801" spans="30:30" x14ac:dyDescent="0.3">
      <c r="AD3801" s="16"/>
    </row>
    <row r="3802" spans="30:30" x14ac:dyDescent="0.3">
      <c r="AD3802" s="16"/>
    </row>
    <row r="3803" spans="30:30" x14ac:dyDescent="0.3">
      <c r="AD3803" s="16"/>
    </row>
    <row r="3804" spans="30:30" x14ac:dyDescent="0.3">
      <c r="AD3804" s="16"/>
    </row>
    <row r="3805" spans="30:30" x14ac:dyDescent="0.3">
      <c r="AD3805" s="16"/>
    </row>
    <row r="3806" spans="30:30" x14ac:dyDescent="0.3">
      <c r="AD3806" s="16"/>
    </row>
    <row r="3807" spans="30:30" x14ac:dyDescent="0.3">
      <c r="AD3807" s="16"/>
    </row>
    <row r="3808" spans="30:30" x14ac:dyDescent="0.3">
      <c r="AD3808" s="16"/>
    </row>
    <row r="3809" spans="30:30" x14ac:dyDescent="0.3">
      <c r="AD3809" s="16"/>
    </row>
    <row r="3810" spans="30:30" x14ac:dyDescent="0.3">
      <c r="AD3810" s="16"/>
    </row>
    <row r="3811" spans="30:30" x14ac:dyDescent="0.3">
      <c r="AD3811" s="16"/>
    </row>
    <row r="3812" spans="30:30" x14ac:dyDescent="0.3">
      <c r="AD3812" s="16"/>
    </row>
    <row r="3813" spans="30:30" x14ac:dyDescent="0.3">
      <c r="AD3813" s="16"/>
    </row>
    <row r="3814" spans="30:30" x14ac:dyDescent="0.3">
      <c r="AD3814" s="16"/>
    </row>
    <row r="3815" spans="30:30" x14ac:dyDescent="0.3">
      <c r="AD3815" s="16"/>
    </row>
    <row r="3816" spans="30:30" x14ac:dyDescent="0.3">
      <c r="AD3816" s="16"/>
    </row>
    <row r="3817" spans="30:30" x14ac:dyDescent="0.3">
      <c r="AD3817" s="16"/>
    </row>
    <row r="3818" spans="30:30" x14ac:dyDescent="0.3">
      <c r="AD3818" s="16"/>
    </row>
    <row r="3819" spans="30:30" x14ac:dyDescent="0.3">
      <c r="AD3819" s="16"/>
    </row>
    <row r="3820" spans="30:30" x14ac:dyDescent="0.3">
      <c r="AD3820" s="16"/>
    </row>
    <row r="3821" spans="30:30" x14ac:dyDescent="0.3">
      <c r="AD3821" s="16"/>
    </row>
    <row r="3822" spans="30:30" x14ac:dyDescent="0.3">
      <c r="AD3822" s="16"/>
    </row>
    <row r="3823" spans="30:30" x14ac:dyDescent="0.3">
      <c r="AD3823" s="16"/>
    </row>
    <row r="3824" spans="30:30" x14ac:dyDescent="0.3">
      <c r="AD3824" s="16"/>
    </row>
    <row r="3825" spans="30:30" x14ac:dyDescent="0.3">
      <c r="AD3825" s="16"/>
    </row>
    <row r="3826" spans="30:30" x14ac:dyDescent="0.3">
      <c r="AD3826" s="16"/>
    </row>
    <row r="3827" spans="30:30" x14ac:dyDescent="0.3">
      <c r="AD3827" s="16"/>
    </row>
    <row r="3828" spans="30:30" x14ac:dyDescent="0.3">
      <c r="AD3828" s="16"/>
    </row>
    <row r="3829" spans="30:30" x14ac:dyDescent="0.3">
      <c r="AD3829" s="16"/>
    </row>
    <row r="3830" spans="30:30" x14ac:dyDescent="0.3">
      <c r="AD3830" s="16"/>
    </row>
    <row r="3831" spans="30:30" x14ac:dyDescent="0.3">
      <c r="AD3831" s="16"/>
    </row>
    <row r="3832" spans="30:30" x14ac:dyDescent="0.3">
      <c r="AD3832" s="16"/>
    </row>
    <row r="3833" spans="30:30" x14ac:dyDescent="0.3">
      <c r="AD3833" s="16"/>
    </row>
    <row r="3834" spans="30:30" x14ac:dyDescent="0.3">
      <c r="AD3834" s="16"/>
    </row>
    <row r="3835" spans="30:30" x14ac:dyDescent="0.3">
      <c r="AD3835" s="16"/>
    </row>
    <row r="3836" spans="30:30" x14ac:dyDescent="0.3">
      <c r="AD3836" s="16"/>
    </row>
    <row r="3837" spans="30:30" x14ac:dyDescent="0.3">
      <c r="AD3837" s="16"/>
    </row>
    <row r="3838" spans="30:30" x14ac:dyDescent="0.3">
      <c r="AD3838" s="16"/>
    </row>
    <row r="3839" spans="30:30" x14ac:dyDescent="0.3">
      <c r="AD3839" s="16"/>
    </row>
    <row r="3840" spans="30:30" x14ac:dyDescent="0.3">
      <c r="AD3840" s="16"/>
    </row>
    <row r="3841" spans="30:30" x14ac:dyDescent="0.3">
      <c r="AD3841" s="16"/>
    </row>
    <row r="3842" spans="30:30" x14ac:dyDescent="0.3">
      <c r="AD3842" s="16"/>
    </row>
    <row r="3843" spans="30:30" x14ac:dyDescent="0.3">
      <c r="AD3843" s="16"/>
    </row>
    <row r="3844" spans="30:30" x14ac:dyDescent="0.3">
      <c r="AD3844" s="16"/>
    </row>
    <row r="3845" spans="30:30" x14ac:dyDescent="0.3">
      <c r="AD3845" s="16"/>
    </row>
    <row r="3846" spans="30:30" x14ac:dyDescent="0.3">
      <c r="AD3846" s="16"/>
    </row>
    <row r="3847" spans="30:30" x14ac:dyDescent="0.3">
      <c r="AD3847" s="16"/>
    </row>
    <row r="3848" spans="30:30" x14ac:dyDescent="0.3">
      <c r="AD3848" s="16"/>
    </row>
    <row r="3849" spans="30:30" x14ac:dyDescent="0.3">
      <c r="AD3849" s="16"/>
    </row>
    <row r="3850" spans="30:30" x14ac:dyDescent="0.3">
      <c r="AD3850" s="16"/>
    </row>
    <row r="3851" spans="30:30" x14ac:dyDescent="0.3">
      <c r="AD3851" s="16"/>
    </row>
    <row r="3852" spans="30:30" x14ac:dyDescent="0.3">
      <c r="AD3852" s="16"/>
    </row>
    <row r="3853" spans="30:30" x14ac:dyDescent="0.3">
      <c r="AD3853" s="16"/>
    </row>
    <row r="3854" spans="30:30" x14ac:dyDescent="0.3">
      <c r="AD3854" s="16"/>
    </row>
    <row r="3855" spans="30:30" x14ac:dyDescent="0.3">
      <c r="AD3855" s="16"/>
    </row>
    <row r="3856" spans="30:30" x14ac:dyDescent="0.3">
      <c r="AD3856" s="16"/>
    </row>
    <row r="3857" spans="30:30" x14ac:dyDescent="0.3">
      <c r="AD3857" s="16"/>
    </row>
    <row r="3858" spans="30:30" x14ac:dyDescent="0.3">
      <c r="AD3858" s="16"/>
    </row>
    <row r="3859" spans="30:30" x14ac:dyDescent="0.3">
      <c r="AD3859" s="16"/>
    </row>
    <row r="3860" spans="30:30" x14ac:dyDescent="0.3">
      <c r="AD3860" s="16"/>
    </row>
    <row r="3861" spans="30:30" x14ac:dyDescent="0.3">
      <c r="AD3861" s="16"/>
    </row>
    <row r="3862" spans="30:30" x14ac:dyDescent="0.3">
      <c r="AD3862" s="16"/>
    </row>
    <row r="3863" spans="30:30" x14ac:dyDescent="0.3">
      <c r="AD3863" s="16"/>
    </row>
    <row r="3864" spans="30:30" x14ac:dyDescent="0.3">
      <c r="AD3864" s="16"/>
    </row>
    <row r="3865" spans="30:30" x14ac:dyDescent="0.3">
      <c r="AD3865" s="16"/>
    </row>
    <row r="3866" spans="30:30" x14ac:dyDescent="0.3">
      <c r="AD3866" s="16"/>
    </row>
    <row r="3867" spans="30:30" x14ac:dyDescent="0.3">
      <c r="AD3867" s="16"/>
    </row>
    <row r="3868" spans="30:30" x14ac:dyDescent="0.3">
      <c r="AD3868" s="16"/>
    </row>
    <row r="3869" spans="30:30" x14ac:dyDescent="0.3">
      <c r="AD3869" s="16"/>
    </row>
    <row r="3870" spans="30:30" x14ac:dyDescent="0.3">
      <c r="AD3870" s="16"/>
    </row>
    <row r="3871" spans="30:30" x14ac:dyDescent="0.3">
      <c r="AD3871" s="16"/>
    </row>
    <row r="3872" spans="30:30" x14ac:dyDescent="0.3">
      <c r="AD3872" s="16"/>
    </row>
    <row r="3873" spans="30:30" x14ac:dyDescent="0.3">
      <c r="AD3873" s="16"/>
    </row>
    <row r="3874" spans="30:30" x14ac:dyDescent="0.3">
      <c r="AD3874" s="16"/>
    </row>
    <row r="3875" spans="30:30" x14ac:dyDescent="0.3">
      <c r="AD3875" s="16"/>
    </row>
    <row r="3876" spans="30:30" x14ac:dyDescent="0.3">
      <c r="AD3876" s="16"/>
    </row>
    <row r="3877" spans="30:30" x14ac:dyDescent="0.3">
      <c r="AD3877" s="16"/>
    </row>
    <row r="3878" spans="30:30" x14ac:dyDescent="0.3">
      <c r="AD3878" s="16"/>
    </row>
    <row r="3879" spans="30:30" x14ac:dyDescent="0.3">
      <c r="AD3879" s="16"/>
    </row>
    <row r="3880" spans="30:30" x14ac:dyDescent="0.3">
      <c r="AD3880" s="16"/>
    </row>
    <row r="3881" spans="30:30" x14ac:dyDescent="0.3">
      <c r="AD3881" s="16"/>
    </row>
    <row r="3882" spans="30:30" x14ac:dyDescent="0.3">
      <c r="AD3882" s="16"/>
    </row>
    <row r="3883" spans="30:30" x14ac:dyDescent="0.3">
      <c r="AD3883" s="16"/>
    </row>
    <row r="3884" spans="30:30" x14ac:dyDescent="0.3">
      <c r="AD3884" s="16"/>
    </row>
    <row r="3885" spans="30:30" x14ac:dyDescent="0.3">
      <c r="AD3885" s="16"/>
    </row>
    <row r="3886" spans="30:30" x14ac:dyDescent="0.3">
      <c r="AD3886" s="16"/>
    </row>
    <row r="3887" spans="30:30" x14ac:dyDescent="0.3">
      <c r="AD3887" s="16"/>
    </row>
    <row r="3888" spans="30:30" x14ac:dyDescent="0.3">
      <c r="AD3888" s="16"/>
    </row>
    <row r="3889" spans="30:30" x14ac:dyDescent="0.3">
      <c r="AD3889" s="16"/>
    </row>
    <row r="3890" spans="30:30" x14ac:dyDescent="0.3">
      <c r="AD3890" s="16"/>
    </row>
    <row r="3891" spans="30:30" x14ac:dyDescent="0.3">
      <c r="AD3891" s="16"/>
    </row>
    <row r="3892" spans="30:30" x14ac:dyDescent="0.3">
      <c r="AD3892" s="16"/>
    </row>
    <row r="3893" spans="30:30" x14ac:dyDescent="0.3">
      <c r="AD3893" s="16"/>
    </row>
    <row r="3894" spans="30:30" x14ac:dyDescent="0.3">
      <c r="AD3894" s="16"/>
    </row>
    <row r="3895" spans="30:30" x14ac:dyDescent="0.3">
      <c r="AD3895" s="16"/>
    </row>
    <row r="3896" spans="30:30" x14ac:dyDescent="0.3">
      <c r="AD3896" s="16"/>
    </row>
    <row r="3897" spans="30:30" x14ac:dyDescent="0.3">
      <c r="AD3897" s="16"/>
    </row>
    <row r="3898" spans="30:30" x14ac:dyDescent="0.3">
      <c r="AD3898" s="16"/>
    </row>
    <row r="3899" spans="30:30" x14ac:dyDescent="0.3">
      <c r="AD3899" s="16"/>
    </row>
    <row r="3900" spans="30:30" x14ac:dyDescent="0.3">
      <c r="AD3900" s="16"/>
    </row>
    <row r="3901" spans="30:30" x14ac:dyDescent="0.3">
      <c r="AD3901" s="16"/>
    </row>
    <row r="3902" spans="30:30" x14ac:dyDescent="0.3">
      <c r="AD3902" s="16"/>
    </row>
    <row r="3903" spans="30:30" x14ac:dyDescent="0.3">
      <c r="AD3903" s="16"/>
    </row>
    <row r="3904" spans="30:30" x14ac:dyDescent="0.3">
      <c r="AD3904" s="16"/>
    </row>
    <row r="3905" spans="30:30" x14ac:dyDescent="0.3">
      <c r="AD3905" s="16"/>
    </row>
    <row r="3906" spans="30:30" x14ac:dyDescent="0.3">
      <c r="AD3906" s="16"/>
    </row>
    <row r="3907" spans="30:30" x14ac:dyDescent="0.3">
      <c r="AD3907" s="16"/>
    </row>
    <row r="3908" spans="30:30" x14ac:dyDescent="0.3">
      <c r="AD3908" s="16"/>
    </row>
    <row r="3909" spans="30:30" x14ac:dyDescent="0.3">
      <c r="AD3909" s="16"/>
    </row>
    <row r="3910" spans="30:30" x14ac:dyDescent="0.3">
      <c r="AD3910" s="16"/>
    </row>
    <row r="3911" spans="30:30" x14ac:dyDescent="0.3">
      <c r="AD3911" s="16"/>
    </row>
    <row r="3912" spans="30:30" x14ac:dyDescent="0.3">
      <c r="AD3912" s="16"/>
    </row>
    <row r="3913" spans="30:30" x14ac:dyDescent="0.3">
      <c r="AD3913" s="16"/>
    </row>
    <row r="3914" spans="30:30" x14ac:dyDescent="0.3">
      <c r="AD3914" s="16"/>
    </row>
    <row r="3915" spans="30:30" x14ac:dyDescent="0.3">
      <c r="AD3915" s="16"/>
    </row>
    <row r="3916" spans="30:30" x14ac:dyDescent="0.3">
      <c r="AD3916" s="16"/>
    </row>
    <row r="3917" spans="30:30" x14ac:dyDescent="0.3">
      <c r="AD3917" s="16"/>
    </row>
    <row r="3918" spans="30:30" x14ac:dyDescent="0.3">
      <c r="AD3918" s="16"/>
    </row>
    <row r="3919" spans="30:30" x14ac:dyDescent="0.3">
      <c r="AD3919" s="16"/>
    </row>
    <row r="3920" spans="30:30" x14ac:dyDescent="0.3">
      <c r="AD3920" s="16"/>
    </row>
    <row r="3921" spans="30:30" x14ac:dyDescent="0.3">
      <c r="AD3921" s="16"/>
    </row>
    <row r="3922" spans="30:30" x14ac:dyDescent="0.3">
      <c r="AD3922" s="16"/>
    </row>
    <row r="3923" spans="30:30" x14ac:dyDescent="0.3">
      <c r="AD3923" s="16"/>
    </row>
    <row r="3924" spans="30:30" x14ac:dyDescent="0.3">
      <c r="AD3924" s="16"/>
    </row>
    <row r="3925" spans="30:30" x14ac:dyDescent="0.3">
      <c r="AD3925" s="16"/>
    </row>
    <row r="3926" spans="30:30" x14ac:dyDescent="0.3">
      <c r="AD3926" s="16"/>
    </row>
    <row r="3927" spans="30:30" x14ac:dyDescent="0.3">
      <c r="AD3927" s="16"/>
    </row>
    <row r="3928" spans="30:30" x14ac:dyDescent="0.3">
      <c r="AD3928" s="16"/>
    </row>
    <row r="3929" spans="30:30" x14ac:dyDescent="0.3">
      <c r="AD3929" s="16"/>
    </row>
    <row r="3930" spans="30:30" x14ac:dyDescent="0.3">
      <c r="AD3930" s="16"/>
    </row>
    <row r="3931" spans="30:30" x14ac:dyDescent="0.3">
      <c r="AD3931" s="16"/>
    </row>
    <row r="3932" spans="30:30" x14ac:dyDescent="0.3">
      <c r="AD3932" s="16"/>
    </row>
    <row r="3933" spans="30:30" x14ac:dyDescent="0.3">
      <c r="AD3933" s="16"/>
    </row>
    <row r="3934" spans="30:30" x14ac:dyDescent="0.3">
      <c r="AD3934" s="16"/>
    </row>
    <row r="3935" spans="30:30" x14ac:dyDescent="0.3">
      <c r="AD3935" s="16"/>
    </row>
    <row r="3936" spans="30:30" x14ac:dyDescent="0.3">
      <c r="AD3936" s="16"/>
    </row>
    <row r="3937" spans="30:30" x14ac:dyDescent="0.3">
      <c r="AD3937" s="16"/>
    </row>
    <row r="3938" spans="30:30" x14ac:dyDescent="0.3">
      <c r="AD3938" s="16"/>
    </row>
    <row r="3939" spans="30:30" x14ac:dyDescent="0.3">
      <c r="AD3939" s="16"/>
    </row>
    <row r="3940" spans="30:30" x14ac:dyDescent="0.3">
      <c r="AD3940" s="16"/>
    </row>
    <row r="3941" spans="30:30" x14ac:dyDescent="0.3">
      <c r="AD3941" s="16"/>
    </row>
    <row r="3942" spans="30:30" x14ac:dyDescent="0.3">
      <c r="AD3942" s="16"/>
    </row>
    <row r="3943" spans="30:30" x14ac:dyDescent="0.3">
      <c r="AD3943" s="16"/>
    </row>
    <row r="3944" spans="30:30" x14ac:dyDescent="0.3">
      <c r="AD3944" s="16"/>
    </row>
    <row r="3945" spans="30:30" x14ac:dyDescent="0.3">
      <c r="AD3945" s="16"/>
    </row>
    <row r="3946" spans="30:30" x14ac:dyDescent="0.3">
      <c r="AD3946" s="16"/>
    </row>
    <row r="3947" spans="30:30" x14ac:dyDescent="0.3">
      <c r="AD3947" s="16"/>
    </row>
    <row r="3948" spans="30:30" x14ac:dyDescent="0.3">
      <c r="AD3948" s="16"/>
    </row>
    <row r="3949" spans="30:30" x14ac:dyDescent="0.3">
      <c r="AD3949" s="16"/>
    </row>
    <row r="3950" spans="30:30" x14ac:dyDescent="0.3">
      <c r="AD3950" s="16"/>
    </row>
    <row r="3951" spans="30:30" x14ac:dyDescent="0.3">
      <c r="AD3951" s="16"/>
    </row>
    <row r="3952" spans="30:30" x14ac:dyDescent="0.3">
      <c r="AD3952" s="16"/>
    </row>
    <row r="3953" spans="30:30" x14ac:dyDescent="0.3">
      <c r="AD3953" s="16"/>
    </row>
    <row r="3954" spans="30:30" x14ac:dyDescent="0.3">
      <c r="AD3954" s="16"/>
    </row>
    <row r="3955" spans="30:30" x14ac:dyDescent="0.3">
      <c r="AD3955" s="16"/>
    </row>
    <row r="3956" spans="30:30" x14ac:dyDescent="0.3">
      <c r="AD3956" s="16"/>
    </row>
    <row r="3957" spans="30:30" x14ac:dyDescent="0.3">
      <c r="AD3957" s="16"/>
    </row>
    <row r="3958" spans="30:30" x14ac:dyDescent="0.3">
      <c r="AD3958" s="16"/>
    </row>
    <row r="3959" spans="30:30" x14ac:dyDescent="0.3">
      <c r="AD3959" s="16"/>
    </row>
    <row r="3960" spans="30:30" x14ac:dyDescent="0.3">
      <c r="AD3960" s="16"/>
    </row>
    <row r="3961" spans="30:30" x14ac:dyDescent="0.3">
      <c r="AD3961" s="16"/>
    </row>
    <row r="3962" spans="30:30" x14ac:dyDescent="0.3">
      <c r="AD3962" s="16"/>
    </row>
    <row r="3963" spans="30:30" x14ac:dyDescent="0.3">
      <c r="AD3963" s="16"/>
    </row>
    <row r="3964" spans="30:30" x14ac:dyDescent="0.3">
      <c r="AD3964" s="16"/>
    </row>
    <row r="3965" spans="30:30" x14ac:dyDescent="0.3">
      <c r="AD3965" s="16"/>
    </row>
    <row r="3966" spans="30:30" x14ac:dyDescent="0.3">
      <c r="AD3966" s="16"/>
    </row>
    <row r="3967" spans="30:30" x14ac:dyDescent="0.3">
      <c r="AD3967" s="16"/>
    </row>
    <row r="3968" spans="30:30" x14ac:dyDescent="0.3">
      <c r="AD3968" s="16"/>
    </row>
    <row r="3969" spans="30:30" x14ac:dyDescent="0.3">
      <c r="AD3969" s="16"/>
    </row>
    <row r="3970" spans="30:30" x14ac:dyDescent="0.3">
      <c r="AD3970" s="16"/>
    </row>
    <row r="3971" spans="30:30" x14ac:dyDescent="0.3">
      <c r="AD3971" s="16"/>
    </row>
    <row r="3972" spans="30:30" x14ac:dyDescent="0.3">
      <c r="AD3972" s="16"/>
    </row>
    <row r="3973" spans="30:30" x14ac:dyDescent="0.3">
      <c r="AD3973" s="16"/>
    </row>
    <row r="3974" spans="30:30" x14ac:dyDescent="0.3">
      <c r="AD3974" s="16"/>
    </row>
    <row r="3975" spans="30:30" x14ac:dyDescent="0.3">
      <c r="AD3975" s="16"/>
    </row>
    <row r="3976" spans="30:30" x14ac:dyDescent="0.3">
      <c r="AD3976" s="16"/>
    </row>
    <row r="3977" spans="30:30" x14ac:dyDescent="0.3">
      <c r="AD3977" s="16"/>
    </row>
    <row r="3978" spans="30:30" x14ac:dyDescent="0.3">
      <c r="AD3978" s="16"/>
    </row>
    <row r="3979" spans="30:30" x14ac:dyDescent="0.3">
      <c r="AD3979" s="16"/>
    </row>
    <row r="3980" spans="30:30" x14ac:dyDescent="0.3">
      <c r="AD3980" s="16"/>
    </row>
    <row r="3981" spans="30:30" x14ac:dyDescent="0.3">
      <c r="AD3981" s="16"/>
    </row>
    <row r="3982" spans="30:30" x14ac:dyDescent="0.3">
      <c r="AD3982" s="16"/>
    </row>
    <row r="3983" spans="30:30" x14ac:dyDescent="0.3">
      <c r="AD3983" s="16"/>
    </row>
    <row r="3984" spans="30:30" x14ac:dyDescent="0.3">
      <c r="AD3984" s="16"/>
    </row>
    <row r="3985" spans="30:30" x14ac:dyDescent="0.3">
      <c r="AD3985" s="16"/>
    </row>
    <row r="3986" spans="30:30" x14ac:dyDescent="0.3">
      <c r="AD3986" s="16"/>
    </row>
    <row r="3987" spans="30:30" x14ac:dyDescent="0.3">
      <c r="AD3987" s="16"/>
    </row>
    <row r="3988" spans="30:30" x14ac:dyDescent="0.3">
      <c r="AD3988" s="16"/>
    </row>
    <row r="3989" spans="30:30" x14ac:dyDescent="0.3">
      <c r="AD3989" s="16"/>
    </row>
    <row r="3990" spans="30:30" x14ac:dyDescent="0.3">
      <c r="AD3990" s="16"/>
    </row>
    <row r="3991" spans="30:30" x14ac:dyDescent="0.3">
      <c r="AD3991" s="16"/>
    </row>
    <row r="3992" spans="30:30" x14ac:dyDescent="0.3">
      <c r="AD3992" s="16"/>
    </row>
    <row r="3993" spans="30:30" x14ac:dyDescent="0.3">
      <c r="AD3993" s="16"/>
    </row>
    <row r="3994" spans="30:30" x14ac:dyDescent="0.3">
      <c r="AD3994" s="16"/>
    </row>
    <row r="3995" spans="30:30" x14ac:dyDescent="0.3">
      <c r="AD3995" s="16"/>
    </row>
    <row r="3996" spans="30:30" x14ac:dyDescent="0.3">
      <c r="AD3996" s="16"/>
    </row>
    <row r="3997" spans="30:30" x14ac:dyDescent="0.3">
      <c r="AD3997" s="16"/>
    </row>
    <row r="3998" spans="30:30" x14ac:dyDescent="0.3">
      <c r="AD3998" s="16"/>
    </row>
    <row r="3999" spans="30:30" x14ac:dyDescent="0.3">
      <c r="AD3999" s="16"/>
    </row>
    <row r="4000" spans="30:30" x14ac:dyDescent="0.3">
      <c r="AD4000" s="16"/>
    </row>
    <row r="4001" spans="30:30" x14ac:dyDescent="0.3">
      <c r="AD4001" s="16"/>
    </row>
    <row r="4002" spans="30:30" x14ac:dyDescent="0.3">
      <c r="AD4002" s="16"/>
    </row>
    <row r="4003" spans="30:30" x14ac:dyDescent="0.3">
      <c r="AD4003" s="16"/>
    </row>
    <row r="4004" spans="30:30" x14ac:dyDescent="0.3">
      <c r="AD4004" s="16"/>
    </row>
    <row r="4005" spans="30:30" x14ac:dyDescent="0.3">
      <c r="AD4005" s="16"/>
    </row>
    <row r="4006" spans="30:30" x14ac:dyDescent="0.3">
      <c r="AD4006" s="16"/>
    </row>
    <row r="4007" spans="30:30" x14ac:dyDescent="0.3">
      <c r="AD4007" s="16"/>
    </row>
    <row r="4008" spans="30:30" x14ac:dyDescent="0.3">
      <c r="AD4008" s="16"/>
    </row>
    <row r="4009" spans="30:30" x14ac:dyDescent="0.3">
      <c r="AD4009" s="16"/>
    </row>
    <row r="4010" spans="30:30" x14ac:dyDescent="0.3">
      <c r="AD4010" s="16"/>
    </row>
    <row r="4011" spans="30:30" x14ac:dyDescent="0.3">
      <c r="AD4011" s="16"/>
    </row>
    <row r="4012" spans="30:30" x14ac:dyDescent="0.3">
      <c r="AD4012" s="16"/>
    </row>
    <row r="4013" spans="30:30" x14ac:dyDescent="0.3">
      <c r="AD4013" s="16"/>
    </row>
    <row r="4014" spans="30:30" x14ac:dyDescent="0.3">
      <c r="AD4014" s="16"/>
    </row>
    <row r="4015" spans="30:30" x14ac:dyDescent="0.3">
      <c r="AD4015" s="16"/>
    </row>
    <row r="4016" spans="30:30" x14ac:dyDescent="0.3">
      <c r="AD4016" s="16"/>
    </row>
    <row r="4017" spans="30:30" x14ac:dyDescent="0.3">
      <c r="AD4017" s="16"/>
    </row>
    <row r="4018" spans="30:30" x14ac:dyDescent="0.3">
      <c r="AD4018" s="16"/>
    </row>
    <row r="4019" spans="30:30" x14ac:dyDescent="0.3">
      <c r="AD4019" s="16"/>
    </row>
    <row r="4020" spans="30:30" x14ac:dyDescent="0.3">
      <c r="AD4020" s="16"/>
    </row>
    <row r="4021" spans="30:30" x14ac:dyDescent="0.3">
      <c r="AD4021" s="16"/>
    </row>
    <row r="4022" spans="30:30" x14ac:dyDescent="0.3">
      <c r="AD4022" s="16"/>
    </row>
    <row r="4023" spans="30:30" x14ac:dyDescent="0.3">
      <c r="AD4023" s="16"/>
    </row>
    <row r="4024" spans="30:30" x14ac:dyDescent="0.3">
      <c r="AD4024" s="16"/>
    </row>
    <row r="4025" spans="30:30" x14ac:dyDescent="0.3">
      <c r="AD4025" s="16"/>
    </row>
    <row r="4026" spans="30:30" x14ac:dyDescent="0.3">
      <c r="AD4026" s="16"/>
    </row>
    <row r="4027" spans="30:30" x14ac:dyDescent="0.3">
      <c r="AD4027" s="16"/>
    </row>
    <row r="4028" spans="30:30" x14ac:dyDescent="0.3">
      <c r="AD4028" s="16"/>
    </row>
    <row r="4029" spans="30:30" x14ac:dyDescent="0.3">
      <c r="AD4029" s="16"/>
    </row>
    <row r="4030" spans="30:30" x14ac:dyDescent="0.3">
      <c r="AD4030" s="16"/>
    </row>
    <row r="4031" spans="30:30" x14ac:dyDescent="0.3">
      <c r="AD4031" s="16"/>
    </row>
    <row r="4032" spans="30:30" x14ac:dyDescent="0.3">
      <c r="AD4032" s="16"/>
    </row>
    <row r="4033" spans="30:30" x14ac:dyDescent="0.3">
      <c r="AD4033" s="16"/>
    </row>
    <row r="4034" spans="30:30" x14ac:dyDescent="0.3">
      <c r="AD4034" s="16"/>
    </row>
    <row r="4035" spans="30:30" x14ac:dyDescent="0.3">
      <c r="AD4035" s="16"/>
    </row>
    <row r="4036" spans="30:30" x14ac:dyDescent="0.3">
      <c r="AD4036" s="16"/>
    </row>
    <row r="4037" spans="30:30" x14ac:dyDescent="0.3">
      <c r="AD4037" s="16"/>
    </row>
    <row r="4038" spans="30:30" x14ac:dyDescent="0.3">
      <c r="AD4038" s="16"/>
    </row>
    <row r="4039" spans="30:30" x14ac:dyDescent="0.3">
      <c r="AD4039" s="16"/>
    </row>
    <row r="4040" spans="30:30" x14ac:dyDescent="0.3">
      <c r="AD4040" s="16"/>
    </row>
    <row r="4041" spans="30:30" x14ac:dyDescent="0.3">
      <c r="AD4041" s="16"/>
    </row>
    <row r="4042" spans="30:30" x14ac:dyDescent="0.3">
      <c r="AD4042" s="16"/>
    </row>
    <row r="4043" spans="30:30" x14ac:dyDescent="0.3">
      <c r="AD4043" s="16"/>
    </row>
    <row r="4044" spans="30:30" x14ac:dyDescent="0.3">
      <c r="AD4044" s="16"/>
    </row>
    <row r="4045" spans="30:30" x14ac:dyDescent="0.3">
      <c r="AD4045" s="16"/>
    </row>
    <row r="4046" spans="30:30" x14ac:dyDescent="0.3">
      <c r="AD4046" s="16"/>
    </row>
    <row r="4047" spans="30:30" x14ac:dyDescent="0.3">
      <c r="AD4047" s="16"/>
    </row>
    <row r="4048" spans="30:30" x14ac:dyDescent="0.3">
      <c r="AD4048" s="16"/>
    </row>
    <row r="4049" spans="30:30" x14ac:dyDescent="0.3">
      <c r="AD4049" s="16"/>
    </row>
    <row r="4050" spans="30:30" x14ac:dyDescent="0.3">
      <c r="AD4050" s="16"/>
    </row>
    <row r="4051" spans="30:30" x14ac:dyDescent="0.3">
      <c r="AD4051" s="16"/>
    </row>
    <row r="4052" spans="30:30" x14ac:dyDescent="0.3">
      <c r="AD4052" s="16"/>
    </row>
    <row r="4053" spans="30:30" x14ac:dyDescent="0.3">
      <c r="AD4053" s="16"/>
    </row>
    <row r="4054" spans="30:30" x14ac:dyDescent="0.3">
      <c r="AD4054" s="16"/>
    </row>
    <row r="4055" spans="30:30" x14ac:dyDescent="0.3">
      <c r="AD4055" s="16"/>
    </row>
    <row r="4056" spans="30:30" x14ac:dyDescent="0.3">
      <c r="AD4056" s="16"/>
    </row>
    <row r="4057" spans="30:30" x14ac:dyDescent="0.3">
      <c r="AD4057" s="16"/>
    </row>
    <row r="4058" spans="30:30" x14ac:dyDescent="0.3">
      <c r="AD4058" s="16"/>
    </row>
    <row r="4059" spans="30:30" x14ac:dyDescent="0.3">
      <c r="AD4059" s="16"/>
    </row>
    <row r="4060" spans="30:30" x14ac:dyDescent="0.3">
      <c r="AD4060" s="16"/>
    </row>
    <row r="4061" spans="30:30" x14ac:dyDescent="0.3">
      <c r="AD4061" s="16"/>
    </row>
    <row r="4062" spans="30:30" x14ac:dyDescent="0.3">
      <c r="AD4062" s="16"/>
    </row>
    <row r="4063" spans="30:30" x14ac:dyDescent="0.3">
      <c r="AD4063" s="16"/>
    </row>
    <row r="4064" spans="30:30" x14ac:dyDescent="0.3">
      <c r="AD4064" s="16"/>
    </row>
    <row r="4065" spans="30:30" x14ac:dyDescent="0.3">
      <c r="AD4065" s="16"/>
    </row>
    <row r="4066" spans="30:30" x14ac:dyDescent="0.3">
      <c r="AD4066" s="16"/>
    </row>
    <row r="4067" spans="30:30" x14ac:dyDescent="0.3">
      <c r="AD4067" s="16"/>
    </row>
    <row r="4068" spans="30:30" x14ac:dyDescent="0.3">
      <c r="AD4068" s="16"/>
    </row>
    <row r="4069" spans="30:30" x14ac:dyDescent="0.3">
      <c r="AD4069" s="16"/>
    </row>
    <row r="4070" spans="30:30" x14ac:dyDescent="0.3">
      <c r="AD4070" s="16"/>
    </row>
    <row r="4071" spans="30:30" x14ac:dyDescent="0.3">
      <c r="AD4071" s="16"/>
    </row>
    <row r="4072" spans="30:30" x14ac:dyDescent="0.3">
      <c r="AD4072" s="16"/>
    </row>
    <row r="4073" spans="30:30" x14ac:dyDescent="0.3">
      <c r="AD4073" s="16"/>
    </row>
    <row r="4074" spans="30:30" x14ac:dyDescent="0.3">
      <c r="AD4074" s="16"/>
    </row>
    <row r="4075" spans="30:30" x14ac:dyDescent="0.3">
      <c r="AD4075" s="16"/>
    </row>
    <row r="4076" spans="30:30" x14ac:dyDescent="0.3">
      <c r="AD4076" s="16"/>
    </row>
    <row r="4077" spans="30:30" x14ac:dyDescent="0.3">
      <c r="AD4077" s="16"/>
    </row>
    <row r="4078" spans="30:30" x14ac:dyDescent="0.3">
      <c r="AD4078" s="16"/>
    </row>
    <row r="4079" spans="30:30" x14ac:dyDescent="0.3">
      <c r="AD4079" s="16"/>
    </row>
    <row r="4080" spans="30:30" x14ac:dyDescent="0.3">
      <c r="AD4080" s="16"/>
    </row>
    <row r="4081" spans="30:30" x14ac:dyDescent="0.3">
      <c r="AD4081" s="16"/>
    </row>
    <row r="4082" spans="30:30" x14ac:dyDescent="0.3">
      <c r="AD4082" s="16"/>
    </row>
    <row r="4083" spans="30:30" x14ac:dyDescent="0.3">
      <c r="AD4083" s="16"/>
    </row>
    <row r="4084" spans="30:30" x14ac:dyDescent="0.3">
      <c r="AD4084" s="16"/>
    </row>
    <row r="4085" spans="30:30" x14ac:dyDescent="0.3">
      <c r="AD4085" s="16"/>
    </row>
    <row r="4086" spans="30:30" x14ac:dyDescent="0.3">
      <c r="AD4086" s="16"/>
    </row>
    <row r="4087" spans="30:30" x14ac:dyDescent="0.3">
      <c r="AD4087" s="16"/>
    </row>
    <row r="4088" spans="30:30" x14ac:dyDescent="0.3">
      <c r="AD4088" s="16"/>
    </row>
    <row r="4089" spans="30:30" x14ac:dyDescent="0.3">
      <c r="AD4089" s="16"/>
    </row>
    <row r="4090" spans="30:30" x14ac:dyDescent="0.3">
      <c r="AD4090" s="16"/>
    </row>
    <row r="4091" spans="30:30" x14ac:dyDescent="0.3">
      <c r="AD4091" s="16"/>
    </row>
    <row r="4092" spans="30:30" x14ac:dyDescent="0.3">
      <c r="AD4092" s="16"/>
    </row>
    <row r="4093" spans="30:30" x14ac:dyDescent="0.3">
      <c r="AD4093" s="16"/>
    </row>
    <row r="4094" spans="30:30" x14ac:dyDescent="0.3">
      <c r="AD4094" s="16"/>
    </row>
    <row r="4095" spans="30:30" x14ac:dyDescent="0.3">
      <c r="AD4095" s="16"/>
    </row>
    <row r="4096" spans="30:30" x14ac:dyDescent="0.3">
      <c r="AD4096" s="16"/>
    </row>
    <row r="4097" spans="30:30" x14ac:dyDescent="0.3">
      <c r="AD4097" s="16"/>
    </row>
    <row r="4098" spans="30:30" x14ac:dyDescent="0.3">
      <c r="AD4098" s="16"/>
    </row>
    <row r="4099" spans="30:30" x14ac:dyDescent="0.3">
      <c r="AD4099" s="16"/>
    </row>
    <row r="4100" spans="30:30" x14ac:dyDescent="0.3">
      <c r="AD4100" s="16"/>
    </row>
    <row r="4101" spans="30:30" x14ac:dyDescent="0.3">
      <c r="AD4101" s="16"/>
    </row>
    <row r="4102" spans="30:30" x14ac:dyDescent="0.3">
      <c r="AD4102" s="16"/>
    </row>
    <row r="4103" spans="30:30" x14ac:dyDescent="0.3">
      <c r="AD4103" s="16"/>
    </row>
    <row r="4104" spans="30:30" x14ac:dyDescent="0.3">
      <c r="AD4104" s="16"/>
    </row>
    <row r="4105" spans="30:30" x14ac:dyDescent="0.3">
      <c r="AD4105" s="16"/>
    </row>
    <row r="4106" spans="30:30" x14ac:dyDescent="0.3">
      <c r="AD4106" s="16"/>
    </row>
    <row r="4107" spans="30:30" x14ac:dyDescent="0.3">
      <c r="AD4107" s="16"/>
    </row>
    <row r="4108" spans="30:30" x14ac:dyDescent="0.3">
      <c r="AD4108" s="16"/>
    </row>
    <row r="4109" spans="30:30" x14ac:dyDescent="0.3">
      <c r="AD4109" s="16"/>
    </row>
    <row r="4110" spans="30:30" x14ac:dyDescent="0.3">
      <c r="AD4110" s="16"/>
    </row>
    <row r="4111" spans="30:30" x14ac:dyDescent="0.3">
      <c r="AD4111" s="16"/>
    </row>
    <row r="4112" spans="30:30" x14ac:dyDescent="0.3">
      <c r="AD4112" s="16"/>
    </row>
    <row r="4113" spans="30:30" x14ac:dyDescent="0.3">
      <c r="AD4113" s="16"/>
    </row>
    <row r="4114" spans="30:30" x14ac:dyDescent="0.3">
      <c r="AD4114" s="16"/>
    </row>
    <row r="4115" spans="30:30" x14ac:dyDescent="0.3">
      <c r="AD4115" s="16"/>
    </row>
    <row r="4116" spans="30:30" x14ac:dyDescent="0.3">
      <c r="AD4116" s="16"/>
    </row>
    <row r="4117" spans="30:30" x14ac:dyDescent="0.3">
      <c r="AD4117" s="16"/>
    </row>
    <row r="4118" spans="30:30" x14ac:dyDescent="0.3">
      <c r="AD4118" s="16"/>
    </row>
    <row r="4119" spans="30:30" x14ac:dyDescent="0.3">
      <c r="AD4119" s="16"/>
    </row>
    <row r="4120" spans="30:30" x14ac:dyDescent="0.3">
      <c r="AD4120" s="16"/>
    </row>
    <row r="4121" spans="30:30" x14ac:dyDescent="0.3">
      <c r="AD4121" s="16"/>
    </row>
    <row r="4122" spans="30:30" x14ac:dyDescent="0.3">
      <c r="AD4122" s="16"/>
    </row>
    <row r="4123" spans="30:30" x14ac:dyDescent="0.3">
      <c r="AD4123" s="16"/>
    </row>
    <row r="4124" spans="30:30" x14ac:dyDescent="0.3">
      <c r="AD4124" s="16"/>
    </row>
    <row r="4125" spans="30:30" x14ac:dyDescent="0.3">
      <c r="AD4125" s="16"/>
    </row>
    <row r="4126" spans="30:30" x14ac:dyDescent="0.3">
      <c r="AD4126" s="16"/>
    </row>
    <row r="4127" spans="30:30" x14ac:dyDescent="0.3">
      <c r="AD4127" s="16"/>
    </row>
    <row r="4128" spans="30:30" x14ac:dyDescent="0.3">
      <c r="AD4128" s="16"/>
    </row>
    <row r="4129" spans="30:30" x14ac:dyDescent="0.3">
      <c r="AD4129" s="16"/>
    </row>
    <row r="4130" spans="30:30" x14ac:dyDescent="0.3">
      <c r="AD4130" s="16"/>
    </row>
    <row r="4131" spans="30:30" x14ac:dyDescent="0.3">
      <c r="AD4131" s="16"/>
    </row>
    <row r="4132" spans="30:30" x14ac:dyDescent="0.3">
      <c r="AD4132" s="16"/>
    </row>
    <row r="4133" spans="30:30" x14ac:dyDescent="0.3">
      <c r="AD4133" s="16"/>
    </row>
    <row r="4134" spans="30:30" x14ac:dyDescent="0.3">
      <c r="AD4134" s="16"/>
    </row>
    <row r="4135" spans="30:30" x14ac:dyDescent="0.3">
      <c r="AD4135" s="16"/>
    </row>
    <row r="4136" spans="30:30" x14ac:dyDescent="0.3">
      <c r="AD4136" s="16"/>
    </row>
    <row r="4137" spans="30:30" x14ac:dyDescent="0.3">
      <c r="AD4137" s="16"/>
    </row>
    <row r="4138" spans="30:30" x14ac:dyDescent="0.3">
      <c r="AD4138" s="16"/>
    </row>
    <row r="4139" spans="30:30" x14ac:dyDescent="0.3">
      <c r="AD4139" s="16"/>
    </row>
    <row r="4140" spans="30:30" x14ac:dyDescent="0.3">
      <c r="AD4140" s="16"/>
    </row>
    <row r="4141" spans="30:30" x14ac:dyDescent="0.3">
      <c r="AD4141" s="16"/>
    </row>
    <row r="4142" spans="30:30" x14ac:dyDescent="0.3">
      <c r="AD4142" s="16"/>
    </row>
    <row r="4143" spans="30:30" x14ac:dyDescent="0.3">
      <c r="AD4143" s="16"/>
    </row>
    <row r="4144" spans="30:30" x14ac:dyDescent="0.3">
      <c r="AD4144" s="16"/>
    </row>
    <row r="4145" spans="30:30" x14ac:dyDescent="0.3">
      <c r="AD4145" s="16"/>
    </row>
    <row r="4146" spans="30:30" x14ac:dyDescent="0.3">
      <c r="AD4146" s="16"/>
    </row>
    <row r="4147" spans="30:30" x14ac:dyDescent="0.3">
      <c r="AD4147" s="16"/>
    </row>
    <row r="4148" spans="30:30" x14ac:dyDescent="0.3">
      <c r="AD4148" s="16"/>
    </row>
    <row r="4149" spans="30:30" x14ac:dyDescent="0.3">
      <c r="AD4149" s="16"/>
    </row>
    <row r="4150" spans="30:30" x14ac:dyDescent="0.3">
      <c r="AD4150" s="16"/>
    </row>
    <row r="4151" spans="30:30" x14ac:dyDescent="0.3">
      <c r="AD4151" s="16"/>
    </row>
    <row r="4152" spans="30:30" x14ac:dyDescent="0.3">
      <c r="AD4152" s="16"/>
    </row>
    <row r="4153" spans="30:30" x14ac:dyDescent="0.3">
      <c r="AD4153" s="16"/>
    </row>
    <row r="4154" spans="30:30" x14ac:dyDescent="0.3">
      <c r="AD4154" s="16"/>
    </row>
    <row r="4155" spans="30:30" x14ac:dyDescent="0.3">
      <c r="AD4155" s="16"/>
    </row>
    <row r="4156" spans="30:30" x14ac:dyDescent="0.3">
      <c r="AD4156" s="16"/>
    </row>
    <row r="4157" spans="30:30" x14ac:dyDescent="0.3">
      <c r="AD4157" s="16"/>
    </row>
    <row r="4158" spans="30:30" x14ac:dyDescent="0.3">
      <c r="AD4158" s="16"/>
    </row>
    <row r="4159" spans="30:30" x14ac:dyDescent="0.3">
      <c r="AD4159" s="16"/>
    </row>
    <row r="4160" spans="30:30" x14ac:dyDescent="0.3">
      <c r="AD4160" s="16"/>
    </row>
    <row r="4161" spans="30:30" x14ac:dyDescent="0.3">
      <c r="AD4161" s="16"/>
    </row>
    <row r="4162" spans="30:30" x14ac:dyDescent="0.3">
      <c r="AD4162" s="16"/>
    </row>
    <row r="4163" spans="30:30" x14ac:dyDescent="0.3">
      <c r="AD4163" s="16"/>
    </row>
    <row r="4164" spans="30:30" x14ac:dyDescent="0.3">
      <c r="AD4164" s="16"/>
    </row>
    <row r="4165" spans="30:30" x14ac:dyDescent="0.3">
      <c r="AD4165" s="16"/>
    </row>
    <row r="4166" spans="30:30" x14ac:dyDescent="0.3">
      <c r="AD4166" s="16"/>
    </row>
    <row r="4167" spans="30:30" x14ac:dyDescent="0.3">
      <c r="AD4167" s="16"/>
    </row>
    <row r="4168" spans="30:30" x14ac:dyDescent="0.3">
      <c r="AD4168" s="16"/>
    </row>
    <row r="4169" spans="30:30" x14ac:dyDescent="0.3">
      <c r="AD4169" s="16"/>
    </row>
    <row r="4170" spans="30:30" x14ac:dyDescent="0.3">
      <c r="AD4170" s="16"/>
    </row>
    <row r="4171" spans="30:30" x14ac:dyDescent="0.3">
      <c r="AD4171" s="16"/>
    </row>
    <row r="4172" spans="30:30" x14ac:dyDescent="0.3">
      <c r="AD4172" s="16"/>
    </row>
    <row r="4173" spans="30:30" x14ac:dyDescent="0.3">
      <c r="AD4173" s="16"/>
    </row>
    <row r="4174" spans="30:30" x14ac:dyDescent="0.3">
      <c r="AD4174" s="16"/>
    </row>
    <row r="4175" spans="30:30" x14ac:dyDescent="0.3">
      <c r="AD4175" s="16"/>
    </row>
    <row r="4176" spans="30:30" x14ac:dyDescent="0.3">
      <c r="AD4176" s="16"/>
    </row>
    <row r="4177" spans="30:30" x14ac:dyDescent="0.3">
      <c r="AD4177" s="16"/>
    </row>
    <row r="4178" spans="30:30" x14ac:dyDescent="0.3">
      <c r="AD4178" s="16"/>
    </row>
    <row r="4179" spans="30:30" x14ac:dyDescent="0.3">
      <c r="AD4179" s="16"/>
    </row>
    <row r="4180" spans="30:30" x14ac:dyDescent="0.3">
      <c r="AD4180" s="16"/>
    </row>
    <row r="4181" spans="30:30" x14ac:dyDescent="0.3">
      <c r="AD4181" s="16"/>
    </row>
    <row r="4182" spans="30:30" x14ac:dyDescent="0.3">
      <c r="AD4182" s="16"/>
    </row>
    <row r="4183" spans="30:30" x14ac:dyDescent="0.3">
      <c r="AD4183" s="16"/>
    </row>
    <row r="4184" spans="30:30" x14ac:dyDescent="0.3">
      <c r="AD4184" s="16"/>
    </row>
    <row r="4185" spans="30:30" x14ac:dyDescent="0.3">
      <c r="AD4185" s="16"/>
    </row>
    <row r="4186" spans="30:30" x14ac:dyDescent="0.3">
      <c r="AD4186" s="16"/>
    </row>
    <row r="4187" spans="30:30" x14ac:dyDescent="0.3">
      <c r="AD4187" s="16"/>
    </row>
    <row r="4188" spans="30:30" x14ac:dyDescent="0.3">
      <c r="AD4188" s="16"/>
    </row>
    <row r="4189" spans="30:30" x14ac:dyDescent="0.3">
      <c r="AD4189" s="16"/>
    </row>
    <row r="4190" spans="30:30" x14ac:dyDescent="0.3">
      <c r="AD4190" s="16"/>
    </row>
    <row r="4191" spans="30:30" x14ac:dyDescent="0.3">
      <c r="AD4191" s="16"/>
    </row>
    <row r="4192" spans="30:30" x14ac:dyDescent="0.3">
      <c r="AD4192" s="16"/>
    </row>
    <row r="4193" spans="30:30" x14ac:dyDescent="0.3">
      <c r="AD4193" s="16"/>
    </row>
    <row r="4194" spans="30:30" x14ac:dyDescent="0.3">
      <c r="AD4194" s="16"/>
    </row>
    <row r="4195" spans="30:30" x14ac:dyDescent="0.3">
      <c r="AD4195" s="16"/>
    </row>
    <row r="4196" spans="30:30" x14ac:dyDescent="0.3">
      <c r="AD4196" s="16"/>
    </row>
    <row r="4197" spans="30:30" x14ac:dyDescent="0.3">
      <c r="AD4197" s="16"/>
    </row>
    <row r="4198" spans="30:30" x14ac:dyDescent="0.3">
      <c r="AD4198" s="16"/>
    </row>
    <row r="4199" spans="30:30" x14ac:dyDescent="0.3">
      <c r="AD4199" s="16"/>
    </row>
    <row r="4200" spans="30:30" x14ac:dyDescent="0.3">
      <c r="AD4200" s="16"/>
    </row>
    <row r="4201" spans="30:30" x14ac:dyDescent="0.3">
      <c r="AD4201" s="16"/>
    </row>
    <row r="4202" spans="30:30" x14ac:dyDescent="0.3">
      <c r="AD4202" s="16"/>
    </row>
    <row r="4203" spans="30:30" x14ac:dyDescent="0.3">
      <c r="AD4203" s="16"/>
    </row>
    <row r="4204" spans="30:30" x14ac:dyDescent="0.3">
      <c r="AD4204" s="16"/>
    </row>
    <row r="4205" spans="30:30" x14ac:dyDescent="0.3">
      <c r="AD4205" s="16"/>
    </row>
    <row r="4206" spans="30:30" x14ac:dyDescent="0.3">
      <c r="AD4206" s="16"/>
    </row>
    <row r="4207" spans="30:30" x14ac:dyDescent="0.3">
      <c r="AD4207" s="16"/>
    </row>
    <row r="4208" spans="30:30" x14ac:dyDescent="0.3">
      <c r="AD4208" s="16"/>
    </row>
    <row r="4209" spans="30:30" x14ac:dyDescent="0.3">
      <c r="AD4209" s="16"/>
    </row>
    <row r="4210" spans="30:30" x14ac:dyDescent="0.3">
      <c r="AD4210" s="16"/>
    </row>
    <row r="4211" spans="30:30" x14ac:dyDescent="0.3">
      <c r="AD4211" s="16"/>
    </row>
    <row r="4212" spans="30:30" x14ac:dyDescent="0.3">
      <c r="AD4212" s="16"/>
    </row>
    <row r="4213" spans="30:30" x14ac:dyDescent="0.3">
      <c r="AD4213" s="16"/>
    </row>
    <row r="4214" spans="30:30" x14ac:dyDescent="0.3">
      <c r="AD4214" s="16"/>
    </row>
    <row r="4215" spans="30:30" x14ac:dyDescent="0.3">
      <c r="AD4215" s="16"/>
    </row>
    <row r="4216" spans="30:30" x14ac:dyDescent="0.3">
      <c r="AD4216" s="16"/>
    </row>
    <row r="4217" spans="30:30" x14ac:dyDescent="0.3">
      <c r="AD4217" s="16"/>
    </row>
    <row r="4218" spans="30:30" x14ac:dyDescent="0.3">
      <c r="AD4218" s="16"/>
    </row>
    <row r="4219" spans="30:30" x14ac:dyDescent="0.3">
      <c r="AD4219" s="16"/>
    </row>
    <row r="4220" spans="30:30" x14ac:dyDescent="0.3">
      <c r="AD4220" s="16"/>
    </row>
    <row r="4221" spans="30:30" x14ac:dyDescent="0.3">
      <c r="AD4221" s="16"/>
    </row>
    <row r="4222" spans="30:30" x14ac:dyDescent="0.3">
      <c r="AD4222" s="16"/>
    </row>
    <row r="4223" spans="30:30" x14ac:dyDescent="0.3">
      <c r="AD4223" s="16"/>
    </row>
    <row r="4224" spans="30:30" x14ac:dyDescent="0.3">
      <c r="AD4224" s="16"/>
    </row>
    <row r="4225" spans="30:30" x14ac:dyDescent="0.3">
      <c r="AD4225" s="16"/>
    </row>
    <row r="4226" spans="30:30" x14ac:dyDescent="0.3">
      <c r="AD4226" s="16"/>
    </row>
    <row r="4227" spans="30:30" x14ac:dyDescent="0.3">
      <c r="AD4227" s="16"/>
    </row>
    <row r="4228" spans="30:30" x14ac:dyDescent="0.3">
      <c r="AD4228" s="16"/>
    </row>
    <row r="4229" spans="30:30" x14ac:dyDescent="0.3">
      <c r="AD4229" s="16"/>
    </row>
    <row r="4230" spans="30:30" x14ac:dyDescent="0.3">
      <c r="AD4230" s="16"/>
    </row>
    <row r="4231" spans="30:30" x14ac:dyDescent="0.3">
      <c r="AD4231" s="16"/>
    </row>
    <row r="4232" spans="30:30" x14ac:dyDescent="0.3">
      <c r="AD4232" s="16"/>
    </row>
    <row r="4233" spans="30:30" x14ac:dyDescent="0.3">
      <c r="AD4233" s="16"/>
    </row>
    <row r="4234" spans="30:30" x14ac:dyDescent="0.3">
      <c r="AD4234" s="16"/>
    </row>
    <row r="4235" spans="30:30" x14ac:dyDescent="0.3">
      <c r="AD4235" s="16"/>
    </row>
    <row r="4236" spans="30:30" x14ac:dyDescent="0.3">
      <c r="AD4236" s="16"/>
    </row>
    <row r="4237" spans="30:30" x14ac:dyDescent="0.3">
      <c r="AD4237" s="16"/>
    </row>
    <row r="4238" spans="30:30" x14ac:dyDescent="0.3">
      <c r="AD4238" s="16"/>
    </row>
    <row r="4239" spans="30:30" x14ac:dyDescent="0.3">
      <c r="AD4239" s="16"/>
    </row>
    <row r="4240" spans="30:30" x14ac:dyDescent="0.3">
      <c r="AD4240" s="16"/>
    </row>
    <row r="4241" spans="30:30" x14ac:dyDescent="0.3">
      <c r="AD4241" s="16"/>
    </row>
    <row r="4242" spans="30:30" x14ac:dyDescent="0.3">
      <c r="AD4242" s="16"/>
    </row>
    <row r="4243" spans="30:30" x14ac:dyDescent="0.3">
      <c r="AD4243" s="16"/>
    </row>
    <row r="4244" spans="30:30" x14ac:dyDescent="0.3">
      <c r="AD4244" s="16"/>
    </row>
    <row r="4245" spans="30:30" x14ac:dyDescent="0.3">
      <c r="AD4245" s="16"/>
    </row>
    <row r="4246" spans="30:30" x14ac:dyDescent="0.3">
      <c r="AD4246" s="16"/>
    </row>
    <row r="4247" spans="30:30" x14ac:dyDescent="0.3">
      <c r="AD4247" s="16"/>
    </row>
    <row r="4248" spans="30:30" x14ac:dyDescent="0.3">
      <c r="AD4248" s="16"/>
    </row>
    <row r="4249" spans="30:30" x14ac:dyDescent="0.3">
      <c r="AD4249" s="16"/>
    </row>
    <row r="4250" spans="30:30" x14ac:dyDescent="0.3">
      <c r="AD4250" s="16"/>
    </row>
    <row r="4251" spans="30:30" x14ac:dyDescent="0.3">
      <c r="AD4251" s="16"/>
    </row>
    <row r="4252" spans="30:30" x14ac:dyDescent="0.3">
      <c r="AD4252" s="16"/>
    </row>
    <row r="4253" spans="30:30" x14ac:dyDescent="0.3">
      <c r="AD4253" s="16"/>
    </row>
    <row r="4254" spans="30:30" x14ac:dyDescent="0.3">
      <c r="AD4254" s="16"/>
    </row>
    <row r="4255" spans="30:30" x14ac:dyDescent="0.3">
      <c r="AD4255" s="16"/>
    </row>
    <row r="4256" spans="30:30" x14ac:dyDescent="0.3">
      <c r="AD4256" s="16"/>
    </row>
    <row r="4257" spans="30:30" x14ac:dyDescent="0.3">
      <c r="AD4257" s="16"/>
    </row>
    <row r="4258" spans="30:30" x14ac:dyDescent="0.3">
      <c r="AD4258" s="16"/>
    </row>
    <row r="4259" spans="30:30" x14ac:dyDescent="0.3">
      <c r="AD4259" s="16"/>
    </row>
    <row r="4260" spans="30:30" x14ac:dyDescent="0.3">
      <c r="AD4260" s="16"/>
    </row>
    <row r="4261" spans="30:30" x14ac:dyDescent="0.3">
      <c r="AD4261" s="16"/>
    </row>
    <row r="4262" spans="30:30" x14ac:dyDescent="0.3">
      <c r="AD4262" s="16"/>
    </row>
    <row r="4263" spans="30:30" x14ac:dyDescent="0.3">
      <c r="AD4263" s="16"/>
    </row>
    <row r="4264" spans="30:30" x14ac:dyDescent="0.3">
      <c r="AD4264" s="16"/>
    </row>
    <row r="4265" spans="30:30" x14ac:dyDescent="0.3">
      <c r="AD4265" s="16"/>
    </row>
    <row r="4266" spans="30:30" x14ac:dyDescent="0.3">
      <c r="AD4266" s="16"/>
    </row>
    <row r="4267" spans="30:30" x14ac:dyDescent="0.3">
      <c r="AD4267" s="16"/>
    </row>
    <row r="4268" spans="30:30" x14ac:dyDescent="0.3">
      <c r="AD4268" s="16"/>
    </row>
    <row r="4269" spans="30:30" x14ac:dyDescent="0.3">
      <c r="AD4269" s="16"/>
    </row>
    <row r="4270" spans="30:30" x14ac:dyDescent="0.3">
      <c r="AD4270" s="16"/>
    </row>
    <row r="4271" spans="30:30" x14ac:dyDescent="0.3">
      <c r="AD4271" s="16"/>
    </row>
    <row r="4272" spans="30:30" x14ac:dyDescent="0.3">
      <c r="AD4272" s="16"/>
    </row>
    <row r="4273" spans="30:30" x14ac:dyDescent="0.3">
      <c r="AD4273" s="16"/>
    </row>
    <row r="4274" spans="30:30" x14ac:dyDescent="0.3">
      <c r="AD4274" s="16"/>
    </row>
    <row r="4275" spans="30:30" x14ac:dyDescent="0.3">
      <c r="AD4275" s="16"/>
    </row>
    <row r="4276" spans="30:30" x14ac:dyDescent="0.3">
      <c r="AD4276" s="16"/>
    </row>
    <row r="4277" spans="30:30" x14ac:dyDescent="0.3">
      <c r="AD4277" s="16"/>
    </row>
    <row r="4278" spans="30:30" x14ac:dyDescent="0.3">
      <c r="AD4278" s="16"/>
    </row>
    <row r="4279" spans="30:30" x14ac:dyDescent="0.3">
      <c r="AD4279" s="16"/>
    </row>
    <row r="4280" spans="30:30" x14ac:dyDescent="0.3">
      <c r="AD4280" s="16"/>
    </row>
    <row r="4281" spans="30:30" x14ac:dyDescent="0.3">
      <c r="AD4281" s="16"/>
    </row>
    <row r="4282" spans="30:30" x14ac:dyDescent="0.3">
      <c r="AD4282" s="16"/>
    </row>
    <row r="4283" spans="30:30" x14ac:dyDescent="0.3">
      <c r="AD4283" s="16"/>
    </row>
    <row r="4284" spans="30:30" x14ac:dyDescent="0.3">
      <c r="AD4284" s="16"/>
    </row>
    <row r="4285" spans="30:30" x14ac:dyDescent="0.3">
      <c r="AD4285" s="16"/>
    </row>
    <row r="4286" spans="30:30" x14ac:dyDescent="0.3">
      <c r="AD4286" s="16"/>
    </row>
    <row r="4287" spans="30:30" x14ac:dyDescent="0.3">
      <c r="AD4287" s="16"/>
    </row>
    <row r="4288" spans="30:30" x14ac:dyDescent="0.3">
      <c r="AD4288" s="16"/>
    </row>
    <row r="4289" spans="30:30" x14ac:dyDescent="0.3">
      <c r="AD4289" s="16"/>
    </row>
    <row r="4290" spans="30:30" x14ac:dyDescent="0.3">
      <c r="AD4290" s="16"/>
    </row>
    <row r="4291" spans="30:30" x14ac:dyDescent="0.3">
      <c r="AD4291" s="16"/>
    </row>
    <row r="4292" spans="30:30" x14ac:dyDescent="0.3">
      <c r="AD4292" s="16"/>
    </row>
    <row r="4293" spans="30:30" x14ac:dyDescent="0.3">
      <c r="AD4293" s="16"/>
    </row>
    <row r="4294" spans="30:30" x14ac:dyDescent="0.3">
      <c r="AD4294" s="16"/>
    </row>
    <row r="4295" spans="30:30" x14ac:dyDescent="0.3">
      <c r="AD4295" s="16"/>
    </row>
    <row r="4296" spans="30:30" x14ac:dyDescent="0.3">
      <c r="AD4296" s="16"/>
    </row>
    <row r="4297" spans="30:30" x14ac:dyDescent="0.3">
      <c r="AD4297" s="16"/>
    </row>
    <row r="4298" spans="30:30" x14ac:dyDescent="0.3">
      <c r="AD4298" s="16"/>
    </row>
    <row r="4299" spans="30:30" x14ac:dyDescent="0.3">
      <c r="AD4299" s="16"/>
    </row>
    <row r="4300" spans="30:30" x14ac:dyDescent="0.3">
      <c r="AD4300" s="16"/>
    </row>
    <row r="4301" spans="30:30" x14ac:dyDescent="0.3">
      <c r="AD4301" s="16"/>
    </row>
    <row r="4302" spans="30:30" x14ac:dyDescent="0.3">
      <c r="AD4302" s="16"/>
    </row>
    <row r="4303" spans="30:30" x14ac:dyDescent="0.3">
      <c r="AD4303" s="16"/>
    </row>
    <row r="4304" spans="30:30" x14ac:dyDescent="0.3">
      <c r="AD4304" s="16"/>
    </row>
    <row r="4305" spans="30:30" x14ac:dyDescent="0.3">
      <c r="AD4305" s="16"/>
    </row>
    <row r="4306" spans="30:30" x14ac:dyDescent="0.3">
      <c r="AD4306" s="16"/>
    </row>
    <row r="4307" spans="30:30" x14ac:dyDescent="0.3">
      <c r="AD4307" s="16"/>
    </row>
    <row r="4308" spans="30:30" x14ac:dyDescent="0.3">
      <c r="AD4308" s="16"/>
    </row>
    <row r="4309" spans="30:30" x14ac:dyDescent="0.3">
      <c r="AD4309" s="16"/>
    </row>
    <row r="4310" spans="30:30" x14ac:dyDescent="0.3">
      <c r="AD4310" s="16"/>
    </row>
    <row r="4311" spans="30:30" x14ac:dyDescent="0.3">
      <c r="AD4311" s="16"/>
    </row>
    <row r="4312" spans="30:30" x14ac:dyDescent="0.3">
      <c r="AD4312" s="16"/>
    </row>
    <row r="4313" spans="30:30" x14ac:dyDescent="0.3">
      <c r="AD4313" s="16"/>
    </row>
    <row r="4314" spans="30:30" x14ac:dyDescent="0.3">
      <c r="AD4314" s="16"/>
    </row>
    <row r="4315" spans="30:30" x14ac:dyDescent="0.3">
      <c r="AD4315" s="16"/>
    </row>
    <row r="4316" spans="30:30" x14ac:dyDescent="0.3">
      <c r="AD4316" s="16"/>
    </row>
    <row r="4317" spans="30:30" x14ac:dyDescent="0.3">
      <c r="AD4317" s="16"/>
    </row>
    <row r="4318" spans="30:30" x14ac:dyDescent="0.3">
      <c r="AD4318" s="16"/>
    </row>
    <row r="4319" spans="30:30" x14ac:dyDescent="0.3">
      <c r="AD4319" s="16"/>
    </row>
    <row r="4320" spans="30:30" x14ac:dyDescent="0.3">
      <c r="AD4320" s="16"/>
    </row>
    <row r="4321" spans="30:30" x14ac:dyDescent="0.3">
      <c r="AD4321" s="16"/>
    </row>
    <row r="4322" spans="30:30" x14ac:dyDescent="0.3">
      <c r="AD4322" s="16"/>
    </row>
    <row r="4323" spans="30:30" x14ac:dyDescent="0.3">
      <c r="AD4323" s="16"/>
    </row>
    <row r="4324" spans="30:30" x14ac:dyDescent="0.3">
      <c r="AD4324" s="16"/>
    </row>
    <row r="4325" spans="30:30" x14ac:dyDescent="0.3">
      <c r="AD4325" s="16"/>
    </row>
    <row r="4326" spans="30:30" x14ac:dyDescent="0.3">
      <c r="AD4326" s="16"/>
    </row>
    <row r="4327" spans="30:30" x14ac:dyDescent="0.3">
      <c r="AD4327" s="16"/>
    </row>
    <row r="4328" spans="30:30" x14ac:dyDescent="0.3">
      <c r="AD4328" s="16"/>
    </row>
    <row r="4329" spans="30:30" x14ac:dyDescent="0.3">
      <c r="AD4329" s="16"/>
    </row>
    <row r="4330" spans="30:30" x14ac:dyDescent="0.3">
      <c r="AD4330" s="16"/>
    </row>
    <row r="4331" spans="30:30" x14ac:dyDescent="0.3">
      <c r="AD4331" s="16"/>
    </row>
    <row r="4332" spans="30:30" x14ac:dyDescent="0.3">
      <c r="AD4332" s="16"/>
    </row>
    <row r="4333" spans="30:30" x14ac:dyDescent="0.3">
      <c r="AD4333" s="16"/>
    </row>
    <row r="4334" spans="30:30" x14ac:dyDescent="0.3">
      <c r="AD4334" s="16"/>
    </row>
    <row r="4335" spans="30:30" x14ac:dyDescent="0.3">
      <c r="AD4335" s="16"/>
    </row>
    <row r="4336" spans="30:30" x14ac:dyDescent="0.3">
      <c r="AD4336" s="16"/>
    </row>
    <row r="4337" spans="30:30" x14ac:dyDescent="0.3">
      <c r="AD4337" s="16"/>
    </row>
    <row r="4338" spans="30:30" x14ac:dyDescent="0.3">
      <c r="AD4338" s="16"/>
    </row>
    <row r="4339" spans="30:30" x14ac:dyDescent="0.3">
      <c r="AD4339" s="16"/>
    </row>
    <row r="4340" spans="30:30" x14ac:dyDescent="0.3">
      <c r="AD4340" s="16"/>
    </row>
    <row r="4341" spans="30:30" x14ac:dyDescent="0.3">
      <c r="AD4341" s="16"/>
    </row>
    <row r="4342" spans="30:30" x14ac:dyDescent="0.3">
      <c r="AD4342" s="16"/>
    </row>
    <row r="4343" spans="30:30" x14ac:dyDescent="0.3">
      <c r="AD4343" s="16"/>
    </row>
    <row r="4344" spans="30:30" x14ac:dyDescent="0.3">
      <c r="AD4344" s="16"/>
    </row>
    <row r="4345" spans="30:30" x14ac:dyDescent="0.3">
      <c r="AD4345" s="16"/>
    </row>
    <row r="4346" spans="30:30" x14ac:dyDescent="0.3">
      <c r="AD4346" s="16"/>
    </row>
    <row r="4347" spans="30:30" x14ac:dyDescent="0.3">
      <c r="AD4347" s="16"/>
    </row>
    <row r="4348" spans="30:30" x14ac:dyDescent="0.3">
      <c r="AD4348" s="16"/>
    </row>
    <row r="4349" spans="30:30" x14ac:dyDescent="0.3">
      <c r="AD4349" s="16"/>
    </row>
    <row r="4350" spans="30:30" x14ac:dyDescent="0.3">
      <c r="AD4350" s="16"/>
    </row>
    <row r="4351" spans="30:30" x14ac:dyDescent="0.3">
      <c r="AD4351" s="16"/>
    </row>
    <row r="4352" spans="30:30" x14ac:dyDescent="0.3">
      <c r="AD4352" s="16"/>
    </row>
    <row r="4353" spans="30:30" x14ac:dyDescent="0.3">
      <c r="AD4353" s="16"/>
    </row>
    <row r="4354" spans="30:30" x14ac:dyDescent="0.3">
      <c r="AD4354" s="16"/>
    </row>
    <row r="4355" spans="30:30" x14ac:dyDescent="0.3">
      <c r="AD4355" s="16"/>
    </row>
    <row r="4356" spans="30:30" x14ac:dyDescent="0.3">
      <c r="AD4356" s="16"/>
    </row>
    <row r="4357" spans="30:30" x14ac:dyDescent="0.3">
      <c r="AD4357" s="16"/>
    </row>
    <row r="4358" spans="30:30" x14ac:dyDescent="0.3">
      <c r="AD4358" s="16"/>
    </row>
    <row r="4359" spans="30:30" x14ac:dyDescent="0.3">
      <c r="AD4359" s="16"/>
    </row>
    <row r="4360" spans="30:30" x14ac:dyDescent="0.3">
      <c r="AD4360" s="16"/>
    </row>
    <row r="4361" spans="30:30" x14ac:dyDescent="0.3">
      <c r="AD4361" s="16"/>
    </row>
    <row r="4362" spans="30:30" x14ac:dyDescent="0.3">
      <c r="AD4362" s="16"/>
    </row>
    <row r="4363" spans="30:30" x14ac:dyDescent="0.3">
      <c r="AD4363" s="16"/>
    </row>
    <row r="4364" spans="30:30" x14ac:dyDescent="0.3">
      <c r="AD4364" s="16"/>
    </row>
    <row r="4365" spans="30:30" x14ac:dyDescent="0.3">
      <c r="AD4365" s="16"/>
    </row>
    <row r="4366" spans="30:30" x14ac:dyDescent="0.3">
      <c r="AD4366" s="16"/>
    </row>
    <row r="4367" spans="30:30" x14ac:dyDescent="0.3">
      <c r="AD4367" s="16"/>
    </row>
    <row r="4368" spans="30:30" x14ac:dyDescent="0.3">
      <c r="AD4368" s="16"/>
    </row>
    <row r="4369" spans="30:30" x14ac:dyDescent="0.3">
      <c r="AD4369" s="16"/>
    </row>
    <row r="4370" spans="30:30" x14ac:dyDescent="0.3">
      <c r="AD4370" s="16"/>
    </row>
    <row r="4371" spans="30:30" x14ac:dyDescent="0.3">
      <c r="AD4371" s="16"/>
    </row>
    <row r="4372" spans="30:30" x14ac:dyDescent="0.3">
      <c r="AD4372" s="16"/>
    </row>
    <row r="4373" spans="30:30" x14ac:dyDescent="0.3">
      <c r="AD4373" s="16"/>
    </row>
    <row r="4374" spans="30:30" x14ac:dyDescent="0.3">
      <c r="AD4374" s="16"/>
    </row>
    <row r="4375" spans="30:30" x14ac:dyDescent="0.3">
      <c r="AD4375" s="16"/>
    </row>
    <row r="4376" spans="30:30" x14ac:dyDescent="0.3">
      <c r="AD4376" s="16"/>
    </row>
    <row r="4377" spans="30:30" x14ac:dyDescent="0.3">
      <c r="AD4377" s="16"/>
    </row>
    <row r="4378" spans="30:30" x14ac:dyDescent="0.3">
      <c r="AD4378" s="16"/>
    </row>
    <row r="4379" spans="30:30" x14ac:dyDescent="0.3">
      <c r="AD4379" s="16"/>
    </row>
    <row r="4380" spans="30:30" x14ac:dyDescent="0.3">
      <c r="AD4380" s="16"/>
    </row>
    <row r="4381" spans="30:30" x14ac:dyDescent="0.3">
      <c r="AD4381" s="16"/>
    </row>
    <row r="4382" spans="30:30" x14ac:dyDescent="0.3">
      <c r="AD4382" s="16"/>
    </row>
    <row r="4383" spans="30:30" x14ac:dyDescent="0.3">
      <c r="AD4383" s="16"/>
    </row>
    <row r="4384" spans="30:30" x14ac:dyDescent="0.3">
      <c r="AD4384" s="16"/>
    </row>
    <row r="4385" spans="30:30" x14ac:dyDescent="0.3">
      <c r="AD4385" s="16"/>
    </row>
    <row r="4386" spans="30:30" x14ac:dyDescent="0.3">
      <c r="AD4386" s="16"/>
    </row>
    <row r="4387" spans="30:30" x14ac:dyDescent="0.3">
      <c r="AD4387" s="16"/>
    </row>
    <row r="4388" spans="30:30" x14ac:dyDescent="0.3">
      <c r="AD4388" s="16"/>
    </row>
    <row r="4389" spans="30:30" x14ac:dyDescent="0.3">
      <c r="AD4389" s="16"/>
    </row>
    <row r="4390" spans="30:30" x14ac:dyDescent="0.3">
      <c r="AD4390" s="16"/>
    </row>
    <row r="4391" spans="30:30" x14ac:dyDescent="0.3">
      <c r="AD4391" s="16"/>
    </row>
    <row r="4392" spans="30:30" x14ac:dyDescent="0.3">
      <c r="AD4392" s="16"/>
    </row>
    <row r="4393" spans="30:30" x14ac:dyDescent="0.3">
      <c r="AD4393" s="16"/>
    </row>
    <row r="4394" spans="30:30" x14ac:dyDescent="0.3">
      <c r="AD4394" s="16"/>
    </row>
    <row r="4395" spans="30:30" x14ac:dyDescent="0.3">
      <c r="AD4395" s="16"/>
    </row>
    <row r="4396" spans="30:30" x14ac:dyDescent="0.3">
      <c r="AD4396" s="16"/>
    </row>
    <row r="4397" spans="30:30" x14ac:dyDescent="0.3">
      <c r="AD4397" s="16"/>
    </row>
    <row r="4398" spans="30:30" x14ac:dyDescent="0.3">
      <c r="AD4398" s="16"/>
    </row>
    <row r="4399" spans="30:30" x14ac:dyDescent="0.3">
      <c r="AD4399" s="16"/>
    </row>
    <row r="4400" spans="30:30" x14ac:dyDescent="0.3">
      <c r="AD4400" s="16"/>
    </row>
    <row r="4401" spans="30:30" x14ac:dyDescent="0.3">
      <c r="AD4401" s="16"/>
    </row>
    <row r="4402" spans="30:30" x14ac:dyDescent="0.3">
      <c r="AD4402" s="16"/>
    </row>
    <row r="4403" spans="30:30" x14ac:dyDescent="0.3">
      <c r="AD4403" s="16"/>
    </row>
    <row r="4404" spans="30:30" x14ac:dyDescent="0.3">
      <c r="AD4404" s="16"/>
    </row>
    <row r="4405" spans="30:30" x14ac:dyDescent="0.3">
      <c r="AD4405" s="16"/>
    </row>
    <row r="4406" spans="30:30" x14ac:dyDescent="0.3">
      <c r="AD4406" s="16"/>
    </row>
    <row r="4407" spans="30:30" x14ac:dyDescent="0.3">
      <c r="AD4407" s="16"/>
    </row>
    <row r="4408" spans="30:30" x14ac:dyDescent="0.3">
      <c r="AD4408" s="16"/>
    </row>
    <row r="4409" spans="30:30" x14ac:dyDescent="0.3">
      <c r="AD4409" s="16"/>
    </row>
    <row r="4410" spans="30:30" x14ac:dyDescent="0.3">
      <c r="AD4410" s="16"/>
    </row>
    <row r="4411" spans="30:30" x14ac:dyDescent="0.3">
      <c r="AD4411" s="16"/>
    </row>
    <row r="4412" spans="30:30" x14ac:dyDescent="0.3">
      <c r="AD4412" s="16"/>
    </row>
    <row r="4413" spans="30:30" x14ac:dyDescent="0.3">
      <c r="AD4413" s="16"/>
    </row>
    <row r="4414" spans="30:30" x14ac:dyDescent="0.3">
      <c r="AD4414" s="16"/>
    </row>
    <row r="4415" spans="30:30" x14ac:dyDescent="0.3">
      <c r="AD4415" s="16"/>
    </row>
    <row r="4416" spans="30:30" x14ac:dyDescent="0.3">
      <c r="AD4416" s="16"/>
    </row>
    <row r="4417" spans="30:30" x14ac:dyDescent="0.3">
      <c r="AD4417" s="16"/>
    </row>
    <row r="4418" spans="30:30" x14ac:dyDescent="0.3">
      <c r="AD4418" s="16"/>
    </row>
    <row r="4419" spans="30:30" x14ac:dyDescent="0.3">
      <c r="AD4419" s="16"/>
    </row>
    <row r="4420" spans="30:30" x14ac:dyDescent="0.3">
      <c r="AD4420" s="16"/>
    </row>
    <row r="4421" spans="30:30" x14ac:dyDescent="0.3">
      <c r="AD4421" s="16"/>
    </row>
    <row r="4422" spans="30:30" x14ac:dyDescent="0.3">
      <c r="AD4422" s="16"/>
    </row>
    <row r="4423" spans="30:30" x14ac:dyDescent="0.3">
      <c r="AD4423" s="16"/>
    </row>
    <row r="4424" spans="30:30" x14ac:dyDescent="0.3">
      <c r="AD4424" s="16"/>
    </row>
    <row r="4425" spans="30:30" x14ac:dyDescent="0.3">
      <c r="AD4425" s="16"/>
    </row>
    <row r="4426" spans="30:30" x14ac:dyDescent="0.3">
      <c r="AD4426" s="16"/>
    </row>
    <row r="4427" spans="30:30" x14ac:dyDescent="0.3">
      <c r="AD4427" s="16"/>
    </row>
    <row r="4428" spans="30:30" x14ac:dyDescent="0.3">
      <c r="AD4428" s="16"/>
    </row>
    <row r="4429" spans="30:30" x14ac:dyDescent="0.3">
      <c r="AD4429" s="16"/>
    </row>
    <row r="4430" spans="30:30" x14ac:dyDescent="0.3">
      <c r="AD4430" s="16"/>
    </row>
    <row r="4431" spans="30:30" x14ac:dyDescent="0.3">
      <c r="AD4431" s="16"/>
    </row>
    <row r="4432" spans="30:30" x14ac:dyDescent="0.3">
      <c r="AD4432" s="16"/>
    </row>
    <row r="4433" spans="30:30" x14ac:dyDescent="0.3">
      <c r="AD4433" s="16"/>
    </row>
    <row r="4434" spans="30:30" x14ac:dyDescent="0.3">
      <c r="AD4434" s="16"/>
    </row>
    <row r="4435" spans="30:30" x14ac:dyDescent="0.3">
      <c r="AD4435" s="16"/>
    </row>
    <row r="4436" spans="30:30" x14ac:dyDescent="0.3">
      <c r="AD4436" s="16"/>
    </row>
    <row r="4437" spans="30:30" x14ac:dyDescent="0.3">
      <c r="AD4437" s="16"/>
    </row>
    <row r="4438" spans="30:30" x14ac:dyDescent="0.3">
      <c r="AD4438" s="16"/>
    </row>
    <row r="4439" spans="30:30" x14ac:dyDescent="0.3">
      <c r="AD4439" s="16"/>
    </row>
    <row r="4440" spans="30:30" x14ac:dyDescent="0.3">
      <c r="AD4440" s="16"/>
    </row>
    <row r="4441" spans="30:30" x14ac:dyDescent="0.3">
      <c r="AD4441" s="16"/>
    </row>
    <row r="4442" spans="30:30" x14ac:dyDescent="0.3">
      <c r="AD4442" s="16"/>
    </row>
    <row r="4443" spans="30:30" x14ac:dyDescent="0.3">
      <c r="AD4443" s="16"/>
    </row>
    <row r="4444" spans="30:30" x14ac:dyDescent="0.3">
      <c r="AD4444" s="16"/>
    </row>
    <row r="4445" spans="30:30" x14ac:dyDescent="0.3">
      <c r="AD4445" s="16"/>
    </row>
    <row r="4446" spans="30:30" x14ac:dyDescent="0.3">
      <c r="AD4446" s="16"/>
    </row>
    <row r="4447" spans="30:30" x14ac:dyDescent="0.3">
      <c r="AD4447" s="16"/>
    </row>
    <row r="4448" spans="30:30" x14ac:dyDescent="0.3">
      <c r="AD4448" s="16"/>
    </row>
    <row r="4449" spans="30:30" x14ac:dyDescent="0.3">
      <c r="AD4449" s="16"/>
    </row>
    <row r="4450" spans="30:30" x14ac:dyDescent="0.3">
      <c r="AD4450" s="16"/>
    </row>
    <row r="4451" spans="30:30" x14ac:dyDescent="0.3">
      <c r="AD4451" s="16"/>
    </row>
    <row r="4452" spans="30:30" x14ac:dyDescent="0.3">
      <c r="AD4452" s="16"/>
    </row>
    <row r="4453" spans="30:30" x14ac:dyDescent="0.3">
      <c r="AD4453" s="16"/>
    </row>
    <row r="4454" spans="30:30" x14ac:dyDescent="0.3">
      <c r="AD4454" s="16"/>
    </row>
    <row r="4455" spans="30:30" x14ac:dyDescent="0.3">
      <c r="AD4455" s="16"/>
    </row>
    <row r="4456" spans="30:30" x14ac:dyDescent="0.3">
      <c r="AD4456" s="16"/>
    </row>
    <row r="4457" spans="30:30" x14ac:dyDescent="0.3">
      <c r="AD4457" s="16"/>
    </row>
    <row r="4458" spans="30:30" x14ac:dyDescent="0.3">
      <c r="AD4458" s="16"/>
    </row>
    <row r="4459" spans="30:30" x14ac:dyDescent="0.3">
      <c r="AD4459" s="16"/>
    </row>
    <row r="4460" spans="30:30" x14ac:dyDescent="0.3">
      <c r="AD4460" s="16"/>
    </row>
    <row r="4461" spans="30:30" x14ac:dyDescent="0.3">
      <c r="AD4461" s="16"/>
    </row>
    <row r="4462" spans="30:30" x14ac:dyDescent="0.3">
      <c r="AD4462" s="16"/>
    </row>
    <row r="4463" spans="30:30" x14ac:dyDescent="0.3">
      <c r="AD4463" s="16"/>
    </row>
    <row r="4464" spans="30:30" x14ac:dyDescent="0.3">
      <c r="AD4464" s="16"/>
    </row>
    <row r="4465" spans="30:30" x14ac:dyDescent="0.3">
      <c r="AD4465" s="16"/>
    </row>
    <row r="4466" spans="30:30" x14ac:dyDescent="0.3">
      <c r="AD4466" s="16"/>
    </row>
    <row r="4467" spans="30:30" x14ac:dyDescent="0.3">
      <c r="AD4467" s="16"/>
    </row>
    <row r="4468" spans="30:30" x14ac:dyDescent="0.3">
      <c r="AD4468" s="16"/>
    </row>
    <row r="4469" spans="30:30" x14ac:dyDescent="0.3">
      <c r="AD4469" s="16"/>
    </row>
    <row r="4470" spans="30:30" x14ac:dyDescent="0.3">
      <c r="AD4470" s="16"/>
    </row>
    <row r="4471" spans="30:30" x14ac:dyDescent="0.3">
      <c r="AD4471" s="16"/>
    </row>
    <row r="4472" spans="30:30" x14ac:dyDescent="0.3">
      <c r="AD4472" s="16"/>
    </row>
    <row r="4473" spans="30:30" x14ac:dyDescent="0.3">
      <c r="AD4473" s="16"/>
    </row>
    <row r="4474" spans="30:30" x14ac:dyDescent="0.3">
      <c r="AD4474" s="16"/>
    </row>
    <row r="4475" spans="30:30" x14ac:dyDescent="0.3">
      <c r="AD4475" s="16"/>
    </row>
    <row r="4476" spans="30:30" x14ac:dyDescent="0.3">
      <c r="AD4476" s="16"/>
    </row>
    <row r="4477" spans="30:30" x14ac:dyDescent="0.3">
      <c r="AD4477" s="16"/>
    </row>
    <row r="4478" spans="30:30" x14ac:dyDescent="0.3">
      <c r="AD4478" s="16"/>
    </row>
    <row r="4479" spans="30:30" x14ac:dyDescent="0.3">
      <c r="AD4479" s="16"/>
    </row>
    <row r="4480" spans="30:30" x14ac:dyDescent="0.3">
      <c r="AD4480" s="16"/>
    </row>
    <row r="4481" spans="30:30" x14ac:dyDescent="0.3">
      <c r="AD4481" s="16"/>
    </row>
    <row r="4482" spans="30:30" x14ac:dyDescent="0.3">
      <c r="AD4482" s="16"/>
    </row>
    <row r="4483" spans="30:30" x14ac:dyDescent="0.3">
      <c r="AD4483" s="16"/>
    </row>
    <row r="4484" spans="30:30" x14ac:dyDescent="0.3">
      <c r="AD4484" s="16"/>
    </row>
    <row r="4485" spans="30:30" x14ac:dyDescent="0.3">
      <c r="AD4485" s="16"/>
    </row>
    <row r="4486" spans="30:30" x14ac:dyDescent="0.3">
      <c r="AD4486" s="16"/>
    </row>
    <row r="4487" spans="30:30" x14ac:dyDescent="0.3">
      <c r="AD4487" s="16"/>
    </row>
    <row r="4488" spans="30:30" x14ac:dyDescent="0.3">
      <c r="AD4488" s="16"/>
    </row>
    <row r="4489" spans="30:30" x14ac:dyDescent="0.3">
      <c r="AD4489" s="16"/>
    </row>
    <row r="4490" spans="30:30" x14ac:dyDescent="0.3">
      <c r="AD4490" s="16"/>
    </row>
    <row r="4491" spans="30:30" x14ac:dyDescent="0.3">
      <c r="AD4491" s="16"/>
    </row>
    <row r="4492" spans="30:30" x14ac:dyDescent="0.3">
      <c r="AD4492" s="16"/>
    </row>
    <row r="4493" spans="30:30" x14ac:dyDescent="0.3">
      <c r="AD4493" s="16"/>
    </row>
    <row r="4494" spans="30:30" x14ac:dyDescent="0.3">
      <c r="AD4494" s="16"/>
    </row>
    <row r="4495" spans="30:30" x14ac:dyDescent="0.3">
      <c r="AD4495" s="16"/>
    </row>
    <row r="4496" spans="30:30" x14ac:dyDescent="0.3">
      <c r="AD4496" s="16"/>
    </row>
    <row r="4497" spans="30:30" x14ac:dyDescent="0.3">
      <c r="AD4497" s="16"/>
    </row>
    <row r="4498" spans="30:30" x14ac:dyDescent="0.3">
      <c r="AD4498" s="16"/>
    </row>
    <row r="4499" spans="30:30" x14ac:dyDescent="0.3">
      <c r="AD4499" s="16"/>
    </row>
    <row r="4500" spans="30:30" x14ac:dyDescent="0.3">
      <c r="AD4500" s="16"/>
    </row>
    <row r="4501" spans="30:30" x14ac:dyDescent="0.3">
      <c r="AD4501" s="16"/>
    </row>
    <row r="4502" spans="30:30" x14ac:dyDescent="0.3">
      <c r="AD4502" s="16"/>
    </row>
    <row r="4503" spans="30:30" x14ac:dyDescent="0.3">
      <c r="AD4503" s="16"/>
    </row>
    <row r="4504" spans="30:30" x14ac:dyDescent="0.3">
      <c r="AD4504" s="16"/>
    </row>
    <row r="4505" spans="30:30" x14ac:dyDescent="0.3">
      <c r="AD4505" s="16"/>
    </row>
    <row r="4506" spans="30:30" x14ac:dyDescent="0.3">
      <c r="AD4506" s="16"/>
    </row>
    <row r="4507" spans="30:30" x14ac:dyDescent="0.3">
      <c r="AD4507" s="16"/>
    </row>
    <row r="4508" spans="30:30" x14ac:dyDescent="0.3">
      <c r="AD4508" s="16"/>
    </row>
    <row r="4509" spans="30:30" x14ac:dyDescent="0.3">
      <c r="AD4509" s="16"/>
    </row>
    <row r="4510" spans="30:30" x14ac:dyDescent="0.3">
      <c r="AD4510" s="16"/>
    </row>
    <row r="4511" spans="30:30" x14ac:dyDescent="0.3">
      <c r="AD4511" s="16"/>
    </row>
    <row r="4512" spans="30:30" x14ac:dyDescent="0.3">
      <c r="AD4512" s="16"/>
    </row>
    <row r="4513" spans="30:30" x14ac:dyDescent="0.3">
      <c r="AD4513" s="16"/>
    </row>
    <row r="4514" spans="30:30" x14ac:dyDescent="0.3">
      <c r="AD4514" s="16"/>
    </row>
    <row r="4515" spans="30:30" x14ac:dyDescent="0.3">
      <c r="AD4515" s="16"/>
    </row>
    <row r="4516" spans="30:30" x14ac:dyDescent="0.3">
      <c r="AD4516" s="16"/>
    </row>
    <row r="4517" spans="30:30" x14ac:dyDescent="0.3">
      <c r="AD4517" s="16"/>
    </row>
    <row r="4518" spans="30:30" x14ac:dyDescent="0.3">
      <c r="AD4518" s="16"/>
    </row>
    <row r="4519" spans="30:30" x14ac:dyDescent="0.3">
      <c r="AD4519" s="16"/>
    </row>
    <row r="4520" spans="30:30" x14ac:dyDescent="0.3">
      <c r="AD4520" s="16"/>
    </row>
    <row r="4521" spans="30:30" x14ac:dyDescent="0.3">
      <c r="AD4521" s="16"/>
    </row>
    <row r="4522" spans="30:30" x14ac:dyDescent="0.3">
      <c r="AD4522" s="16"/>
    </row>
    <row r="4523" spans="30:30" x14ac:dyDescent="0.3">
      <c r="AD4523" s="16"/>
    </row>
    <row r="4524" spans="30:30" x14ac:dyDescent="0.3">
      <c r="AD4524" s="16"/>
    </row>
    <row r="4525" spans="30:30" x14ac:dyDescent="0.3">
      <c r="AD4525" s="16"/>
    </row>
    <row r="4526" spans="30:30" x14ac:dyDescent="0.3">
      <c r="AD4526" s="16"/>
    </row>
    <row r="4527" spans="30:30" x14ac:dyDescent="0.3">
      <c r="AD4527" s="16"/>
    </row>
    <row r="4528" spans="30:30" x14ac:dyDescent="0.3">
      <c r="AD4528" s="16"/>
    </row>
    <row r="4529" spans="30:30" x14ac:dyDescent="0.3">
      <c r="AD4529" s="16"/>
    </row>
    <row r="4530" spans="30:30" x14ac:dyDescent="0.3">
      <c r="AD4530" s="16"/>
    </row>
    <row r="4531" spans="30:30" x14ac:dyDescent="0.3">
      <c r="AD4531" s="16"/>
    </row>
    <row r="4532" spans="30:30" x14ac:dyDescent="0.3">
      <c r="AD4532" s="16"/>
    </row>
    <row r="4533" spans="30:30" x14ac:dyDescent="0.3">
      <c r="AD4533" s="16"/>
    </row>
    <row r="4534" spans="30:30" x14ac:dyDescent="0.3">
      <c r="AD4534" s="16"/>
    </row>
    <row r="4535" spans="30:30" x14ac:dyDescent="0.3">
      <c r="AD4535" s="16"/>
    </row>
    <row r="4536" spans="30:30" x14ac:dyDescent="0.3">
      <c r="AD4536" s="16"/>
    </row>
    <row r="4537" spans="30:30" x14ac:dyDescent="0.3">
      <c r="AD4537" s="16"/>
    </row>
    <row r="4538" spans="30:30" x14ac:dyDescent="0.3">
      <c r="AD4538" s="16"/>
    </row>
    <row r="4539" spans="30:30" x14ac:dyDescent="0.3">
      <c r="AD4539" s="16"/>
    </row>
    <row r="4540" spans="30:30" x14ac:dyDescent="0.3">
      <c r="AD4540" s="16"/>
    </row>
    <row r="4541" spans="30:30" x14ac:dyDescent="0.3">
      <c r="AD4541" s="16"/>
    </row>
    <row r="4542" spans="30:30" x14ac:dyDescent="0.3">
      <c r="AD4542" s="16"/>
    </row>
    <row r="4543" spans="30:30" x14ac:dyDescent="0.3">
      <c r="AD4543" s="16"/>
    </row>
    <row r="4544" spans="30:30" x14ac:dyDescent="0.3">
      <c r="AD4544" s="16"/>
    </row>
    <row r="4545" spans="30:30" x14ac:dyDescent="0.3">
      <c r="AD4545" s="16"/>
    </row>
    <row r="4546" spans="30:30" x14ac:dyDescent="0.3">
      <c r="AD4546" s="16"/>
    </row>
    <row r="4547" spans="30:30" x14ac:dyDescent="0.3">
      <c r="AD4547" s="16"/>
    </row>
    <row r="4548" spans="30:30" x14ac:dyDescent="0.3">
      <c r="AD4548" s="16"/>
    </row>
    <row r="4549" spans="30:30" x14ac:dyDescent="0.3">
      <c r="AD4549" s="16"/>
    </row>
    <row r="4550" spans="30:30" x14ac:dyDescent="0.3">
      <c r="AD4550" s="16"/>
    </row>
    <row r="4551" spans="30:30" x14ac:dyDescent="0.3">
      <c r="AD4551" s="16"/>
    </row>
    <row r="4552" spans="30:30" x14ac:dyDescent="0.3">
      <c r="AD4552" s="16"/>
    </row>
    <row r="4553" spans="30:30" x14ac:dyDescent="0.3">
      <c r="AD4553" s="16"/>
    </row>
    <row r="4554" spans="30:30" x14ac:dyDescent="0.3">
      <c r="AD4554" s="16"/>
    </row>
    <row r="4555" spans="30:30" x14ac:dyDescent="0.3">
      <c r="AD4555" s="16"/>
    </row>
    <row r="4556" spans="30:30" x14ac:dyDescent="0.3">
      <c r="AD4556" s="16"/>
    </row>
    <row r="4557" spans="30:30" x14ac:dyDescent="0.3">
      <c r="AD4557" s="16"/>
    </row>
    <row r="4558" spans="30:30" x14ac:dyDescent="0.3">
      <c r="AD4558" s="16"/>
    </row>
    <row r="4559" spans="30:30" x14ac:dyDescent="0.3">
      <c r="AD4559" s="16"/>
    </row>
    <row r="4560" spans="30:30" x14ac:dyDescent="0.3">
      <c r="AD4560" s="16"/>
    </row>
    <row r="4561" spans="30:30" x14ac:dyDescent="0.3">
      <c r="AD4561" s="16"/>
    </row>
    <row r="4562" spans="30:30" x14ac:dyDescent="0.3">
      <c r="AD4562" s="16"/>
    </row>
    <row r="4563" spans="30:30" x14ac:dyDescent="0.3">
      <c r="AD4563" s="16"/>
    </row>
    <row r="4564" spans="30:30" x14ac:dyDescent="0.3">
      <c r="AD4564" s="16"/>
    </row>
    <row r="4565" spans="30:30" x14ac:dyDescent="0.3">
      <c r="AD4565" s="16"/>
    </row>
    <row r="4566" spans="30:30" x14ac:dyDescent="0.3">
      <c r="AD4566" s="16"/>
    </row>
    <row r="4567" spans="30:30" x14ac:dyDescent="0.3">
      <c r="AD4567" s="16"/>
    </row>
    <row r="4568" spans="30:30" x14ac:dyDescent="0.3">
      <c r="AD4568" s="16"/>
    </row>
    <row r="4569" spans="30:30" x14ac:dyDescent="0.3">
      <c r="AD4569" s="16"/>
    </row>
    <row r="4570" spans="30:30" x14ac:dyDescent="0.3">
      <c r="AD4570" s="16"/>
    </row>
    <row r="4571" spans="30:30" x14ac:dyDescent="0.3">
      <c r="AD4571" s="16"/>
    </row>
    <row r="4572" spans="30:30" x14ac:dyDescent="0.3">
      <c r="AD4572" s="16"/>
    </row>
    <row r="4573" spans="30:30" x14ac:dyDescent="0.3">
      <c r="AD4573" s="16"/>
    </row>
    <row r="4574" spans="30:30" x14ac:dyDescent="0.3">
      <c r="AD4574" s="16"/>
    </row>
    <row r="4575" spans="30:30" x14ac:dyDescent="0.3">
      <c r="AD4575" s="16"/>
    </row>
    <row r="4576" spans="30:30" x14ac:dyDescent="0.3">
      <c r="AD4576" s="16"/>
    </row>
    <row r="4577" spans="30:30" x14ac:dyDescent="0.3">
      <c r="AD4577" s="16"/>
    </row>
    <row r="4578" spans="30:30" x14ac:dyDescent="0.3">
      <c r="AD4578" s="16"/>
    </row>
    <row r="4579" spans="30:30" x14ac:dyDescent="0.3">
      <c r="AD4579" s="16"/>
    </row>
    <row r="4580" spans="30:30" x14ac:dyDescent="0.3">
      <c r="AD4580" s="16"/>
    </row>
    <row r="4581" spans="30:30" x14ac:dyDescent="0.3">
      <c r="AD4581" s="16"/>
    </row>
    <row r="4582" spans="30:30" x14ac:dyDescent="0.3">
      <c r="AD4582" s="16"/>
    </row>
    <row r="4583" spans="30:30" x14ac:dyDescent="0.3">
      <c r="AD4583" s="16"/>
    </row>
    <row r="4584" spans="30:30" x14ac:dyDescent="0.3">
      <c r="AD4584" s="16"/>
    </row>
    <row r="4585" spans="30:30" x14ac:dyDescent="0.3">
      <c r="AD4585" s="16"/>
    </row>
    <row r="4586" spans="30:30" x14ac:dyDescent="0.3">
      <c r="AD4586" s="16"/>
    </row>
    <row r="4587" spans="30:30" x14ac:dyDescent="0.3">
      <c r="AD4587" s="16"/>
    </row>
    <row r="4588" spans="30:30" x14ac:dyDescent="0.3">
      <c r="AD4588" s="16"/>
    </row>
    <row r="4589" spans="30:30" x14ac:dyDescent="0.3">
      <c r="AD4589" s="16"/>
    </row>
    <row r="4590" spans="30:30" x14ac:dyDescent="0.3">
      <c r="AD4590" s="16"/>
    </row>
    <row r="4591" spans="30:30" x14ac:dyDescent="0.3">
      <c r="AD4591" s="16"/>
    </row>
    <row r="4592" spans="30:30" x14ac:dyDescent="0.3">
      <c r="AD4592" s="16"/>
    </row>
    <row r="4593" spans="30:30" x14ac:dyDescent="0.3">
      <c r="AD4593" s="16"/>
    </row>
    <row r="4594" spans="30:30" x14ac:dyDescent="0.3">
      <c r="AD4594" s="16"/>
    </row>
    <row r="4595" spans="30:30" x14ac:dyDescent="0.3">
      <c r="AD4595" s="16"/>
    </row>
    <row r="4596" spans="30:30" x14ac:dyDescent="0.3">
      <c r="AD4596" s="16"/>
    </row>
    <row r="4597" spans="30:30" x14ac:dyDescent="0.3">
      <c r="AD4597" s="16"/>
    </row>
    <row r="4598" spans="30:30" x14ac:dyDescent="0.3">
      <c r="AD4598" s="16"/>
    </row>
    <row r="4599" spans="30:30" x14ac:dyDescent="0.3">
      <c r="AD4599" s="16"/>
    </row>
    <row r="4600" spans="30:30" x14ac:dyDescent="0.3">
      <c r="AD4600" s="16"/>
    </row>
    <row r="4601" spans="30:30" x14ac:dyDescent="0.3">
      <c r="AD4601" s="16"/>
    </row>
    <row r="4602" spans="30:30" x14ac:dyDescent="0.3">
      <c r="AD4602" s="16"/>
    </row>
    <row r="4603" spans="30:30" x14ac:dyDescent="0.3">
      <c r="AD4603" s="16"/>
    </row>
    <row r="4604" spans="30:30" x14ac:dyDescent="0.3">
      <c r="AD4604" s="16"/>
    </row>
    <row r="4605" spans="30:30" x14ac:dyDescent="0.3">
      <c r="AD4605" s="16"/>
    </row>
    <row r="4606" spans="30:30" x14ac:dyDescent="0.3">
      <c r="AD4606" s="16"/>
    </row>
    <row r="4607" spans="30:30" x14ac:dyDescent="0.3">
      <c r="AD4607" s="16"/>
    </row>
    <row r="4608" spans="30:30" x14ac:dyDescent="0.3">
      <c r="AD4608" s="16"/>
    </row>
    <row r="4609" spans="30:30" x14ac:dyDescent="0.3">
      <c r="AD4609" s="16"/>
    </row>
    <row r="4610" spans="30:30" x14ac:dyDescent="0.3">
      <c r="AD4610" s="16"/>
    </row>
    <row r="4611" spans="30:30" x14ac:dyDescent="0.3">
      <c r="AD4611" s="16"/>
    </row>
    <row r="4612" spans="30:30" x14ac:dyDescent="0.3">
      <c r="AD4612" s="16"/>
    </row>
    <row r="4613" spans="30:30" x14ac:dyDescent="0.3">
      <c r="AD4613" s="16"/>
    </row>
    <row r="4614" spans="30:30" x14ac:dyDescent="0.3">
      <c r="AD4614" s="16"/>
    </row>
    <row r="4615" spans="30:30" x14ac:dyDescent="0.3">
      <c r="AD4615" s="16"/>
    </row>
    <row r="4616" spans="30:30" x14ac:dyDescent="0.3">
      <c r="AD4616" s="16"/>
    </row>
    <row r="4617" spans="30:30" x14ac:dyDescent="0.3">
      <c r="AD4617" s="16"/>
    </row>
    <row r="4618" spans="30:30" x14ac:dyDescent="0.3">
      <c r="AD4618" s="16"/>
    </row>
    <row r="4619" spans="30:30" x14ac:dyDescent="0.3">
      <c r="AD4619" s="16"/>
    </row>
    <row r="4620" spans="30:30" x14ac:dyDescent="0.3">
      <c r="AD4620" s="16"/>
    </row>
    <row r="4621" spans="30:30" x14ac:dyDescent="0.3">
      <c r="AD4621" s="16"/>
    </row>
    <row r="4622" spans="30:30" x14ac:dyDescent="0.3">
      <c r="AD4622" s="16"/>
    </row>
    <row r="4623" spans="30:30" x14ac:dyDescent="0.3">
      <c r="AD4623" s="16"/>
    </row>
    <row r="4624" spans="30:30" x14ac:dyDescent="0.3">
      <c r="AD4624" s="16"/>
    </row>
    <row r="4625" spans="30:30" x14ac:dyDescent="0.3">
      <c r="AD4625" s="16"/>
    </row>
    <row r="4626" spans="30:30" x14ac:dyDescent="0.3">
      <c r="AD4626" s="16"/>
    </row>
    <row r="4627" spans="30:30" x14ac:dyDescent="0.3">
      <c r="AD4627" s="16"/>
    </row>
    <row r="4628" spans="30:30" x14ac:dyDescent="0.3">
      <c r="AD4628" s="16"/>
    </row>
    <row r="4629" spans="30:30" x14ac:dyDescent="0.3">
      <c r="AD4629" s="16"/>
    </row>
    <row r="4630" spans="30:30" x14ac:dyDescent="0.3">
      <c r="AD4630" s="16"/>
    </row>
    <row r="4631" spans="30:30" x14ac:dyDescent="0.3">
      <c r="AD4631" s="16"/>
    </row>
    <row r="4632" spans="30:30" x14ac:dyDescent="0.3">
      <c r="AD4632" s="16"/>
    </row>
    <row r="4633" spans="30:30" x14ac:dyDescent="0.3">
      <c r="AD4633" s="16"/>
    </row>
    <row r="4634" spans="30:30" x14ac:dyDescent="0.3">
      <c r="AD4634" s="16"/>
    </row>
    <row r="4635" spans="30:30" x14ac:dyDescent="0.3">
      <c r="AD4635" s="16"/>
    </row>
    <row r="4636" spans="30:30" x14ac:dyDescent="0.3">
      <c r="AD4636" s="16"/>
    </row>
    <row r="4637" spans="30:30" x14ac:dyDescent="0.3">
      <c r="AD4637" s="16"/>
    </row>
    <row r="4638" spans="30:30" x14ac:dyDescent="0.3">
      <c r="AD4638" s="16"/>
    </row>
    <row r="4639" spans="30:30" x14ac:dyDescent="0.3">
      <c r="AD4639" s="16"/>
    </row>
    <row r="4640" spans="30:30" x14ac:dyDescent="0.3">
      <c r="AD4640" s="16"/>
    </row>
    <row r="4641" spans="30:30" x14ac:dyDescent="0.3">
      <c r="AD4641" s="16"/>
    </row>
    <row r="4642" spans="30:30" x14ac:dyDescent="0.3">
      <c r="AD4642" s="16"/>
    </row>
    <row r="4643" spans="30:30" x14ac:dyDescent="0.3">
      <c r="AD4643" s="16"/>
    </row>
    <row r="4644" spans="30:30" x14ac:dyDescent="0.3">
      <c r="AD4644" s="16"/>
    </row>
    <row r="4645" spans="30:30" x14ac:dyDescent="0.3">
      <c r="AD4645" s="16"/>
    </row>
    <row r="4646" spans="30:30" x14ac:dyDescent="0.3">
      <c r="AD4646" s="16"/>
    </row>
    <row r="4647" spans="30:30" x14ac:dyDescent="0.3">
      <c r="AD4647" s="16"/>
    </row>
    <row r="4648" spans="30:30" x14ac:dyDescent="0.3">
      <c r="AD4648" s="16"/>
    </row>
    <row r="4649" spans="30:30" x14ac:dyDescent="0.3">
      <c r="AD4649" s="16"/>
    </row>
    <row r="4650" spans="30:30" x14ac:dyDescent="0.3">
      <c r="AD4650" s="16"/>
    </row>
    <row r="4651" spans="30:30" x14ac:dyDescent="0.3">
      <c r="AD4651" s="16"/>
    </row>
    <row r="4652" spans="30:30" x14ac:dyDescent="0.3">
      <c r="AD4652" s="16"/>
    </row>
    <row r="4653" spans="30:30" x14ac:dyDescent="0.3">
      <c r="AD4653" s="16"/>
    </row>
    <row r="4654" spans="30:30" x14ac:dyDescent="0.3">
      <c r="AD4654" s="16"/>
    </row>
    <row r="4655" spans="30:30" x14ac:dyDescent="0.3">
      <c r="AD4655" s="16"/>
    </row>
    <row r="4656" spans="30:30" x14ac:dyDescent="0.3">
      <c r="AD4656" s="16"/>
    </row>
    <row r="4657" spans="30:30" x14ac:dyDescent="0.3">
      <c r="AD4657" s="16"/>
    </row>
    <row r="4658" spans="30:30" x14ac:dyDescent="0.3">
      <c r="AD4658" s="16"/>
    </row>
    <row r="4659" spans="30:30" x14ac:dyDescent="0.3">
      <c r="AD4659" s="16"/>
    </row>
    <row r="4660" spans="30:30" x14ac:dyDescent="0.3">
      <c r="AD4660" s="16"/>
    </row>
    <row r="4661" spans="30:30" x14ac:dyDescent="0.3">
      <c r="AD4661" s="16"/>
    </row>
    <row r="4662" spans="30:30" x14ac:dyDescent="0.3">
      <c r="AD4662" s="16"/>
    </row>
    <row r="4663" spans="30:30" x14ac:dyDescent="0.3">
      <c r="AD4663" s="16"/>
    </row>
    <row r="4664" spans="30:30" x14ac:dyDescent="0.3">
      <c r="AD4664" s="16"/>
    </row>
    <row r="4665" spans="30:30" x14ac:dyDescent="0.3">
      <c r="AD4665" s="16"/>
    </row>
    <row r="4666" spans="30:30" x14ac:dyDescent="0.3">
      <c r="AD4666" s="16"/>
    </row>
    <row r="4667" spans="30:30" x14ac:dyDescent="0.3">
      <c r="AD4667" s="16"/>
    </row>
    <row r="4668" spans="30:30" x14ac:dyDescent="0.3">
      <c r="AD4668" s="16"/>
    </row>
    <row r="4669" spans="30:30" x14ac:dyDescent="0.3">
      <c r="AD4669" s="16"/>
    </row>
    <row r="4670" spans="30:30" x14ac:dyDescent="0.3">
      <c r="AD4670" s="16"/>
    </row>
    <row r="4671" spans="30:30" x14ac:dyDescent="0.3">
      <c r="AD4671" s="16"/>
    </row>
    <row r="4672" spans="30:30" x14ac:dyDescent="0.3">
      <c r="AD4672" s="16"/>
    </row>
    <row r="4673" spans="30:30" x14ac:dyDescent="0.3">
      <c r="AD4673" s="16"/>
    </row>
    <row r="4674" spans="30:30" x14ac:dyDescent="0.3">
      <c r="AD4674" s="16"/>
    </row>
    <row r="4675" spans="30:30" x14ac:dyDescent="0.3">
      <c r="AD4675" s="16"/>
    </row>
    <row r="4676" spans="30:30" x14ac:dyDescent="0.3">
      <c r="AD4676" s="16"/>
    </row>
    <row r="4677" spans="30:30" x14ac:dyDescent="0.3">
      <c r="AD4677" s="16"/>
    </row>
    <row r="4678" spans="30:30" x14ac:dyDescent="0.3">
      <c r="AD4678" s="16"/>
    </row>
    <row r="4679" spans="30:30" x14ac:dyDescent="0.3">
      <c r="AD4679" s="16"/>
    </row>
    <row r="4680" spans="30:30" x14ac:dyDescent="0.3">
      <c r="AD4680" s="16"/>
    </row>
    <row r="4681" spans="30:30" x14ac:dyDescent="0.3">
      <c r="AD4681" s="16"/>
    </row>
    <row r="4682" spans="30:30" x14ac:dyDescent="0.3">
      <c r="AD4682" s="16"/>
    </row>
    <row r="4683" spans="30:30" x14ac:dyDescent="0.3">
      <c r="AD4683" s="16"/>
    </row>
    <row r="4684" spans="30:30" x14ac:dyDescent="0.3">
      <c r="AD4684" s="16"/>
    </row>
    <row r="4685" spans="30:30" x14ac:dyDescent="0.3">
      <c r="AD4685" s="16"/>
    </row>
    <row r="4686" spans="30:30" x14ac:dyDescent="0.3">
      <c r="AD4686" s="16"/>
    </row>
    <row r="4687" spans="30:30" x14ac:dyDescent="0.3">
      <c r="AD4687" s="16"/>
    </row>
    <row r="4688" spans="30:30" x14ac:dyDescent="0.3">
      <c r="AD4688" s="16"/>
    </row>
    <row r="4689" spans="30:30" x14ac:dyDescent="0.3">
      <c r="AD4689" s="16"/>
    </row>
    <row r="4690" spans="30:30" x14ac:dyDescent="0.3">
      <c r="AD4690" s="16"/>
    </row>
    <row r="4691" spans="30:30" x14ac:dyDescent="0.3">
      <c r="AD4691" s="16"/>
    </row>
    <row r="4692" spans="30:30" x14ac:dyDescent="0.3">
      <c r="AD4692" s="16"/>
    </row>
    <row r="4693" spans="30:30" x14ac:dyDescent="0.3">
      <c r="AD4693" s="16"/>
    </row>
    <row r="4694" spans="30:30" x14ac:dyDescent="0.3">
      <c r="AD4694" s="16"/>
    </row>
    <row r="4695" spans="30:30" x14ac:dyDescent="0.3">
      <c r="AD4695" s="16"/>
    </row>
    <row r="4696" spans="30:30" x14ac:dyDescent="0.3">
      <c r="AD4696" s="16"/>
    </row>
    <row r="4697" spans="30:30" x14ac:dyDescent="0.3">
      <c r="AD4697" s="16"/>
    </row>
    <row r="4698" spans="30:30" x14ac:dyDescent="0.3">
      <c r="AD4698" s="16"/>
    </row>
    <row r="4699" spans="30:30" x14ac:dyDescent="0.3">
      <c r="AD4699" s="16"/>
    </row>
    <row r="4700" spans="30:30" x14ac:dyDescent="0.3">
      <c r="AD4700" s="16"/>
    </row>
    <row r="4701" spans="30:30" x14ac:dyDescent="0.3">
      <c r="AD4701" s="16"/>
    </row>
    <row r="4702" spans="30:30" x14ac:dyDescent="0.3">
      <c r="AD4702" s="16"/>
    </row>
    <row r="4703" spans="30:30" x14ac:dyDescent="0.3">
      <c r="AD4703" s="16"/>
    </row>
    <row r="4704" spans="30:30" x14ac:dyDescent="0.3">
      <c r="AD4704" s="16"/>
    </row>
    <row r="4705" spans="30:30" x14ac:dyDescent="0.3">
      <c r="AD4705" s="16"/>
    </row>
    <row r="4706" spans="30:30" x14ac:dyDescent="0.3">
      <c r="AD4706" s="16"/>
    </row>
    <row r="4707" spans="30:30" x14ac:dyDescent="0.3">
      <c r="AD4707" s="16"/>
    </row>
    <row r="4708" spans="30:30" x14ac:dyDescent="0.3">
      <c r="AD4708" s="16"/>
    </row>
    <row r="4709" spans="30:30" x14ac:dyDescent="0.3">
      <c r="AD4709" s="16"/>
    </row>
    <row r="4710" spans="30:30" x14ac:dyDescent="0.3">
      <c r="AD4710" s="16"/>
    </row>
    <row r="4711" spans="30:30" x14ac:dyDescent="0.3">
      <c r="AD4711" s="16"/>
    </row>
    <row r="4712" spans="30:30" x14ac:dyDescent="0.3">
      <c r="AD4712" s="16"/>
    </row>
    <row r="4713" spans="30:30" x14ac:dyDescent="0.3">
      <c r="AD4713" s="16"/>
    </row>
    <row r="4714" spans="30:30" x14ac:dyDescent="0.3">
      <c r="AD4714" s="16"/>
    </row>
    <row r="4715" spans="30:30" x14ac:dyDescent="0.3">
      <c r="AD4715" s="16"/>
    </row>
    <row r="4716" spans="30:30" x14ac:dyDescent="0.3">
      <c r="AD4716" s="16"/>
    </row>
    <row r="4717" spans="30:30" x14ac:dyDescent="0.3">
      <c r="AD4717" s="16"/>
    </row>
    <row r="4718" spans="30:30" x14ac:dyDescent="0.3">
      <c r="AD4718" s="16"/>
    </row>
    <row r="4719" spans="30:30" x14ac:dyDescent="0.3">
      <c r="AD4719" s="16"/>
    </row>
    <row r="4720" spans="30:30" x14ac:dyDescent="0.3">
      <c r="AD4720" s="16"/>
    </row>
    <row r="4721" spans="30:30" x14ac:dyDescent="0.3">
      <c r="AD4721" s="16"/>
    </row>
    <row r="4722" spans="30:30" x14ac:dyDescent="0.3">
      <c r="AD4722" s="16"/>
    </row>
    <row r="4723" spans="30:30" x14ac:dyDescent="0.3">
      <c r="AD4723" s="16"/>
    </row>
    <row r="4724" spans="30:30" x14ac:dyDescent="0.3">
      <c r="AD4724" s="16"/>
    </row>
    <row r="4725" spans="30:30" x14ac:dyDescent="0.3">
      <c r="AD4725" s="16"/>
    </row>
    <row r="4726" spans="30:30" x14ac:dyDescent="0.3">
      <c r="AD4726" s="16"/>
    </row>
    <row r="4727" spans="30:30" x14ac:dyDescent="0.3">
      <c r="AD4727" s="16"/>
    </row>
    <row r="4728" spans="30:30" x14ac:dyDescent="0.3">
      <c r="AD4728" s="16"/>
    </row>
    <row r="4729" spans="30:30" x14ac:dyDescent="0.3">
      <c r="AD4729" s="16"/>
    </row>
    <row r="4730" spans="30:30" x14ac:dyDescent="0.3">
      <c r="AD4730" s="16"/>
    </row>
    <row r="4731" spans="30:30" x14ac:dyDescent="0.3">
      <c r="AD4731" s="16"/>
    </row>
    <row r="4732" spans="30:30" x14ac:dyDescent="0.3">
      <c r="AD4732" s="16"/>
    </row>
    <row r="4733" spans="30:30" x14ac:dyDescent="0.3">
      <c r="AD4733" s="16"/>
    </row>
    <row r="4734" spans="30:30" x14ac:dyDescent="0.3">
      <c r="AD4734" s="16"/>
    </row>
    <row r="4735" spans="30:30" x14ac:dyDescent="0.3">
      <c r="AD4735" s="16"/>
    </row>
    <row r="4736" spans="30:30" x14ac:dyDescent="0.3">
      <c r="AD4736" s="16"/>
    </row>
    <row r="4737" spans="30:30" x14ac:dyDescent="0.3">
      <c r="AD4737" s="16"/>
    </row>
    <row r="4738" spans="30:30" x14ac:dyDescent="0.3">
      <c r="AD4738" s="16"/>
    </row>
    <row r="4739" spans="30:30" x14ac:dyDescent="0.3">
      <c r="AD4739" s="16"/>
    </row>
    <row r="4740" spans="30:30" x14ac:dyDescent="0.3">
      <c r="AD4740" s="16"/>
    </row>
    <row r="4741" spans="30:30" x14ac:dyDescent="0.3">
      <c r="AD4741" s="16"/>
    </row>
    <row r="4742" spans="30:30" x14ac:dyDescent="0.3">
      <c r="AD4742" s="16"/>
    </row>
    <row r="4743" spans="30:30" x14ac:dyDescent="0.3">
      <c r="AD4743" s="16"/>
    </row>
    <row r="4744" spans="30:30" x14ac:dyDescent="0.3">
      <c r="AD4744" s="16"/>
    </row>
    <row r="4745" spans="30:30" x14ac:dyDescent="0.3">
      <c r="AD4745" s="16"/>
    </row>
    <row r="4746" spans="30:30" x14ac:dyDescent="0.3">
      <c r="AD4746" s="16"/>
    </row>
    <row r="4747" spans="30:30" x14ac:dyDescent="0.3">
      <c r="AD4747" s="16"/>
    </row>
    <row r="4748" spans="30:30" x14ac:dyDescent="0.3">
      <c r="AD4748" s="16"/>
    </row>
    <row r="4749" spans="30:30" x14ac:dyDescent="0.3">
      <c r="AD4749" s="16"/>
    </row>
    <row r="4750" spans="30:30" x14ac:dyDescent="0.3">
      <c r="AD4750" s="16"/>
    </row>
    <row r="4751" spans="30:30" x14ac:dyDescent="0.3">
      <c r="AD4751" s="16"/>
    </row>
    <row r="4752" spans="30:30" x14ac:dyDescent="0.3">
      <c r="AD4752" s="16"/>
    </row>
    <row r="4753" spans="30:30" x14ac:dyDescent="0.3">
      <c r="AD4753" s="16"/>
    </row>
    <row r="4754" spans="30:30" x14ac:dyDescent="0.3">
      <c r="AD4754" s="16"/>
    </row>
    <row r="4755" spans="30:30" x14ac:dyDescent="0.3">
      <c r="AD4755" s="16"/>
    </row>
    <row r="4756" spans="30:30" x14ac:dyDescent="0.3">
      <c r="AD4756" s="16"/>
    </row>
    <row r="4757" spans="30:30" x14ac:dyDescent="0.3">
      <c r="AD4757" s="16"/>
    </row>
    <row r="4758" spans="30:30" x14ac:dyDescent="0.3">
      <c r="AD4758" s="16"/>
    </row>
    <row r="4759" spans="30:30" x14ac:dyDescent="0.3">
      <c r="AD4759" s="16"/>
    </row>
    <row r="4760" spans="30:30" x14ac:dyDescent="0.3">
      <c r="AD4760" s="16"/>
    </row>
    <row r="4761" spans="30:30" x14ac:dyDescent="0.3">
      <c r="AD4761" s="16"/>
    </row>
    <row r="4762" spans="30:30" x14ac:dyDescent="0.3">
      <c r="AD4762" s="16"/>
    </row>
    <row r="4763" spans="30:30" x14ac:dyDescent="0.3">
      <c r="AD4763" s="16"/>
    </row>
    <row r="4764" spans="30:30" x14ac:dyDescent="0.3">
      <c r="AD4764" s="16"/>
    </row>
    <row r="4765" spans="30:30" x14ac:dyDescent="0.3">
      <c r="AD4765" s="16"/>
    </row>
    <row r="4766" spans="30:30" x14ac:dyDescent="0.3">
      <c r="AD4766" s="16"/>
    </row>
    <row r="4767" spans="30:30" x14ac:dyDescent="0.3">
      <c r="AD4767" s="16"/>
    </row>
    <row r="4768" spans="30:30" x14ac:dyDescent="0.3">
      <c r="AD4768" s="16"/>
    </row>
    <row r="4769" spans="30:30" x14ac:dyDescent="0.3">
      <c r="AD4769" s="16"/>
    </row>
    <row r="4770" spans="30:30" x14ac:dyDescent="0.3">
      <c r="AD4770" s="16"/>
    </row>
    <row r="4771" spans="30:30" x14ac:dyDescent="0.3">
      <c r="AD4771" s="16"/>
    </row>
    <row r="4772" spans="30:30" x14ac:dyDescent="0.3">
      <c r="AD4772" s="16"/>
    </row>
    <row r="4773" spans="30:30" x14ac:dyDescent="0.3">
      <c r="AD4773" s="16"/>
    </row>
    <row r="4774" spans="30:30" x14ac:dyDescent="0.3">
      <c r="AD4774" s="16"/>
    </row>
    <row r="4775" spans="30:30" x14ac:dyDescent="0.3">
      <c r="AD4775" s="16"/>
    </row>
    <row r="4776" spans="30:30" x14ac:dyDescent="0.3">
      <c r="AD4776" s="16"/>
    </row>
    <row r="4777" spans="30:30" x14ac:dyDescent="0.3">
      <c r="AD4777" s="16"/>
    </row>
    <row r="4778" spans="30:30" x14ac:dyDescent="0.3">
      <c r="AD4778" s="16"/>
    </row>
    <row r="4779" spans="30:30" x14ac:dyDescent="0.3">
      <c r="AD4779" s="16"/>
    </row>
    <row r="4780" spans="30:30" x14ac:dyDescent="0.3">
      <c r="AD4780" s="16"/>
    </row>
    <row r="4781" spans="30:30" x14ac:dyDescent="0.3">
      <c r="AD4781" s="16"/>
    </row>
    <row r="4782" spans="30:30" x14ac:dyDescent="0.3">
      <c r="AD4782" s="16"/>
    </row>
    <row r="4783" spans="30:30" x14ac:dyDescent="0.3">
      <c r="AD4783" s="16"/>
    </row>
    <row r="4784" spans="30:30" x14ac:dyDescent="0.3">
      <c r="AD4784" s="16"/>
    </row>
    <row r="4785" spans="30:30" x14ac:dyDescent="0.3">
      <c r="AD4785" s="16"/>
    </row>
    <row r="4786" spans="30:30" x14ac:dyDescent="0.3">
      <c r="AD4786" s="16"/>
    </row>
    <row r="4787" spans="30:30" x14ac:dyDescent="0.3">
      <c r="AD4787" s="16"/>
    </row>
    <row r="4788" spans="30:30" x14ac:dyDescent="0.3">
      <c r="AD4788" s="16"/>
    </row>
    <row r="4789" spans="30:30" x14ac:dyDescent="0.3">
      <c r="AD4789" s="16"/>
    </row>
    <row r="4790" spans="30:30" x14ac:dyDescent="0.3">
      <c r="AD4790" s="16"/>
    </row>
    <row r="4791" spans="30:30" x14ac:dyDescent="0.3">
      <c r="AD4791" s="16"/>
    </row>
    <row r="4792" spans="30:30" x14ac:dyDescent="0.3">
      <c r="AD4792" s="16"/>
    </row>
    <row r="4793" spans="30:30" x14ac:dyDescent="0.3">
      <c r="AD4793" s="16"/>
    </row>
    <row r="4794" spans="30:30" x14ac:dyDescent="0.3">
      <c r="AD4794" s="16"/>
    </row>
    <row r="4795" spans="30:30" x14ac:dyDescent="0.3">
      <c r="AD4795" s="16"/>
    </row>
    <row r="4796" spans="30:30" x14ac:dyDescent="0.3">
      <c r="AD4796" s="16"/>
    </row>
    <row r="4797" spans="30:30" x14ac:dyDescent="0.3">
      <c r="AD4797" s="16"/>
    </row>
    <row r="4798" spans="30:30" x14ac:dyDescent="0.3">
      <c r="AD4798" s="16"/>
    </row>
    <row r="4799" spans="30:30" x14ac:dyDescent="0.3">
      <c r="AD4799" s="16"/>
    </row>
    <row r="4800" spans="30:30" x14ac:dyDescent="0.3">
      <c r="AD4800" s="16"/>
    </row>
    <row r="4801" spans="30:30" x14ac:dyDescent="0.3">
      <c r="AD4801" s="16"/>
    </row>
    <row r="4802" spans="30:30" x14ac:dyDescent="0.3">
      <c r="AD4802" s="16"/>
    </row>
    <row r="4803" spans="30:30" x14ac:dyDescent="0.3">
      <c r="AD4803" s="16"/>
    </row>
    <row r="4804" spans="30:30" x14ac:dyDescent="0.3">
      <c r="AD4804" s="16"/>
    </row>
    <row r="4805" spans="30:30" x14ac:dyDescent="0.3">
      <c r="AD4805" s="16"/>
    </row>
    <row r="4806" spans="30:30" x14ac:dyDescent="0.3">
      <c r="AD4806" s="16"/>
    </row>
    <row r="4807" spans="30:30" x14ac:dyDescent="0.3">
      <c r="AD4807" s="16"/>
    </row>
    <row r="4808" spans="30:30" x14ac:dyDescent="0.3">
      <c r="AD4808" s="16"/>
    </row>
    <row r="4809" spans="30:30" x14ac:dyDescent="0.3">
      <c r="AD4809" s="16"/>
    </row>
    <row r="4810" spans="30:30" x14ac:dyDescent="0.3">
      <c r="AD4810" s="16"/>
    </row>
    <row r="4811" spans="30:30" x14ac:dyDescent="0.3">
      <c r="AD4811" s="16"/>
    </row>
    <row r="4812" spans="30:30" x14ac:dyDescent="0.3">
      <c r="AD4812" s="16"/>
    </row>
    <row r="4813" spans="30:30" x14ac:dyDescent="0.3">
      <c r="AD4813" s="16"/>
    </row>
    <row r="4814" spans="30:30" x14ac:dyDescent="0.3">
      <c r="AD4814" s="16"/>
    </row>
    <row r="4815" spans="30:30" x14ac:dyDescent="0.3">
      <c r="AD4815" s="16"/>
    </row>
    <row r="4816" spans="30:30" x14ac:dyDescent="0.3">
      <c r="AD4816" s="16"/>
    </row>
    <row r="4817" spans="30:30" x14ac:dyDescent="0.3">
      <c r="AD4817" s="16"/>
    </row>
    <row r="4818" spans="30:30" x14ac:dyDescent="0.3">
      <c r="AD4818" s="16"/>
    </row>
    <row r="4819" spans="30:30" x14ac:dyDescent="0.3">
      <c r="AD4819" s="16"/>
    </row>
    <row r="4820" spans="30:30" x14ac:dyDescent="0.3">
      <c r="AD4820" s="16"/>
    </row>
    <row r="4821" spans="30:30" x14ac:dyDescent="0.3">
      <c r="AD4821" s="16"/>
    </row>
    <row r="4822" spans="30:30" x14ac:dyDescent="0.3">
      <c r="AD4822" s="16"/>
    </row>
    <row r="4823" spans="30:30" x14ac:dyDescent="0.3">
      <c r="AD4823" s="16"/>
    </row>
    <row r="4824" spans="30:30" x14ac:dyDescent="0.3">
      <c r="AD4824" s="16"/>
    </row>
    <row r="4825" spans="30:30" x14ac:dyDescent="0.3">
      <c r="AD4825" s="16"/>
    </row>
    <row r="4826" spans="30:30" x14ac:dyDescent="0.3">
      <c r="AD4826" s="16"/>
    </row>
    <row r="4827" spans="30:30" x14ac:dyDescent="0.3">
      <c r="AD4827" s="16"/>
    </row>
    <row r="4828" spans="30:30" x14ac:dyDescent="0.3">
      <c r="AD4828" s="16"/>
    </row>
    <row r="4829" spans="30:30" x14ac:dyDescent="0.3">
      <c r="AD4829" s="16"/>
    </row>
    <row r="4830" spans="30:30" x14ac:dyDescent="0.3">
      <c r="AD4830" s="16"/>
    </row>
    <row r="4831" spans="30:30" x14ac:dyDescent="0.3">
      <c r="AD4831" s="16"/>
    </row>
    <row r="4832" spans="30:30" x14ac:dyDescent="0.3">
      <c r="AD4832" s="16"/>
    </row>
    <row r="4833" spans="30:30" x14ac:dyDescent="0.3">
      <c r="AD4833" s="16"/>
    </row>
    <row r="4834" spans="30:30" x14ac:dyDescent="0.3">
      <c r="AD4834" s="16"/>
    </row>
    <row r="4835" spans="30:30" x14ac:dyDescent="0.3">
      <c r="AD4835" s="16"/>
    </row>
    <row r="4836" spans="30:30" x14ac:dyDescent="0.3">
      <c r="AD4836" s="16"/>
    </row>
    <row r="4837" spans="30:30" x14ac:dyDescent="0.3">
      <c r="AD4837" s="16"/>
    </row>
    <row r="4838" spans="30:30" x14ac:dyDescent="0.3">
      <c r="AD4838" s="16"/>
    </row>
    <row r="4839" spans="30:30" x14ac:dyDescent="0.3">
      <c r="AD4839" s="16"/>
    </row>
    <row r="4840" spans="30:30" x14ac:dyDescent="0.3">
      <c r="AD4840" s="16"/>
    </row>
    <row r="4841" spans="30:30" x14ac:dyDescent="0.3">
      <c r="AD4841" s="16"/>
    </row>
    <row r="4842" spans="30:30" x14ac:dyDescent="0.3">
      <c r="AD4842" s="16"/>
    </row>
    <row r="4843" spans="30:30" x14ac:dyDescent="0.3">
      <c r="AD4843" s="16"/>
    </row>
    <row r="4844" spans="30:30" x14ac:dyDescent="0.3">
      <c r="AD4844" s="16"/>
    </row>
    <row r="4845" spans="30:30" x14ac:dyDescent="0.3">
      <c r="AD4845" s="16"/>
    </row>
    <row r="4846" spans="30:30" x14ac:dyDescent="0.3">
      <c r="AD4846" s="16"/>
    </row>
    <row r="4847" spans="30:30" x14ac:dyDescent="0.3">
      <c r="AD4847" s="16"/>
    </row>
    <row r="4848" spans="30:30" x14ac:dyDescent="0.3">
      <c r="AD4848" s="16"/>
    </row>
    <row r="4849" spans="30:30" x14ac:dyDescent="0.3">
      <c r="AD4849" s="16"/>
    </row>
    <row r="4850" spans="30:30" x14ac:dyDescent="0.3">
      <c r="AD4850" s="16"/>
    </row>
    <row r="4851" spans="30:30" x14ac:dyDescent="0.3">
      <c r="AD4851" s="16"/>
    </row>
    <row r="4852" spans="30:30" x14ac:dyDescent="0.3">
      <c r="AD4852" s="16"/>
    </row>
    <row r="4853" spans="30:30" x14ac:dyDescent="0.3">
      <c r="AD4853" s="16"/>
    </row>
    <row r="4854" spans="30:30" x14ac:dyDescent="0.3">
      <c r="AD4854" s="16"/>
    </row>
    <row r="4855" spans="30:30" x14ac:dyDescent="0.3">
      <c r="AD4855" s="16"/>
    </row>
    <row r="4856" spans="30:30" x14ac:dyDescent="0.3">
      <c r="AD4856" s="16"/>
    </row>
    <row r="4857" spans="30:30" x14ac:dyDescent="0.3">
      <c r="AD4857" s="16"/>
    </row>
    <row r="4858" spans="30:30" x14ac:dyDescent="0.3">
      <c r="AD4858" s="16"/>
    </row>
    <row r="4859" spans="30:30" x14ac:dyDescent="0.3">
      <c r="AD4859" s="16"/>
    </row>
    <row r="4860" spans="30:30" x14ac:dyDescent="0.3">
      <c r="AD4860" s="16"/>
    </row>
    <row r="4861" spans="30:30" x14ac:dyDescent="0.3">
      <c r="AD4861" s="16"/>
    </row>
    <row r="4862" spans="30:30" x14ac:dyDescent="0.3">
      <c r="AD4862" s="16"/>
    </row>
    <row r="4863" spans="30:30" x14ac:dyDescent="0.3">
      <c r="AD4863" s="16"/>
    </row>
    <row r="4864" spans="30:30" x14ac:dyDescent="0.3">
      <c r="AD4864" s="16"/>
    </row>
    <row r="4865" spans="30:30" x14ac:dyDescent="0.3">
      <c r="AD4865" s="16"/>
    </row>
    <row r="4866" spans="30:30" x14ac:dyDescent="0.3">
      <c r="AD4866" s="16"/>
    </row>
    <row r="4867" spans="30:30" x14ac:dyDescent="0.3">
      <c r="AD4867" s="16"/>
    </row>
    <row r="4868" spans="30:30" x14ac:dyDescent="0.3">
      <c r="AD4868" s="16"/>
    </row>
    <row r="4869" spans="30:30" x14ac:dyDescent="0.3">
      <c r="AD4869" s="16"/>
    </row>
    <row r="4870" spans="30:30" x14ac:dyDescent="0.3">
      <c r="AD4870" s="16"/>
    </row>
    <row r="4871" spans="30:30" x14ac:dyDescent="0.3">
      <c r="AD4871" s="16"/>
    </row>
    <row r="4872" spans="30:30" x14ac:dyDescent="0.3">
      <c r="AD4872" s="16"/>
    </row>
    <row r="4873" spans="30:30" x14ac:dyDescent="0.3">
      <c r="AD4873" s="16"/>
    </row>
    <row r="4874" spans="30:30" x14ac:dyDescent="0.3">
      <c r="AD4874" s="16"/>
    </row>
    <row r="4875" spans="30:30" x14ac:dyDescent="0.3">
      <c r="AD4875" s="16"/>
    </row>
    <row r="4876" spans="30:30" x14ac:dyDescent="0.3">
      <c r="AD4876" s="16"/>
    </row>
    <row r="4877" spans="30:30" x14ac:dyDescent="0.3">
      <c r="AD4877" s="16"/>
    </row>
    <row r="4878" spans="30:30" x14ac:dyDescent="0.3">
      <c r="AD4878" s="16"/>
    </row>
    <row r="4879" spans="30:30" x14ac:dyDescent="0.3">
      <c r="AD4879" s="16"/>
    </row>
    <row r="4880" spans="30:30" x14ac:dyDescent="0.3">
      <c r="AD4880" s="16"/>
    </row>
    <row r="4881" spans="30:30" x14ac:dyDescent="0.3">
      <c r="AD4881" s="16"/>
    </row>
    <row r="4882" spans="30:30" x14ac:dyDescent="0.3">
      <c r="AD4882" s="16"/>
    </row>
    <row r="4883" spans="30:30" x14ac:dyDescent="0.3">
      <c r="AD4883" s="16"/>
    </row>
    <row r="4884" spans="30:30" x14ac:dyDescent="0.3">
      <c r="AD4884" s="16"/>
    </row>
    <row r="4885" spans="30:30" x14ac:dyDescent="0.3">
      <c r="AD4885" s="16"/>
    </row>
    <row r="4886" spans="30:30" x14ac:dyDescent="0.3">
      <c r="AD4886" s="16"/>
    </row>
    <row r="4887" spans="30:30" x14ac:dyDescent="0.3">
      <c r="AD4887" s="16"/>
    </row>
    <row r="4888" spans="30:30" x14ac:dyDescent="0.3">
      <c r="AD4888" s="16"/>
    </row>
    <row r="4889" spans="30:30" x14ac:dyDescent="0.3">
      <c r="AD4889" s="16"/>
    </row>
    <row r="4890" spans="30:30" x14ac:dyDescent="0.3">
      <c r="AD4890" s="16"/>
    </row>
    <row r="4891" spans="30:30" x14ac:dyDescent="0.3">
      <c r="AD4891" s="16"/>
    </row>
    <row r="4892" spans="30:30" x14ac:dyDescent="0.3">
      <c r="AD4892" s="16"/>
    </row>
    <row r="4893" spans="30:30" x14ac:dyDescent="0.3">
      <c r="AD4893" s="16"/>
    </row>
    <row r="4894" spans="30:30" x14ac:dyDescent="0.3">
      <c r="AD4894" s="16"/>
    </row>
    <row r="4895" spans="30:30" x14ac:dyDescent="0.3">
      <c r="AD4895" s="16"/>
    </row>
    <row r="4896" spans="30:30" x14ac:dyDescent="0.3">
      <c r="AD4896" s="16"/>
    </row>
    <row r="4897" spans="30:30" x14ac:dyDescent="0.3">
      <c r="AD4897" s="16"/>
    </row>
    <row r="4898" spans="30:30" x14ac:dyDescent="0.3">
      <c r="AD4898" s="16"/>
    </row>
    <row r="4899" spans="30:30" x14ac:dyDescent="0.3">
      <c r="AD4899" s="16"/>
    </row>
    <row r="4900" spans="30:30" x14ac:dyDescent="0.3">
      <c r="AD4900" s="16"/>
    </row>
    <row r="4901" spans="30:30" x14ac:dyDescent="0.3">
      <c r="AD4901" s="16"/>
    </row>
    <row r="4902" spans="30:30" x14ac:dyDescent="0.3">
      <c r="AD4902" s="16"/>
    </row>
    <row r="4903" spans="30:30" x14ac:dyDescent="0.3">
      <c r="AD4903" s="16"/>
    </row>
    <row r="4904" spans="30:30" x14ac:dyDescent="0.3">
      <c r="AD4904" s="16"/>
    </row>
    <row r="4905" spans="30:30" x14ac:dyDescent="0.3">
      <c r="AD4905" s="16"/>
    </row>
    <row r="4906" spans="30:30" x14ac:dyDescent="0.3">
      <c r="AD4906" s="16"/>
    </row>
    <row r="4907" spans="30:30" x14ac:dyDescent="0.3">
      <c r="AD4907" s="16"/>
    </row>
    <row r="4908" spans="30:30" x14ac:dyDescent="0.3">
      <c r="AD4908" s="16"/>
    </row>
    <row r="4909" spans="30:30" x14ac:dyDescent="0.3">
      <c r="AD4909" s="16"/>
    </row>
    <row r="4910" spans="30:30" x14ac:dyDescent="0.3">
      <c r="AD4910" s="16"/>
    </row>
    <row r="4911" spans="30:30" x14ac:dyDescent="0.3">
      <c r="AD4911" s="16"/>
    </row>
    <row r="4912" spans="30:30" x14ac:dyDescent="0.3">
      <c r="AD4912" s="16"/>
    </row>
    <row r="4913" spans="30:30" x14ac:dyDescent="0.3">
      <c r="AD4913" s="16"/>
    </row>
    <row r="4914" spans="30:30" x14ac:dyDescent="0.3">
      <c r="AD4914" s="16"/>
    </row>
    <row r="4915" spans="30:30" x14ac:dyDescent="0.3">
      <c r="AD4915" s="16"/>
    </row>
    <row r="4916" spans="30:30" x14ac:dyDescent="0.3">
      <c r="AD4916" s="16"/>
    </row>
    <row r="4917" spans="30:30" x14ac:dyDescent="0.3">
      <c r="AD4917" s="16"/>
    </row>
    <row r="4918" spans="30:30" x14ac:dyDescent="0.3">
      <c r="AD4918" s="16"/>
    </row>
    <row r="4919" spans="30:30" x14ac:dyDescent="0.3">
      <c r="AD4919" s="16"/>
    </row>
    <row r="4920" spans="30:30" x14ac:dyDescent="0.3">
      <c r="AD4920" s="16"/>
    </row>
    <row r="4921" spans="30:30" x14ac:dyDescent="0.3">
      <c r="AD4921" s="16"/>
    </row>
    <row r="4922" spans="30:30" x14ac:dyDescent="0.3">
      <c r="AD4922" s="16"/>
    </row>
    <row r="4923" spans="30:30" x14ac:dyDescent="0.3">
      <c r="AD4923" s="16"/>
    </row>
    <row r="4924" spans="30:30" x14ac:dyDescent="0.3">
      <c r="AD4924" s="16"/>
    </row>
    <row r="4925" spans="30:30" x14ac:dyDescent="0.3">
      <c r="AD4925" s="16"/>
    </row>
    <row r="4926" spans="30:30" x14ac:dyDescent="0.3">
      <c r="AD4926" s="16"/>
    </row>
    <row r="4927" spans="30:30" x14ac:dyDescent="0.3">
      <c r="AD4927" s="16"/>
    </row>
    <row r="4928" spans="30:30" x14ac:dyDescent="0.3">
      <c r="AD4928" s="16"/>
    </row>
    <row r="4929" spans="30:30" x14ac:dyDescent="0.3">
      <c r="AD4929" s="16"/>
    </row>
    <row r="4930" spans="30:30" x14ac:dyDescent="0.3">
      <c r="AD4930" s="16"/>
    </row>
    <row r="4931" spans="30:30" x14ac:dyDescent="0.3">
      <c r="AD4931" s="16"/>
    </row>
    <row r="4932" spans="30:30" x14ac:dyDescent="0.3">
      <c r="AD4932" s="16"/>
    </row>
    <row r="4933" spans="30:30" x14ac:dyDescent="0.3">
      <c r="AD4933" s="16"/>
    </row>
    <row r="4934" spans="30:30" x14ac:dyDescent="0.3">
      <c r="AD4934" s="16"/>
    </row>
    <row r="4935" spans="30:30" x14ac:dyDescent="0.3">
      <c r="AD4935" s="16"/>
    </row>
    <row r="4936" spans="30:30" x14ac:dyDescent="0.3">
      <c r="AD4936" s="16"/>
    </row>
    <row r="4937" spans="30:30" x14ac:dyDescent="0.3">
      <c r="AD4937" s="16"/>
    </row>
    <row r="4938" spans="30:30" x14ac:dyDescent="0.3">
      <c r="AD4938" s="16"/>
    </row>
    <row r="4939" spans="30:30" x14ac:dyDescent="0.3">
      <c r="AD4939" s="16"/>
    </row>
    <row r="4940" spans="30:30" x14ac:dyDescent="0.3">
      <c r="AD4940" s="16"/>
    </row>
    <row r="4941" spans="30:30" x14ac:dyDescent="0.3">
      <c r="AD4941" s="16"/>
    </row>
    <row r="4942" spans="30:30" x14ac:dyDescent="0.3">
      <c r="AD4942" s="16"/>
    </row>
    <row r="4943" spans="30:30" x14ac:dyDescent="0.3">
      <c r="AD4943" s="16"/>
    </row>
    <row r="4944" spans="30:30" x14ac:dyDescent="0.3">
      <c r="AD4944" s="16"/>
    </row>
    <row r="4945" spans="30:30" x14ac:dyDescent="0.3">
      <c r="AD4945" s="16"/>
    </row>
    <row r="4946" spans="30:30" x14ac:dyDescent="0.3">
      <c r="AD4946" s="16"/>
    </row>
    <row r="4947" spans="30:30" x14ac:dyDescent="0.3">
      <c r="AD4947" s="16"/>
    </row>
    <row r="4948" spans="30:30" x14ac:dyDescent="0.3">
      <c r="AD4948" s="16"/>
    </row>
    <row r="4949" spans="30:30" x14ac:dyDescent="0.3">
      <c r="AD4949" s="16"/>
    </row>
    <row r="4950" spans="30:30" x14ac:dyDescent="0.3">
      <c r="AD4950" s="16"/>
    </row>
    <row r="4951" spans="30:30" x14ac:dyDescent="0.3">
      <c r="AD4951" s="16"/>
    </row>
    <row r="4952" spans="30:30" x14ac:dyDescent="0.3">
      <c r="AD4952" s="16"/>
    </row>
    <row r="4953" spans="30:30" x14ac:dyDescent="0.3">
      <c r="AD4953" s="16"/>
    </row>
    <row r="4954" spans="30:30" x14ac:dyDescent="0.3">
      <c r="AD4954" s="16"/>
    </row>
    <row r="4955" spans="30:30" x14ac:dyDescent="0.3">
      <c r="AD4955" s="16"/>
    </row>
    <row r="4956" spans="30:30" x14ac:dyDescent="0.3">
      <c r="AD4956" s="16"/>
    </row>
    <row r="4957" spans="30:30" x14ac:dyDescent="0.3">
      <c r="AD4957" s="16"/>
    </row>
    <row r="4958" spans="30:30" x14ac:dyDescent="0.3">
      <c r="AD4958" s="16"/>
    </row>
    <row r="4959" spans="30:30" x14ac:dyDescent="0.3">
      <c r="AD4959" s="16"/>
    </row>
    <row r="4960" spans="30:30" x14ac:dyDescent="0.3">
      <c r="AD4960" s="16"/>
    </row>
    <row r="4961" spans="30:30" x14ac:dyDescent="0.3">
      <c r="AD4961" s="16"/>
    </row>
    <row r="4962" spans="30:30" x14ac:dyDescent="0.3">
      <c r="AD4962" s="16"/>
    </row>
    <row r="4963" spans="30:30" x14ac:dyDescent="0.3">
      <c r="AD4963" s="16"/>
    </row>
    <row r="4964" spans="30:30" x14ac:dyDescent="0.3">
      <c r="AD4964" s="16"/>
    </row>
    <row r="4965" spans="30:30" x14ac:dyDescent="0.3">
      <c r="AD4965" s="16"/>
    </row>
    <row r="4966" spans="30:30" x14ac:dyDescent="0.3">
      <c r="AD4966" s="16"/>
    </row>
    <row r="4967" spans="30:30" x14ac:dyDescent="0.3">
      <c r="AD4967" s="16"/>
    </row>
    <row r="4968" spans="30:30" x14ac:dyDescent="0.3">
      <c r="AD4968" s="16"/>
    </row>
    <row r="4969" spans="30:30" x14ac:dyDescent="0.3">
      <c r="AD4969" s="16"/>
    </row>
    <row r="4970" spans="30:30" x14ac:dyDescent="0.3">
      <c r="AD4970" s="16"/>
    </row>
    <row r="4971" spans="30:30" x14ac:dyDescent="0.3">
      <c r="AD4971" s="16"/>
    </row>
    <row r="4972" spans="30:30" x14ac:dyDescent="0.3">
      <c r="AD4972" s="16"/>
    </row>
    <row r="4973" spans="30:30" x14ac:dyDescent="0.3">
      <c r="AD4973" s="16"/>
    </row>
    <row r="4974" spans="30:30" x14ac:dyDescent="0.3">
      <c r="AD4974" s="16"/>
    </row>
    <row r="4975" spans="30:30" x14ac:dyDescent="0.3">
      <c r="AD4975" s="16"/>
    </row>
    <row r="4976" spans="30:30" x14ac:dyDescent="0.3">
      <c r="AD4976" s="16"/>
    </row>
    <row r="4977" spans="30:30" x14ac:dyDescent="0.3">
      <c r="AD4977" s="16"/>
    </row>
    <row r="4978" spans="30:30" x14ac:dyDescent="0.3">
      <c r="AD4978" s="16"/>
    </row>
    <row r="4979" spans="30:30" x14ac:dyDescent="0.3">
      <c r="AD4979" s="16"/>
    </row>
    <row r="4980" spans="30:30" x14ac:dyDescent="0.3">
      <c r="AD4980" s="16"/>
    </row>
    <row r="4981" spans="30:30" x14ac:dyDescent="0.3">
      <c r="AD4981" s="16"/>
    </row>
    <row r="4982" spans="30:30" x14ac:dyDescent="0.3">
      <c r="AD4982" s="16"/>
    </row>
    <row r="4983" spans="30:30" x14ac:dyDescent="0.3">
      <c r="AD4983" s="16"/>
    </row>
    <row r="4984" spans="30:30" x14ac:dyDescent="0.3">
      <c r="AD4984" s="16"/>
    </row>
    <row r="4985" spans="30:30" x14ac:dyDescent="0.3">
      <c r="AD4985" s="16"/>
    </row>
    <row r="4986" spans="30:30" x14ac:dyDescent="0.3">
      <c r="AD4986" s="16"/>
    </row>
    <row r="4987" spans="30:30" x14ac:dyDescent="0.3">
      <c r="AD4987" s="16"/>
    </row>
    <row r="4988" spans="30:30" x14ac:dyDescent="0.3">
      <c r="AD4988" s="16"/>
    </row>
    <row r="4989" spans="30:30" x14ac:dyDescent="0.3">
      <c r="AD4989" s="16"/>
    </row>
    <row r="4990" spans="30:30" x14ac:dyDescent="0.3">
      <c r="AD4990" s="16"/>
    </row>
    <row r="4991" spans="30:30" x14ac:dyDescent="0.3">
      <c r="AD4991" s="16"/>
    </row>
    <row r="4992" spans="30:30" x14ac:dyDescent="0.3">
      <c r="AD4992" s="16"/>
    </row>
    <row r="4993" spans="30:30" x14ac:dyDescent="0.3">
      <c r="AD4993" s="16"/>
    </row>
    <row r="4994" spans="30:30" x14ac:dyDescent="0.3">
      <c r="AD4994" s="16"/>
    </row>
    <row r="4995" spans="30:30" x14ac:dyDescent="0.3">
      <c r="AD4995" s="16"/>
    </row>
    <row r="4996" spans="30:30" x14ac:dyDescent="0.3">
      <c r="AD4996" s="16"/>
    </row>
    <row r="4997" spans="30:30" x14ac:dyDescent="0.3">
      <c r="AD4997" s="16"/>
    </row>
    <row r="4998" spans="30:30" x14ac:dyDescent="0.3">
      <c r="AD4998" s="16"/>
    </row>
    <row r="4999" spans="30:30" x14ac:dyDescent="0.3">
      <c r="AD4999" s="16"/>
    </row>
    <row r="5000" spans="30:30" x14ac:dyDescent="0.3">
      <c r="AD5000" s="16"/>
    </row>
    <row r="5001" spans="30:30" x14ac:dyDescent="0.3">
      <c r="AD5001" s="16"/>
    </row>
    <row r="5002" spans="30:30" x14ac:dyDescent="0.3">
      <c r="AD5002" s="16"/>
    </row>
    <row r="5003" spans="30:30" x14ac:dyDescent="0.3">
      <c r="AD5003" s="16"/>
    </row>
    <row r="5004" spans="30:30" x14ac:dyDescent="0.3">
      <c r="AD5004" s="16"/>
    </row>
    <row r="5005" spans="30:30" x14ac:dyDescent="0.3">
      <c r="AD5005" s="16"/>
    </row>
    <row r="5006" spans="30:30" x14ac:dyDescent="0.3">
      <c r="AD5006" s="16"/>
    </row>
    <row r="5007" spans="30:30" x14ac:dyDescent="0.3">
      <c r="AD5007" s="16"/>
    </row>
    <row r="5008" spans="30:30" x14ac:dyDescent="0.3">
      <c r="AD5008" s="16"/>
    </row>
    <row r="5009" spans="30:30" x14ac:dyDescent="0.3">
      <c r="AD5009" s="16"/>
    </row>
    <row r="5010" spans="30:30" x14ac:dyDescent="0.3">
      <c r="AD5010" s="16"/>
    </row>
    <row r="5011" spans="30:30" x14ac:dyDescent="0.3">
      <c r="AD5011" s="16"/>
    </row>
    <row r="5012" spans="30:30" x14ac:dyDescent="0.3">
      <c r="AD5012" s="16"/>
    </row>
    <row r="5013" spans="30:30" x14ac:dyDescent="0.3">
      <c r="AD5013" s="16"/>
    </row>
    <row r="5014" spans="30:30" x14ac:dyDescent="0.3">
      <c r="AD5014" s="16"/>
    </row>
    <row r="5015" spans="30:30" x14ac:dyDescent="0.3">
      <c r="AD5015" s="16"/>
    </row>
    <row r="5016" spans="30:30" x14ac:dyDescent="0.3">
      <c r="AD5016" s="16"/>
    </row>
    <row r="5017" spans="30:30" x14ac:dyDescent="0.3">
      <c r="AD5017" s="16"/>
    </row>
    <row r="5018" spans="30:30" x14ac:dyDescent="0.3">
      <c r="AD5018" s="16"/>
    </row>
    <row r="5019" spans="30:30" x14ac:dyDescent="0.3">
      <c r="AD5019" s="16"/>
    </row>
    <row r="5020" spans="30:30" x14ac:dyDescent="0.3">
      <c r="AD5020" s="16"/>
    </row>
    <row r="5021" spans="30:30" x14ac:dyDescent="0.3">
      <c r="AD5021" s="16"/>
    </row>
    <row r="5022" spans="30:30" x14ac:dyDescent="0.3">
      <c r="AD5022" s="16"/>
    </row>
    <row r="5023" spans="30:30" x14ac:dyDescent="0.3">
      <c r="AD5023" s="16"/>
    </row>
    <row r="5024" spans="30:30" x14ac:dyDescent="0.3">
      <c r="AD5024" s="16"/>
    </row>
    <row r="5025" spans="30:30" x14ac:dyDescent="0.3">
      <c r="AD5025" s="16"/>
    </row>
    <row r="5026" spans="30:30" x14ac:dyDescent="0.3">
      <c r="AD5026" s="16"/>
    </row>
    <row r="5027" spans="30:30" x14ac:dyDescent="0.3">
      <c r="AD5027" s="16"/>
    </row>
    <row r="5028" spans="30:30" x14ac:dyDescent="0.3">
      <c r="AD5028" s="16"/>
    </row>
    <row r="5029" spans="30:30" x14ac:dyDescent="0.3">
      <c r="AD5029" s="16"/>
    </row>
    <row r="5030" spans="30:30" x14ac:dyDescent="0.3">
      <c r="AD5030" s="16"/>
    </row>
    <row r="5031" spans="30:30" x14ac:dyDescent="0.3">
      <c r="AD5031" s="16"/>
    </row>
    <row r="5032" spans="30:30" x14ac:dyDescent="0.3">
      <c r="AD5032" s="16"/>
    </row>
    <row r="5033" spans="30:30" x14ac:dyDescent="0.3">
      <c r="AD5033" s="16"/>
    </row>
    <row r="5034" spans="30:30" x14ac:dyDescent="0.3">
      <c r="AD5034" s="16"/>
    </row>
    <row r="5035" spans="30:30" x14ac:dyDescent="0.3">
      <c r="AD5035" s="16"/>
    </row>
    <row r="5036" spans="30:30" x14ac:dyDescent="0.3">
      <c r="AD5036" s="16"/>
    </row>
    <row r="5037" spans="30:30" x14ac:dyDescent="0.3">
      <c r="AD5037" s="16"/>
    </row>
    <row r="5038" spans="30:30" x14ac:dyDescent="0.3">
      <c r="AD5038" s="16"/>
    </row>
    <row r="5039" spans="30:30" x14ac:dyDescent="0.3">
      <c r="AD5039" s="16"/>
    </row>
    <row r="5040" spans="30:30" x14ac:dyDescent="0.3">
      <c r="AD5040" s="16"/>
    </row>
    <row r="5041" spans="30:30" x14ac:dyDescent="0.3">
      <c r="AD5041" s="16"/>
    </row>
    <row r="5042" spans="30:30" x14ac:dyDescent="0.3">
      <c r="AD5042" s="16"/>
    </row>
    <row r="5043" spans="30:30" x14ac:dyDescent="0.3">
      <c r="AD5043" s="16"/>
    </row>
    <row r="5044" spans="30:30" x14ac:dyDescent="0.3">
      <c r="AD5044" s="16"/>
    </row>
    <row r="5045" spans="30:30" x14ac:dyDescent="0.3">
      <c r="AD5045" s="16"/>
    </row>
    <row r="5046" spans="30:30" x14ac:dyDescent="0.3">
      <c r="AD5046" s="16"/>
    </row>
    <row r="5047" spans="30:30" x14ac:dyDescent="0.3">
      <c r="AD5047" s="16"/>
    </row>
    <row r="5048" spans="30:30" x14ac:dyDescent="0.3">
      <c r="AD5048" s="16"/>
    </row>
    <row r="5049" spans="30:30" x14ac:dyDescent="0.3">
      <c r="AD5049" s="16"/>
    </row>
    <row r="5050" spans="30:30" x14ac:dyDescent="0.3">
      <c r="AD5050" s="16"/>
    </row>
    <row r="5051" spans="30:30" x14ac:dyDescent="0.3">
      <c r="AD5051" s="16"/>
    </row>
    <row r="5052" spans="30:30" x14ac:dyDescent="0.3">
      <c r="AD5052" s="16"/>
    </row>
    <row r="5053" spans="30:30" x14ac:dyDescent="0.3">
      <c r="AD5053" s="16"/>
    </row>
    <row r="5054" spans="30:30" x14ac:dyDescent="0.3">
      <c r="AD5054" s="16"/>
    </row>
    <row r="5055" spans="30:30" x14ac:dyDescent="0.3">
      <c r="AD5055" s="16"/>
    </row>
    <row r="5056" spans="30:30" x14ac:dyDescent="0.3">
      <c r="AD5056" s="16"/>
    </row>
    <row r="5057" spans="30:30" x14ac:dyDescent="0.3">
      <c r="AD5057" s="16"/>
    </row>
    <row r="5058" spans="30:30" x14ac:dyDescent="0.3">
      <c r="AD5058" s="16"/>
    </row>
    <row r="5059" spans="30:30" x14ac:dyDescent="0.3">
      <c r="AD5059" s="16"/>
    </row>
    <row r="5060" spans="30:30" x14ac:dyDescent="0.3">
      <c r="AD5060" s="16"/>
    </row>
    <row r="5061" spans="30:30" x14ac:dyDescent="0.3">
      <c r="AD5061" s="16"/>
    </row>
    <row r="5062" spans="30:30" x14ac:dyDescent="0.3">
      <c r="AD5062" s="16"/>
    </row>
    <row r="5063" spans="30:30" x14ac:dyDescent="0.3">
      <c r="AD5063" s="16"/>
    </row>
    <row r="5064" spans="30:30" x14ac:dyDescent="0.3">
      <c r="AD5064" s="16"/>
    </row>
    <row r="5065" spans="30:30" x14ac:dyDescent="0.3">
      <c r="AD5065" s="16"/>
    </row>
    <row r="5066" spans="30:30" x14ac:dyDescent="0.3">
      <c r="AD5066" s="16"/>
    </row>
    <row r="5067" spans="30:30" x14ac:dyDescent="0.3">
      <c r="AD5067" s="16"/>
    </row>
    <row r="5068" spans="30:30" x14ac:dyDescent="0.3">
      <c r="AD5068" s="16"/>
    </row>
    <row r="5069" spans="30:30" x14ac:dyDescent="0.3">
      <c r="AD5069" s="16"/>
    </row>
    <row r="5070" spans="30:30" x14ac:dyDescent="0.3">
      <c r="AD5070" s="16"/>
    </row>
    <row r="5071" spans="30:30" x14ac:dyDescent="0.3">
      <c r="AD5071" s="16"/>
    </row>
    <row r="5072" spans="30:30" x14ac:dyDescent="0.3">
      <c r="AD5072" s="16"/>
    </row>
    <row r="5073" spans="30:30" x14ac:dyDescent="0.3">
      <c r="AD5073" s="16"/>
    </row>
    <row r="5074" spans="30:30" x14ac:dyDescent="0.3">
      <c r="AD5074" s="16"/>
    </row>
    <row r="5075" spans="30:30" x14ac:dyDescent="0.3">
      <c r="AD5075" s="16"/>
    </row>
    <row r="5076" spans="30:30" x14ac:dyDescent="0.3">
      <c r="AD5076" s="16"/>
    </row>
    <row r="5077" spans="30:30" x14ac:dyDescent="0.3">
      <c r="AD5077" s="16"/>
    </row>
    <row r="5078" spans="30:30" x14ac:dyDescent="0.3">
      <c r="AD5078" s="16"/>
    </row>
    <row r="5079" spans="30:30" x14ac:dyDescent="0.3">
      <c r="AD5079" s="16"/>
    </row>
    <row r="5080" spans="30:30" x14ac:dyDescent="0.3">
      <c r="AD5080" s="16"/>
    </row>
    <row r="5081" spans="30:30" x14ac:dyDescent="0.3">
      <c r="AD5081" s="16"/>
    </row>
    <row r="5082" spans="30:30" x14ac:dyDescent="0.3">
      <c r="AD5082" s="16"/>
    </row>
    <row r="5083" spans="30:30" x14ac:dyDescent="0.3">
      <c r="AD5083" s="16"/>
    </row>
    <row r="5084" spans="30:30" x14ac:dyDescent="0.3">
      <c r="AD5084" s="16"/>
    </row>
    <row r="5085" spans="30:30" x14ac:dyDescent="0.3">
      <c r="AD5085" s="16"/>
    </row>
    <row r="5086" spans="30:30" x14ac:dyDescent="0.3">
      <c r="AD5086" s="16"/>
    </row>
    <row r="5087" spans="30:30" x14ac:dyDescent="0.3">
      <c r="AD5087" s="16"/>
    </row>
    <row r="5088" spans="30:30" x14ac:dyDescent="0.3">
      <c r="AD5088" s="16"/>
    </row>
    <row r="5089" spans="30:30" x14ac:dyDescent="0.3">
      <c r="AD5089" s="16"/>
    </row>
    <row r="5090" spans="30:30" x14ac:dyDescent="0.3">
      <c r="AD5090" s="16"/>
    </row>
    <row r="5091" spans="30:30" x14ac:dyDescent="0.3">
      <c r="AD5091" s="16"/>
    </row>
    <row r="5092" spans="30:30" x14ac:dyDescent="0.3">
      <c r="AD5092" s="16"/>
    </row>
    <row r="5093" spans="30:30" x14ac:dyDescent="0.3">
      <c r="AD5093" s="16"/>
    </row>
    <row r="5094" spans="30:30" x14ac:dyDescent="0.3">
      <c r="AD5094" s="16"/>
    </row>
    <row r="5095" spans="30:30" x14ac:dyDescent="0.3">
      <c r="AD5095" s="16"/>
    </row>
    <row r="5096" spans="30:30" x14ac:dyDescent="0.3">
      <c r="AD5096" s="16"/>
    </row>
    <row r="5097" spans="30:30" x14ac:dyDescent="0.3">
      <c r="AD5097" s="16"/>
    </row>
    <row r="5098" spans="30:30" x14ac:dyDescent="0.3">
      <c r="AD5098" s="16"/>
    </row>
    <row r="5099" spans="30:30" x14ac:dyDescent="0.3">
      <c r="AD5099" s="16"/>
    </row>
    <row r="5100" spans="30:30" x14ac:dyDescent="0.3">
      <c r="AD5100" s="16"/>
    </row>
    <row r="5101" spans="30:30" x14ac:dyDescent="0.3">
      <c r="AD5101" s="16"/>
    </row>
    <row r="5102" spans="30:30" x14ac:dyDescent="0.3">
      <c r="AD5102" s="16"/>
    </row>
    <row r="5103" spans="30:30" x14ac:dyDescent="0.3">
      <c r="AD5103" s="16"/>
    </row>
    <row r="5104" spans="30:30" x14ac:dyDescent="0.3">
      <c r="AD5104" s="16"/>
    </row>
    <row r="5105" spans="30:30" x14ac:dyDescent="0.3">
      <c r="AD5105" s="16"/>
    </row>
    <row r="5106" spans="30:30" x14ac:dyDescent="0.3">
      <c r="AD5106" s="16"/>
    </row>
    <row r="5107" spans="30:30" x14ac:dyDescent="0.3">
      <c r="AD5107" s="16"/>
    </row>
    <row r="5108" spans="30:30" x14ac:dyDescent="0.3">
      <c r="AD5108" s="16"/>
    </row>
    <row r="5109" spans="30:30" x14ac:dyDescent="0.3">
      <c r="AD5109" s="16"/>
    </row>
    <row r="5110" spans="30:30" x14ac:dyDescent="0.3">
      <c r="AD5110" s="16"/>
    </row>
    <row r="5111" spans="30:30" x14ac:dyDescent="0.3">
      <c r="AD5111" s="16"/>
    </row>
    <row r="5112" spans="30:30" x14ac:dyDescent="0.3">
      <c r="AD5112" s="16"/>
    </row>
    <row r="5113" spans="30:30" x14ac:dyDescent="0.3">
      <c r="AD5113" s="16"/>
    </row>
    <row r="5114" spans="30:30" x14ac:dyDescent="0.3">
      <c r="AD5114" s="16"/>
    </row>
    <row r="5115" spans="30:30" x14ac:dyDescent="0.3">
      <c r="AD5115" s="16"/>
    </row>
    <row r="5116" spans="30:30" x14ac:dyDescent="0.3">
      <c r="AD5116" s="16"/>
    </row>
    <row r="5117" spans="30:30" x14ac:dyDescent="0.3">
      <c r="AD5117" s="16"/>
    </row>
    <row r="5118" spans="30:30" x14ac:dyDescent="0.3">
      <c r="AD5118" s="16"/>
    </row>
    <row r="5119" spans="30:30" x14ac:dyDescent="0.3">
      <c r="AD5119" s="16"/>
    </row>
    <row r="5120" spans="30:30" x14ac:dyDescent="0.3">
      <c r="AD5120" s="16"/>
    </row>
    <row r="5121" spans="30:30" x14ac:dyDescent="0.3">
      <c r="AD5121" s="16"/>
    </row>
    <row r="5122" spans="30:30" x14ac:dyDescent="0.3">
      <c r="AD5122" s="16"/>
    </row>
    <row r="5123" spans="30:30" x14ac:dyDescent="0.3">
      <c r="AD5123" s="16"/>
    </row>
    <row r="5124" spans="30:30" x14ac:dyDescent="0.3">
      <c r="AD5124" s="16"/>
    </row>
    <row r="5125" spans="30:30" x14ac:dyDescent="0.3">
      <c r="AD5125" s="16"/>
    </row>
    <row r="5126" spans="30:30" x14ac:dyDescent="0.3">
      <c r="AD5126" s="16"/>
    </row>
    <row r="5127" spans="30:30" x14ac:dyDescent="0.3">
      <c r="AD5127" s="16"/>
    </row>
    <row r="5128" spans="30:30" x14ac:dyDescent="0.3">
      <c r="AD5128" s="16"/>
    </row>
    <row r="5129" spans="30:30" x14ac:dyDescent="0.3">
      <c r="AD5129" s="16"/>
    </row>
    <row r="5130" spans="30:30" x14ac:dyDescent="0.3">
      <c r="AD5130" s="16"/>
    </row>
    <row r="5131" spans="30:30" x14ac:dyDescent="0.3">
      <c r="AD5131" s="16"/>
    </row>
    <row r="5132" spans="30:30" x14ac:dyDescent="0.3">
      <c r="AD5132" s="16"/>
    </row>
    <row r="5133" spans="30:30" x14ac:dyDescent="0.3">
      <c r="AD5133" s="16"/>
    </row>
    <row r="5134" spans="30:30" x14ac:dyDescent="0.3">
      <c r="AD5134" s="16"/>
    </row>
    <row r="5135" spans="30:30" x14ac:dyDescent="0.3">
      <c r="AD5135" s="16"/>
    </row>
    <row r="5136" spans="30:30" x14ac:dyDescent="0.3">
      <c r="AD5136" s="16"/>
    </row>
    <row r="5137" spans="30:30" x14ac:dyDescent="0.3">
      <c r="AD5137" s="16"/>
    </row>
    <row r="5138" spans="30:30" x14ac:dyDescent="0.3">
      <c r="AD5138" s="16"/>
    </row>
    <row r="5139" spans="30:30" x14ac:dyDescent="0.3">
      <c r="AD5139" s="16"/>
    </row>
    <row r="5140" spans="30:30" x14ac:dyDescent="0.3">
      <c r="AD5140" s="16"/>
    </row>
    <row r="5141" spans="30:30" x14ac:dyDescent="0.3">
      <c r="AD5141" s="16"/>
    </row>
    <row r="5142" spans="30:30" x14ac:dyDescent="0.3">
      <c r="AD5142" s="16"/>
    </row>
    <row r="5143" spans="30:30" x14ac:dyDescent="0.3">
      <c r="AD5143" s="16"/>
    </row>
    <row r="5144" spans="30:30" x14ac:dyDescent="0.3">
      <c r="AD5144" s="16"/>
    </row>
    <row r="5145" spans="30:30" x14ac:dyDescent="0.3">
      <c r="AD5145" s="16"/>
    </row>
    <row r="5146" spans="30:30" x14ac:dyDescent="0.3">
      <c r="AD5146" s="16"/>
    </row>
    <row r="5147" spans="30:30" x14ac:dyDescent="0.3">
      <c r="AD5147" s="16"/>
    </row>
    <row r="5148" spans="30:30" x14ac:dyDescent="0.3">
      <c r="AD5148" s="16"/>
    </row>
    <row r="5149" spans="30:30" x14ac:dyDescent="0.3">
      <c r="AD5149" s="16"/>
    </row>
    <row r="5150" spans="30:30" x14ac:dyDescent="0.3">
      <c r="AD5150" s="16"/>
    </row>
    <row r="5151" spans="30:30" x14ac:dyDescent="0.3">
      <c r="AD5151" s="16"/>
    </row>
    <row r="5152" spans="30:30" x14ac:dyDescent="0.3">
      <c r="AD5152" s="16"/>
    </row>
    <row r="5153" spans="30:30" x14ac:dyDescent="0.3">
      <c r="AD5153" s="16"/>
    </row>
    <row r="5154" spans="30:30" x14ac:dyDescent="0.3">
      <c r="AD5154" s="16"/>
    </row>
    <row r="5155" spans="30:30" x14ac:dyDescent="0.3">
      <c r="AD5155" s="16"/>
    </row>
    <row r="5156" spans="30:30" x14ac:dyDescent="0.3">
      <c r="AD5156" s="16"/>
    </row>
    <row r="5157" spans="30:30" x14ac:dyDescent="0.3">
      <c r="AD5157" s="16"/>
    </row>
    <row r="5158" spans="30:30" x14ac:dyDescent="0.3">
      <c r="AD5158" s="16"/>
    </row>
    <row r="5159" spans="30:30" x14ac:dyDescent="0.3">
      <c r="AD5159" s="16"/>
    </row>
    <row r="5160" spans="30:30" x14ac:dyDescent="0.3">
      <c r="AD5160" s="16"/>
    </row>
    <row r="5161" spans="30:30" x14ac:dyDescent="0.3">
      <c r="AD5161" s="16"/>
    </row>
    <row r="5162" spans="30:30" x14ac:dyDescent="0.3">
      <c r="AD5162" s="16"/>
    </row>
    <row r="5163" spans="30:30" x14ac:dyDescent="0.3">
      <c r="AD5163" s="16"/>
    </row>
    <row r="5164" spans="30:30" x14ac:dyDescent="0.3">
      <c r="AD5164" s="16"/>
    </row>
    <row r="5165" spans="30:30" x14ac:dyDescent="0.3">
      <c r="AD5165" s="16"/>
    </row>
    <row r="5166" spans="30:30" x14ac:dyDescent="0.3">
      <c r="AD5166" s="16"/>
    </row>
    <row r="5167" spans="30:30" x14ac:dyDescent="0.3">
      <c r="AD5167" s="16"/>
    </row>
    <row r="5168" spans="30:30" x14ac:dyDescent="0.3">
      <c r="AD5168" s="16"/>
    </row>
    <row r="5169" spans="30:30" x14ac:dyDescent="0.3">
      <c r="AD5169" s="16"/>
    </row>
    <row r="5170" spans="30:30" x14ac:dyDescent="0.3">
      <c r="AD5170" s="16"/>
    </row>
    <row r="5171" spans="30:30" x14ac:dyDescent="0.3">
      <c r="AD5171" s="16"/>
    </row>
    <row r="5172" spans="30:30" x14ac:dyDescent="0.3">
      <c r="AD5172" s="16"/>
    </row>
    <row r="5173" spans="30:30" x14ac:dyDescent="0.3">
      <c r="AD5173" s="16"/>
    </row>
    <row r="5174" spans="30:30" x14ac:dyDescent="0.3">
      <c r="AD5174" s="16"/>
    </row>
    <row r="5175" spans="30:30" x14ac:dyDescent="0.3">
      <c r="AD5175" s="16"/>
    </row>
    <row r="5176" spans="30:30" x14ac:dyDescent="0.3">
      <c r="AD5176" s="16"/>
    </row>
    <row r="5177" spans="30:30" x14ac:dyDescent="0.3">
      <c r="AD5177" s="16"/>
    </row>
    <row r="5178" spans="30:30" x14ac:dyDescent="0.3">
      <c r="AD5178" s="16"/>
    </row>
    <row r="5179" spans="30:30" x14ac:dyDescent="0.3">
      <c r="AD5179" s="16"/>
    </row>
    <row r="5180" spans="30:30" x14ac:dyDescent="0.3">
      <c r="AD5180" s="16"/>
    </row>
    <row r="5181" spans="30:30" x14ac:dyDescent="0.3">
      <c r="AD5181" s="16"/>
    </row>
    <row r="5182" spans="30:30" x14ac:dyDescent="0.3">
      <c r="AD5182" s="16"/>
    </row>
    <row r="5183" spans="30:30" x14ac:dyDescent="0.3">
      <c r="AD5183" s="16"/>
    </row>
    <row r="5184" spans="30:30" x14ac:dyDescent="0.3">
      <c r="AD5184" s="16"/>
    </row>
    <row r="5185" spans="30:30" x14ac:dyDescent="0.3">
      <c r="AD5185" s="16"/>
    </row>
    <row r="5186" spans="30:30" x14ac:dyDescent="0.3">
      <c r="AD5186" s="16"/>
    </row>
    <row r="5187" spans="30:30" x14ac:dyDescent="0.3">
      <c r="AD5187" s="16"/>
    </row>
    <row r="5188" spans="30:30" x14ac:dyDescent="0.3">
      <c r="AD5188" s="16"/>
    </row>
    <row r="5189" spans="30:30" x14ac:dyDescent="0.3">
      <c r="AD5189" s="16"/>
    </row>
    <row r="5190" spans="30:30" x14ac:dyDescent="0.3">
      <c r="AD5190" s="16"/>
    </row>
    <row r="5191" spans="30:30" x14ac:dyDescent="0.3">
      <c r="AD5191" s="16"/>
    </row>
    <row r="5192" spans="30:30" x14ac:dyDescent="0.3">
      <c r="AD5192" s="16"/>
    </row>
    <row r="5193" spans="30:30" x14ac:dyDescent="0.3">
      <c r="AD5193" s="16"/>
    </row>
    <row r="5194" spans="30:30" x14ac:dyDescent="0.3">
      <c r="AD5194" s="16"/>
    </row>
    <row r="5195" spans="30:30" x14ac:dyDescent="0.3">
      <c r="AD5195" s="16"/>
    </row>
    <row r="5196" spans="30:30" x14ac:dyDescent="0.3">
      <c r="AD5196" s="16"/>
    </row>
    <row r="5197" spans="30:30" x14ac:dyDescent="0.3">
      <c r="AD5197" s="16"/>
    </row>
    <row r="5198" spans="30:30" x14ac:dyDescent="0.3">
      <c r="AD5198" s="16"/>
    </row>
    <row r="5199" spans="30:30" x14ac:dyDescent="0.3">
      <c r="AD5199" s="16"/>
    </row>
    <row r="5200" spans="30:30" x14ac:dyDescent="0.3">
      <c r="AD5200" s="16"/>
    </row>
    <row r="5201" spans="30:30" x14ac:dyDescent="0.3">
      <c r="AD5201" s="16"/>
    </row>
    <row r="5202" spans="30:30" x14ac:dyDescent="0.3">
      <c r="AD5202" s="16"/>
    </row>
    <row r="5203" spans="30:30" x14ac:dyDescent="0.3">
      <c r="AD5203" s="16"/>
    </row>
    <row r="5204" spans="30:30" x14ac:dyDescent="0.3">
      <c r="AD5204" s="16"/>
    </row>
    <row r="5205" spans="30:30" x14ac:dyDescent="0.3">
      <c r="AD5205" s="16"/>
    </row>
    <row r="5206" spans="30:30" x14ac:dyDescent="0.3">
      <c r="AD5206" s="16"/>
    </row>
    <row r="5207" spans="30:30" x14ac:dyDescent="0.3">
      <c r="AD5207" s="16"/>
    </row>
    <row r="5208" spans="30:30" x14ac:dyDescent="0.3">
      <c r="AD5208" s="16"/>
    </row>
    <row r="5209" spans="30:30" x14ac:dyDescent="0.3">
      <c r="AD5209" s="16"/>
    </row>
    <row r="5210" spans="30:30" x14ac:dyDescent="0.3">
      <c r="AD5210" s="16"/>
    </row>
    <row r="5211" spans="30:30" x14ac:dyDescent="0.3">
      <c r="AD5211" s="16"/>
    </row>
    <row r="5212" spans="30:30" x14ac:dyDescent="0.3">
      <c r="AD5212" s="16"/>
    </row>
    <row r="5213" spans="30:30" x14ac:dyDescent="0.3">
      <c r="AD5213" s="16"/>
    </row>
    <row r="5214" spans="30:30" x14ac:dyDescent="0.3">
      <c r="AD5214" s="16"/>
    </row>
    <row r="5215" spans="30:30" x14ac:dyDescent="0.3">
      <c r="AD5215" s="16"/>
    </row>
    <row r="5216" spans="30:30" x14ac:dyDescent="0.3">
      <c r="AD5216" s="16"/>
    </row>
    <row r="5217" spans="30:30" x14ac:dyDescent="0.3">
      <c r="AD5217" s="16"/>
    </row>
    <row r="5218" spans="30:30" x14ac:dyDescent="0.3">
      <c r="AD5218" s="16"/>
    </row>
    <row r="5219" spans="30:30" x14ac:dyDescent="0.3">
      <c r="AD5219" s="16"/>
    </row>
    <row r="5220" spans="30:30" x14ac:dyDescent="0.3">
      <c r="AD5220" s="16"/>
    </row>
    <row r="5221" spans="30:30" x14ac:dyDescent="0.3">
      <c r="AD5221" s="16"/>
    </row>
    <row r="5222" spans="30:30" x14ac:dyDescent="0.3">
      <c r="AD5222" s="16"/>
    </row>
    <row r="5223" spans="30:30" x14ac:dyDescent="0.3">
      <c r="AD5223" s="16"/>
    </row>
    <row r="5224" spans="30:30" x14ac:dyDescent="0.3">
      <c r="AD5224" s="16"/>
    </row>
    <row r="5225" spans="30:30" x14ac:dyDescent="0.3">
      <c r="AD5225" s="16"/>
    </row>
    <row r="5226" spans="30:30" x14ac:dyDescent="0.3">
      <c r="AD5226" s="16"/>
    </row>
    <row r="5227" spans="30:30" x14ac:dyDescent="0.3">
      <c r="AD5227" s="16"/>
    </row>
    <row r="5228" spans="30:30" x14ac:dyDescent="0.3">
      <c r="AD5228" s="16"/>
    </row>
    <row r="5229" spans="30:30" x14ac:dyDescent="0.3">
      <c r="AD5229" s="16"/>
    </row>
    <row r="5230" spans="30:30" x14ac:dyDescent="0.3">
      <c r="AD5230" s="16"/>
    </row>
    <row r="5231" spans="30:30" x14ac:dyDescent="0.3">
      <c r="AD5231" s="16"/>
    </row>
    <row r="5232" spans="30:30" x14ac:dyDescent="0.3">
      <c r="AD5232" s="16"/>
    </row>
    <row r="5233" spans="30:30" x14ac:dyDescent="0.3">
      <c r="AD5233" s="16"/>
    </row>
    <row r="5234" spans="30:30" x14ac:dyDescent="0.3">
      <c r="AD5234" s="16"/>
    </row>
    <row r="5235" spans="30:30" x14ac:dyDescent="0.3">
      <c r="AD5235" s="16"/>
    </row>
    <row r="5236" spans="30:30" x14ac:dyDescent="0.3">
      <c r="AD5236" s="16"/>
    </row>
    <row r="5237" spans="30:30" x14ac:dyDescent="0.3">
      <c r="AD5237" s="16"/>
    </row>
    <row r="5238" spans="30:30" x14ac:dyDescent="0.3">
      <c r="AD5238" s="16"/>
    </row>
    <row r="5239" spans="30:30" x14ac:dyDescent="0.3">
      <c r="AD5239" s="16"/>
    </row>
    <row r="5240" spans="30:30" x14ac:dyDescent="0.3">
      <c r="AD5240" s="16"/>
    </row>
    <row r="5241" spans="30:30" x14ac:dyDescent="0.3">
      <c r="AD5241" s="16"/>
    </row>
    <row r="5242" spans="30:30" x14ac:dyDescent="0.3">
      <c r="AD5242" s="16"/>
    </row>
    <row r="5243" spans="30:30" x14ac:dyDescent="0.3">
      <c r="AD5243" s="16"/>
    </row>
    <row r="5244" spans="30:30" x14ac:dyDescent="0.3">
      <c r="AD5244" s="16"/>
    </row>
    <row r="5245" spans="30:30" x14ac:dyDescent="0.3">
      <c r="AD5245" s="16"/>
    </row>
    <row r="5246" spans="30:30" x14ac:dyDescent="0.3">
      <c r="AD5246" s="16"/>
    </row>
    <row r="5247" spans="30:30" x14ac:dyDescent="0.3">
      <c r="AD5247" s="16"/>
    </row>
    <row r="5248" spans="30:30" x14ac:dyDescent="0.3">
      <c r="AD5248" s="16"/>
    </row>
    <row r="5249" spans="30:30" x14ac:dyDescent="0.3">
      <c r="AD5249" s="16"/>
    </row>
    <row r="5250" spans="30:30" x14ac:dyDescent="0.3">
      <c r="AD5250" s="16"/>
    </row>
    <row r="5251" spans="30:30" x14ac:dyDescent="0.3">
      <c r="AD5251" s="16"/>
    </row>
    <row r="5252" spans="30:30" x14ac:dyDescent="0.3">
      <c r="AD5252" s="16"/>
    </row>
    <row r="5253" spans="30:30" x14ac:dyDescent="0.3">
      <c r="AD5253" s="16"/>
    </row>
    <row r="5254" spans="30:30" x14ac:dyDescent="0.3">
      <c r="AD5254" s="16"/>
    </row>
    <row r="5255" spans="30:30" x14ac:dyDescent="0.3">
      <c r="AD5255" s="16"/>
    </row>
    <row r="5256" spans="30:30" x14ac:dyDescent="0.3">
      <c r="AD5256" s="16"/>
    </row>
    <row r="5257" spans="30:30" x14ac:dyDescent="0.3">
      <c r="AD5257" s="16"/>
    </row>
    <row r="5258" spans="30:30" x14ac:dyDescent="0.3">
      <c r="AD5258" s="16"/>
    </row>
    <row r="5259" spans="30:30" x14ac:dyDescent="0.3">
      <c r="AD5259" s="16"/>
    </row>
    <row r="5260" spans="30:30" x14ac:dyDescent="0.3">
      <c r="AD5260" s="16"/>
    </row>
    <row r="5261" spans="30:30" x14ac:dyDescent="0.3">
      <c r="AD5261" s="16"/>
    </row>
    <row r="5262" spans="30:30" x14ac:dyDescent="0.3">
      <c r="AD5262" s="16"/>
    </row>
    <row r="5263" spans="30:30" x14ac:dyDescent="0.3">
      <c r="AD5263" s="16"/>
    </row>
    <row r="5264" spans="30:30" x14ac:dyDescent="0.3">
      <c r="AD5264" s="16"/>
    </row>
    <row r="5265" spans="30:30" x14ac:dyDescent="0.3">
      <c r="AD5265" s="16"/>
    </row>
    <row r="5266" spans="30:30" x14ac:dyDescent="0.3">
      <c r="AD5266" s="16"/>
    </row>
    <row r="5267" spans="30:30" x14ac:dyDescent="0.3">
      <c r="AD5267" s="16"/>
    </row>
    <row r="5268" spans="30:30" x14ac:dyDescent="0.3">
      <c r="AD5268" s="16"/>
    </row>
    <row r="5269" spans="30:30" x14ac:dyDescent="0.3">
      <c r="AD5269" s="16"/>
    </row>
    <row r="5270" spans="30:30" x14ac:dyDescent="0.3">
      <c r="AD5270" s="16"/>
    </row>
    <row r="5271" spans="30:30" x14ac:dyDescent="0.3">
      <c r="AD5271" s="16"/>
    </row>
    <row r="5272" spans="30:30" x14ac:dyDescent="0.3">
      <c r="AD5272" s="16"/>
    </row>
    <row r="5273" spans="30:30" x14ac:dyDescent="0.3">
      <c r="AD5273" s="16"/>
    </row>
    <row r="5274" spans="30:30" x14ac:dyDescent="0.3">
      <c r="AD5274" s="16"/>
    </row>
    <row r="5275" spans="30:30" x14ac:dyDescent="0.3">
      <c r="AD5275" s="16"/>
    </row>
    <row r="5276" spans="30:30" x14ac:dyDescent="0.3">
      <c r="AD5276" s="16"/>
    </row>
    <row r="5277" spans="30:30" x14ac:dyDescent="0.3">
      <c r="AD5277" s="16"/>
    </row>
    <row r="5278" spans="30:30" x14ac:dyDescent="0.3">
      <c r="AD5278" s="16"/>
    </row>
    <row r="5279" spans="30:30" x14ac:dyDescent="0.3">
      <c r="AD5279" s="16"/>
    </row>
    <row r="5280" spans="30:30" x14ac:dyDescent="0.3">
      <c r="AD5280" s="16"/>
    </row>
    <row r="5281" spans="30:30" x14ac:dyDescent="0.3">
      <c r="AD5281" s="16"/>
    </row>
    <row r="5282" spans="30:30" x14ac:dyDescent="0.3">
      <c r="AD5282" s="16"/>
    </row>
    <row r="5283" spans="30:30" x14ac:dyDescent="0.3">
      <c r="AD5283" s="16"/>
    </row>
    <row r="5284" spans="30:30" x14ac:dyDescent="0.3">
      <c r="AD5284" s="16"/>
    </row>
    <row r="5285" spans="30:30" x14ac:dyDescent="0.3">
      <c r="AD5285" s="16"/>
    </row>
    <row r="5286" spans="30:30" x14ac:dyDescent="0.3">
      <c r="AD5286" s="16"/>
    </row>
    <row r="5287" spans="30:30" x14ac:dyDescent="0.3">
      <c r="AD5287" s="16"/>
    </row>
    <row r="5288" spans="30:30" x14ac:dyDescent="0.3">
      <c r="AD5288" s="16"/>
    </row>
    <row r="5289" spans="30:30" x14ac:dyDescent="0.3">
      <c r="AD5289" s="16"/>
    </row>
    <row r="5290" spans="30:30" x14ac:dyDescent="0.3">
      <c r="AD5290" s="16"/>
    </row>
    <row r="5291" spans="30:30" x14ac:dyDescent="0.3">
      <c r="AD5291" s="16"/>
    </row>
    <row r="5292" spans="30:30" x14ac:dyDescent="0.3">
      <c r="AD5292" s="16"/>
    </row>
    <row r="5293" spans="30:30" x14ac:dyDescent="0.3">
      <c r="AD5293" s="16"/>
    </row>
    <row r="5294" spans="30:30" x14ac:dyDescent="0.3">
      <c r="AD5294" s="16"/>
    </row>
    <row r="5295" spans="30:30" x14ac:dyDescent="0.3">
      <c r="AD5295" s="16"/>
    </row>
    <row r="5296" spans="30:30" x14ac:dyDescent="0.3">
      <c r="AD5296" s="16"/>
    </row>
    <row r="5297" spans="30:30" x14ac:dyDescent="0.3">
      <c r="AD5297" s="16"/>
    </row>
    <row r="5298" spans="30:30" x14ac:dyDescent="0.3">
      <c r="AD5298" s="16"/>
    </row>
    <row r="5299" spans="30:30" x14ac:dyDescent="0.3">
      <c r="AD5299" s="16"/>
    </row>
    <row r="5300" spans="30:30" x14ac:dyDescent="0.3">
      <c r="AD5300" s="16"/>
    </row>
    <row r="5301" spans="30:30" x14ac:dyDescent="0.3">
      <c r="AD5301" s="16"/>
    </row>
    <row r="5302" spans="30:30" x14ac:dyDescent="0.3">
      <c r="AD5302" s="16"/>
    </row>
    <row r="5303" spans="30:30" x14ac:dyDescent="0.3">
      <c r="AD5303" s="16"/>
    </row>
    <row r="5304" spans="30:30" x14ac:dyDescent="0.3">
      <c r="AD5304" s="16"/>
    </row>
    <row r="5305" spans="30:30" x14ac:dyDescent="0.3">
      <c r="AD5305" s="16"/>
    </row>
    <row r="5306" spans="30:30" x14ac:dyDescent="0.3">
      <c r="AD5306" s="16"/>
    </row>
    <row r="5307" spans="30:30" x14ac:dyDescent="0.3">
      <c r="AD5307" s="16"/>
    </row>
    <row r="5308" spans="30:30" x14ac:dyDescent="0.3">
      <c r="AD5308" s="16"/>
    </row>
    <row r="5309" spans="30:30" x14ac:dyDescent="0.3">
      <c r="AD5309" s="16"/>
    </row>
    <row r="5310" spans="30:30" x14ac:dyDescent="0.3">
      <c r="AD5310" s="16"/>
    </row>
    <row r="5311" spans="30:30" x14ac:dyDescent="0.3">
      <c r="AD5311" s="16"/>
    </row>
    <row r="5312" spans="30:30" x14ac:dyDescent="0.3">
      <c r="AD5312" s="16"/>
    </row>
    <row r="5313" spans="30:30" x14ac:dyDescent="0.3">
      <c r="AD5313" s="16"/>
    </row>
    <row r="5314" spans="30:30" x14ac:dyDescent="0.3">
      <c r="AD5314" s="16"/>
    </row>
    <row r="5315" spans="30:30" x14ac:dyDescent="0.3">
      <c r="AD5315" s="16"/>
    </row>
    <row r="5316" spans="30:30" x14ac:dyDescent="0.3">
      <c r="AD5316" s="16"/>
    </row>
    <row r="5317" spans="30:30" x14ac:dyDescent="0.3">
      <c r="AD5317" s="16"/>
    </row>
    <row r="5318" spans="30:30" x14ac:dyDescent="0.3">
      <c r="AD5318" s="16"/>
    </row>
    <row r="5319" spans="30:30" x14ac:dyDescent="0.3">
      <c r="AD5319" s="16"/>
    </row>
    <row r="5320" spans="30:30" x14ac:dyDescent="0.3">
      <c r="AD5320" s="16"/>
    </row>
    <row r="5321" spans="30:30" x14ac:dyDescent="0.3">
      <c r="AD5321" s="16"/>
    </row>
    <row r="5322" spans="30:30" x14ac:dyDescent="0.3">
      <c r="AD5322" s="16"/>
    </row>
    <row r="5323" spans="30:30" x14ac:dyDescent="0.3">
      <c r="AD5323" s="16"/>
    </row>
    <row r="5324" spans="30:30" x14ac:dyDescent="0.3">
      <c r="AD5324" s="16"/>
    </row>
    <row r="5325" spans="30:30" x14ac:dyDescent="0.3">
      <c r="AD5325" s="16"/>
    </row>
    <row r="5326" spans="30:30" x14ac:dyDescent="0.3">
      <c r="AD5326" s="16"/>
    </row>
    <row r="5327" spans="30:30" x14ac:dyDescent="0.3">
      <c r="AD5327" s="16"/>
    </row>
    <row r="5328" spans="30:30" x14ac:dyDescent="0.3">
      <c r="AD5328" s="16"/>
    </row>
    <row r="5329" spans="30:30" x14ac:dyDescent="0.3">
      <c r="AD5329" s="16"/>
    </row>
    <row r="5330" spans="30:30" x14ac:dyDescent="0.3">
      <c r="AD5330" s="16"/>
    </row>
    <row r="5331" spans="30:30" x14ac:dyDescent="0.3">
      <c r="AD5331" s="16"/>
    </row>
    <row r="5332" spans="30:30" x14ac:dyDescent="0.3">
      <c r="AD5332" s="16"/>
    </row>
    <row r="5333" spans="30:30" x14ac:dyDescent="0.3">
      <c r="AD5333" s="16"/>
    </row>
    <row r="5334" spans="30:30" x14ac:dyDescent="0.3">
      <c r="AD5334" s="16"/>
    </row>
    <row r="5335" spans="30:30" x14ac:dyDescent="0.3">
      <c r="AD5335" s="16"/>
    </row>
    <row r="5336" spans="30:30" x14ac:dyDescent="0.3">
      <c r="AD5336" s="16"/>
    </row>
    <row r="5337" spans="30:30" x14ac:dyDescent="0.3">
      <c r="AD5337" s="16"/>
    </row>
    <row r="5338" spans="30:30" x14ac:dyDescent="0.3">
      <c r="AD5338" s="16"/>
    </row>
    <row r="5339" spans="30:30" x14ac:dyDescent="0.3">
      <c r="AD5339" s="16"/>
    </row>
    <row r="5340" spans="30:30" x14ac:dyDescent="0.3">
      <c r="AD5340" s="16"/>
    </row>
    <row r="5341" spans="30:30" x14ac:dyDescent="0.3">
      <c r="AD5341" s="16"/>
    </row>
    <row r="5342" spans="30:30" x14ac:dyDescent="0.3">
      <c r="AD5342" s="16"/>
    </row>
    <row r="5343" spans="30:30" x14ac:dyDescent="0.3">
      <c r="AD5343" s="16"/>
    </row>
    <row r="5344" spans="30:30" x14ac:dyDescent="0.3">
      <c r="AD5344" s="16"/>
    </row>
    <row r="5345" spans="30:30" x14ac:dyDescent="0.3">
      <c r="AD5345" s="16"/>
    </row>
    <row r="5346" spans="30:30" x14ac:dyDescent="0.3">
      <c r="AD5346" s="16"/>
    </row>
    <row r="5347" spans="30:30" x14ac:dyDescent="0.3">
      <c r="AD5347" s="16"/>
    </row>
    <row r="5348" spans="30:30" x14ac:dyDescent="0.3">
      <c r="AD5348" s="16"/>
    </row>
    <row r="5349" spans="30:30" x14ac:dyDescent="0.3">
      <c r="AD5349" s="16"/>
    </row>
    <row r="5350" spans="30:30" x14ac:dyDescent="0.3">
      <c r="AD5350" s="16"/>
    </row>
    <row r="5351" spans="30:30" x14ac:dyDescent="0.3">
      <c r="AD5351" s="16"/>
    </row>
    <row r="5352" spans="30:30" x14ac:dyDescent="0.3">
      <c r="AD5352" s="16"/>
    </row>
    <row r="5353" spans="30:30" x14ac:dyDescent="0.3">
      <c r="AD5353" s="16"/>
    </row>
    <row r="5354" spans="30:30" x14ac:dyDescent="0.3">
      <c r="AD5354" s="16"/>
    </row>
    <row r="5355" spans="30:30" x14ac:dyDescent="0.3">
      <c r="AD5355" s="16"/>
    </row>
    <row r="5356" spans="30:30" x14ac:dyDescent="0.3">
      <c r="AD5356" s="16"/>
    </row>
    <row r="5357" spans="30:30" x14ac:dyDescent="0.3">
      <c r="AD5357" s="16"/>
    </row>
    <row r="5358" spans="30:30" x14ac:dyDescent="0.3">
      <c r="AD5358" s="16"/>
    </row>
    <row r="5359" spans="30:30" x14ac:dyDescent="0.3">
      <c r="AD5359" s="16"/>
    </row>
    <row r="5360" spans="30:30" x14ac:dyDescent="0.3">
      <c r="AD5360" s="16"/>
    </row>
    <row r="5361" spans="30:30" x14ac:dyDescent="0.3">
      <c r="AD5361" s="16"/>
    </row>
    <row r="5362" spans="30:30" x14ac:dyDescent="0.3">
      <c r="AD5362" s="16"/>
    </row>
    <row r="5363" spans="30:30" x14ac:dyDescent="0.3">
      <c r="AD5363" s="16"/>
    </row>
    <row r="5364" spans="30:30" x14ac:dyDescent="0.3">
      <c r="AD5364" s="16"/>
    </row>
    <row r="5365" spans="30:30" x14ac:dyDescent="0.3">
      <c r="AD5365" s="16"/>
    </row>
    <row r="5366" spans="30:30" x14ac:dyDescent="0.3">
      <c r="AD5366" s="16"/>
    </row>
    <row r="5367" spans="30:30" x14ac:dyDescent="0.3">
      <c r="AD5367" s="16"/>
    </row>
    <row r="5368" spans="30:30" x14ac:dyDescent="0.3">
      <c r="AD5368" s="16"/>
    </row>
    <row r="5369" spans="30:30" x14ac:dyDescent="0.3">
      <c r="AD5369" s="16"/>
    </row>
    <row r="5370" spans="30:30" x14ac:dyDescent="0.3">
      <c r="AD5370" s="16"/>
    </row>
    <row r="5371" spans="30:30" x14ac:dyDescent="0.3">
      <c r="AD5371" s="16"/>
    </row>
    <row r="5372" spans="30:30" x14ac:dyDescent="0.3">
      <c r="AD5372" s="16"/>
    </row>
    <row r="5373" spans="30:30" x14ac:dyDescent="0.3">
      <c r="AD5373" s="16"/>
    </row>
    <row r="5374" spans="30:30" x14ac:dyDescent="0.3">
      <c r="AD5374" s="16"/>
    </row>
    <row r="5375" spans="30:30" x14ac:dyDescent="0.3">
      <c r="AD5375" s="16"/>
    </row>
    <row r="5376" spans="30:30" x14ac:dyDescent="0.3">
      <c r="AD5376" s="16"/>
    </row>
    <row r="5377" spans="30:30" x14ac:dyDescent="0.3">
      <c r="AD5377" s="16"/>
    </row>
    <row r="5378" spans="30:30" x14ac:dyDescent="0.3">
      <c r="AD5378" s="16"/>
    </row>
    <row r="5379" spans="30:30" x14ac:dyDescent="0.3">
      <c r="AD5379" s="16"/>
    </row>
    <row r="5380" spans="30:30" x14ac:dyDescent="0.3">
      <c r="AD5380" s="16"/>
    </row>
    <row r="5381" spans="30:30" x14ac:dyDescent="0.3">
      <c r="AD5381" s="16"/>
    </row>
    <row r="5382" spans="30:30" x14ac:dyDescent="0.3">
      <c r="AD5382" s="16"/>
    </row>
    <row r="5383" spans="30:30" x14ac:dyDescent="0.3">
      <c r="AD5383" s="16"/>
    </row>
    <row r="5384" spans="30:30" x14ac:dyDescent="0.3">
      <c r="AD5384" s="16"/>
    </row>
    <row r="5385" spans="30:30" x14ac:dyDescent="0.3">
      <c r="AD5385" s="16"/>
    </row>
    <row r="5386" spans="30:30" x14ac:dyDescent="0.3">
      <c r="AD5386" s="16"/>
    </row>
    <row r="5387" spans="30:30" x14ac:dyDescent="0.3">
      <c r="AD5387" s="16"/>
    </row>
    <row r="5388" spans="30:30" x14ac:dyDescent="0.3">
      <c r="AD5388" s="16"/>
    </row>
    <row r="5389" spans="30:30" x14ac:dyDescent="0.3">
      <c r="AD5389" s="16"/>
    </row>
    <row r="5390" spans="30:30" x14ac:dyDescent="0.3">
      <c r="AD5390" s="16"/>
    </row>
    <row r="5391" spans="30:30" x14ac:dyDescent="0.3">
      <c r="AD5391" s="16"/>
    </row>
    <row r="5392" spans="30:30" x14ac:dyDescent="0.3">
      <c r="AD5392" s="16"/>
    </row>
    <row r="5393" spans="30:30" x14ac:dyDescent="0.3">
      <c r="AD5393" s="16"/>
    </row>
    <row r="5394" spans="30:30" x14ac:dyDescent="0.3">
      <c r="AD5394" s="16"/>
    </row>
    <row r="5395" spans="30:30" x14ac:dyDescent="0.3">
      <c r="AD5395" s="16"/>
    </row>
    <row r="5396" spans="30:30" x14ac:dyDescent="0.3">
      <c r="AD5396" s="16"/>
    </row>
    <row r="5397" spans="30:30" x14ac:dyDescent="0.3">
      <c r="AD5397" s="16"/>
    </row>
    <row r="5398" spans="30:30" x14ac:dyDescent="0.3">
      <c r="AD5398" s="16"/>
    </row>
    <row r="5399" spans="30:30" x14ac:dyDescent="0.3">
      <c r="AD5399" s="16"/>
    </row>
    <row r="5400" spans="30:30" x14ac:dyDescent="0.3">
      <c r="AD5400" s="16"/>
    </row>
    <row r="5401" spans="30:30" x14ac:dyDescent="0.3">
      <c r="AD5401" s="16"/>
    </row>
    <row r="5402" spans="30:30" x14ac:dyDescent="0.3">
      <c r="AD5402" s="16"/>
    </row>
    <row r="5403" spans="30:30" x14ac:dyDescent="0.3">
      <c r="AD5403" s="16"/>
    </row>
    <row r="5404" spans="30:30" x14ac:dyDescent="0.3">
      <c r="AD5404" s="16"/>
    </row>
    <row r="5405" spans="30:30" x14ac:dyDescent="0.3">
      <c r="AD5405" s="16"/>
    </row>
    <row r="5406" spans="30:30" x14ac:dyDescent="0.3">
      <c r="AD5406" s="16"/>
    </row>
    <row r="5407" spans="30:30" x14ac:dyDescent="0.3">
      <c r="AD5407" s="16"/>
    </row>
    <row r="5408" spans="30:30" x14ac:dyDescent="0.3">
      <c r="AD5408" s="16"/>
    </row>
    <row r="5409" spans="30:30" x14ac:dyDescent="0.3">
      <c r="AD5409" s="16"/>
    </row>
    <row r="5410" spans="30:30" x14ac:dyDescent="0.3">
      <c r="AD5410" s="16"/>
    </row>
    <row r="5411" spans="30:30" x14ac:dyDescent="0.3">
      <c r="AD5411" s="16"/>
    </row>
    <row r="5412" spans="30:30" x14ac:dyDescent="0.3">
      <c r="AD5412" s="16"/>
    </row>
    <row r="5413" spans="30:30" x14ac:dyDescent="0.3">
      <c r="AD5413" s="16"/>
    </row>
    <row r="5414" spans="30:30" x14ac:dyDescent="0.3">
      <c r="AD5414" s="16"/>
    </row>
    <row r="5415" spans="30:30" x14ac:dyDescent="0.3">
      <c r="AD5415" s="16"/>
    </row>
    <row r="5416" spans="30:30" x14ac:dyDescent="0.3">
      <c r="AD5416" s="16"/>
    </row>
    <row r="5417" spans="30:30" x14ac:dyDescent="0.3">
      <c r="AD5417" s="16"/>
    </row>
    <row r="5418" spans="30:30" x14ac:dyDescent="0.3">
      <c r="AD5418" s="16"/>
    </row>
    <row r="5419" spans="30:30" x14ac:dyDescent="0.3">
      <c r="AD5419" s="16"/>
    </row>
    <row r="5420" spans="30:30" x14ac:dyDescent="0.3">
      <c r="AD5420" s="16"/>
    </row>
    <row r="5421" spans="30:30" x14ac:dyDescent="0.3">
      <c r="AD5421" s="16"/>
    </row>
    <row r="5422" spans="30:30" x14ac:dyDescent="0.3">
      <c r="AD5422" s="16"/>
    </row>
    <row r="5423" spans="30:30" x14ac:dyDescent="0.3">
      <c r="AD5423" s="16"/>
    </row>
    <row r="5424" spans="30:30" x14ac:dyDescent="0.3">
      <c r="AD5424" s="16"/>
    </row>
    <row r="5425" spans="30:30" x14ac:dyDescent="0.3">
      <c r="AD5425" s="16"/>
    </row>
    <row r="5426" spans="30:30" x14ac:dyDescent="0.3">
      <c r="AD5426" s="16"/>
    </row>
    <row r="5427" spans="30:30" x14ac:dyDescent="0.3">
      <c r="AD5427" s="16"/>
    </row>
    <row r="5428" spans="30:30" x14ac:dyDescent="0.3">
      <c r="AD5428" s="16"/>
    </row>
    <row r="5429" spans="30:30" x14ac:dyDescent="0.3">
      <c r="AD5429" s="16"/>
    </row>
    <row r="5430" spans="30:30" x14ac:dyDescent="0.3">
      <c r="AD5430" s="16"/>
    </row>
    <row r="5431" spans="30:30" x14ac:dyDescent="0.3">
      <c r="AD5431" s="16"/>
    </row>
    <row r="5432" spans="30:30" x14ac:dyDescent="0.3">
      <c r="AD5432" s="16"/>
    </row>
    <row r="5433" spans="30:30" x14ac:dyDescent="0.3">
      <c r="AD5433" s="16"/>
    </row>
    <row r="5434" spans="30:30" x14ac:dyDescent="0.3">
      <c r="AD5434" s="16"/>
    </row>
    <row r="5435" spans="30:30" x14ac:dyDescent="0.3">
      <c r="AD5435" s="16"/>
    </row>
    <row r="5436" spans="30:30" x14ac:dyDescent="0.3">
      <c r="AD5436" s="16"/>
    </row>
    <row r="5437" spans="30:30" x14ac:dyDescent="0.3">
      <c r="AD5437" s="16"/>
    </row>
    <row r="5438" spans="30:30" x14ac:dyDescent="0.3">
      <c r="AD5438" s="16"/>
    </row>
    <row r="5439" spans="30:30" x14ac:dyDescent="0.3">
      <c r="AD5439" s="16"/>
    </row>
    <row r="5440" spans="30:30" x14ac:dyDescent="0.3">
      <c r="AD5440" s="16"/>
    </row>
    <row r="5441" spans="30:30" x14ac:dyDescent="0.3">
      <c r="AD5441" s="16"/>
    </row>
    <row r="5442" spans="30:30" x14ac:dyDescent="0.3">
      <c r="AD5442" s="16"/>
    </row>
    <row r="5443" spans="30:30" x14ac:dyDescent="0.3">
      <c r="AD5443" s="16"/>
    </row>
    <row r="5444" spans="30:30" x14ac:dyDescent="0.3">
      <c r="AD5444" s="16"/>
    </row>
    <row r="5445" spans="30:30" x14ac:dyDescent="0.3">
      <c r="AD5445" s="16"/>
    </row>
    <row r="5446" spans="30:30" x14ac:dyDescent="0.3">
      <c r="AD5446" s="16"/>
    </row>
    <row r="5447" spans="30:30" x14ac:dyDescent="0.3">
      <c r="AD5447" s="16"/>
    </row>
    <row r="5448" spans="30:30" x14ac:dyDescent="0.3">
      <c r="AD5448" s="16"/>
    </row>
    <row r="5449" spans="30:30" x14ac:dyDescent="0.3">
      <c r="AD5449" s="16"/>
    </row>
    <row r="5450" spans="30:30" x14ac:dyDescent="0.3">
      <c r="AD5450" s="16"/>
    </row>
    <row r="5451" spans="30:30" x14ac:dyDescent="0.3">
      <c r="AD5451" s="16"/>
    </row>
    <row r="5452" spans="30:30" x14ac:dyDescent="0.3">
      <c r="AD5452" s="16"/>
    </row>
    <row r="5453" spans="30:30" x14ac:dyDescent="0.3">
      <c r="AD5453" s="16"/>
    </row>
    <row r="5454" spans="30:30" x14ac:dyDescent="0.3">
      <c r="AD5454" s="16"/>
    </row>
    <row r="5455" spans="30:30" x14ac:dyDescent="0.3">
      <c r="AD5455" s="16"/>
    </row>
    <row r="5456" spans="30:30" x14ac:dyDescent="0.3">
      <c r="AD5456" s="16"/>
    </row>
    <row r="5457" spans="30:30" x14ac:dyDescent="0.3">
      <c r="AD5457" s="16"/>
    </row>
    <row r="5458" spans="30:30" x14ac:dyDescent="0.3">
      <c r="AD5458" s="16"/>
    </row>
    <row r="5459" spans="30:30" x14ac:dyDescent="0.3">
      <c r="AD5459" s="16"/>
    </row>
    <row r="5460" spans="30:30" x14ac:dyDescent="0.3">
      <c r="AD5460" s="16"/>
    </row>
    <row r="5461" spans="30:30" x14ac:dyDescent="0.3">
      <c r="AD5461" s="16"/>
    </row>
    <row r="5462" spans="30:30" x14ac:dyDescent="0.3">
      <c r="AD5462" s="16"/>
    </row>
    <row r="5463" spans="30:30" x14ac:dyDescent="0.3">
      <c r="AD5463" s="16"/>
    </row>
    <row r="5464" spans="30:30" x14ac:dyDescent="0.3">
      <c r="AD5464" s="16"/>
    </row>
    <row r="5465" spans="30:30" x14ac:dyDescent="0.3">
      <c r="AD5465" s="16"/>
    </row>
    <row r="5466" spans="30:30" x14ac:dyDescent="0.3">
      <c r="AD5466" s="16"/>
    </row>
    <row r="5467" spans="30:30" x14ac:dyDescent="0.3">
      <c r="AD5467" s="16"/>
    </row>
    <row r="5468" spans="30:30" x14ac:dyDescent="0.3">
      <c r="AD5468" s="16"/>
    </row>
    <row r="5469" spans="30:30" x14ac:dyDescent="0.3">
      <c r="AD5469" s="16"/>
    </row>
    <row r="5470" spans="30:30" x14ac:dyDescent="0.3">
      <c r="AD5470" s="16"/>
    </row>
    <row r="5471" spans="30:30" x14ac:dyDescent="0.3">
      <c r="AD5471" s="16"/>
    </row>
    <row r="5472" spans="30:30" x14ac:dyDescent="0.3">
      <c r="AD5472" s="16"/>
    </row>
    <row r="5473" spans="30:30" x14ac:dyDescent="0.3">
      <c r="AD5473" s="16"/>
    </row>
    <row r="5474" spans="30:30" x14ac:dyDescent="0.3">
      <c r="AD5474" s="16"/>
    </row>
    <row r="5475" spans="30:30" x14ac:dyDescent="0.3">
      <c r="AD5475" s="16"/>
    </row>
    <row r="5476" spans="30:30" x14ac:dyDescent="0.3">
      <c r="AD5476" s="16"/>
    </row>
    <row r="5477" spans="30:30" x14ac:dyDescent="0.3">
      <c r="AD5477" s="16"/>
    </row>
    <row r="5478" spans="30:30" x14ac:dyDescent="0.3">
      <c r="AD5478" s="16"/>
    </row>
    <row r="5479" spans="30:30" x14ac:dyDescent="0.3">
      <c r="AD5479" s="16"/>
    </row>
    <row r="5480" spans="30:30" x14ac:dyDescent="0.3">
      <c r="AD5480" s="16"/>
    </row>
    <row r="5481" spans="30:30" x14ac:dyDescent="0.3">
      <c r="AD5481" s="16"/>
    </row>
    <row r="5482" spans="30:30" x14ac:dyDescent="0.3">
      <c r="AD5482" s="16"/>
    </row>
    <row r="5483" spans="30:30" x14ac:dyDescent="0.3">
      <c r="AD5483" s="16"/>
    </row>
    <row r="5484" spans="30:30" x14ac:dyDescent="0.3">
      <c r="AD5484" s="16"/>
    </row>
    <row r="5485" spans="30:30" x14ac:dyDescent="0.3">
      <c r="AD5485" s="16"/>
    </row>
    <row r="5486" spans="30:30" x14ac:dyDescent="0.3">
      <c r="AD5486" s="16"/>
    </row>
    <row r="5487" spans="30:30" x14ac:dyDescent="0.3">
      <c r="AD5487" s="16"/>
    </row>
    <row r="5488" spans="30:30" x14ac:dyDescent="0.3">
      <c r="AD5488" s="16"/>
    </row>
    <row r="5489" spans="30:30" x14ac:dyDescent="0.3">
      <c r="AD5489" s="16"/>
    </row>
    <row r="5490" spans="30:30" x14ac:dyDescent="0.3">
      <c r="AD5490" s="16"/>
    </row>
    <row r="5491" spans="30:30" x14ac:dyDescent="0.3">
      <c r="AD5491" s="16"/>
    </row>
    <row r="5492" spans="30:30" x14ac:dyDescent="0.3">
      <c r="AD5492" s="16"/>
    </row>
    <row r="5493" spans="30:30" x14ac:dyDescent="0.3">
      <c r="AD5493" s="16"/>
    </row>
    <row r="5494" spans="30:30" x14ac:dyDescent="0.3">
      <c r="AD5494" s="16"/>
    </row>
    <row r="5495" spans="30:30" x14ac:dyDescent="0.3">
      <c r="AD5495" s="16"/>
    </row>
    <row r="5496" spans="30:30" x14ac:dyDescent="0.3">
      <c r="AD5496" s="16"/>
    </row>
    <row r="5497" spans="30:30" x14ac:dyDescent="0.3">
      <c r="AD5497" s="16"/>
    </row>
    <row r="5498" spans="30:30" x14ac:dyDescent="0.3">
      <c r="AD5498" s="16"/>
    </row>
    <row r="5499" spans="30:30" x14ac:dyDescent="0.3">
      <c r="AD5499" s="16"/>
    </row>
    <row r="5500" spans="30:30" x14ac:dyDescent="0.3">
      <c r="AD5500" s="16"/>
    </row>
    <row r="5501" spans="30:30" x14ac:dyDescent="0.3">
      <c r="AD5501" s="16"/>
    </row>
    <row r="5502" spans="30:30" x14ac:dyDescent="0.3">
      <c r="AD5502" s="16"/>
    </row>
    <row r="5503" spans="30:30" x14ac:dyDescent="0.3">
      <c r="AD5503" s="16"/>
    </row>
    <row r="5504" spans="30:30" x14ac:dyDescent="0.3">
      <c r="AD5504" s="16"/>
    </row>
    <row r="5505" spans="30:30" x14ac:dyDescent="0.3">
      <c r="AD5505" s="16"/>
    </row>
    <row r="5506" spans="30:30" x14ac:dyDescent="0.3">
      <c r="AD5506" s="16"/>
    </row>
    <row r="5507" spans="30:30" x14ac:dyDescent="0.3">
      <c r="AD5507" s="16"/>
    </row>
    <row r="5508" spans="30:30" x14ac:dyDescent="0.3">
      <c r="AD5508" s="16"/>
    </row>
    <row r="5509" spans="30:30" x14ac:dyDescent="0.3">
      <c r="AD5509" s="16"/>
    </row>
    <row r="5510" spans="30:30" x14ac:dyDescent="0.3">
      <c r="AD5510" s="16"/>
    </row>
    <row r="5511" spans="30:30" x14ac:dyDescent="0.3">
      <c r="AD5511" s="16"/>
    </row>
    <row r="5512" spans="30:30" x14ac:dyDescent="0.3">
      <c r="AD5512" s="16"/>
    </row>
    <row r="5513" spans="30:30" x14ac:dyDescent="0.3">
      <c r="AD5513" s="16"/>
    </row>
    <row r="5514" spans="30:30" x14ac:dyDescent="0.3">
      <c r="AD5514" s="16"/>
    </row>
    <row r="5515" spans="30:30" x14ac:dyDescent="0.3">
      <c r="AD5515" s="16"/>
    </row>
    <row r="5516" spans="30:30" x14ac:dyDescent="0.3">
      <c r="AD5516" s="16"/>
    </row>
    <row r="5517" spans="30:30" x14ac:dyDescent="0.3">
      <c r="AD5517" s="16"/>
    </row>
    <row r="5518" spans="30:30" x14ac:dyDescent="0.3">
      <c r="AD5518" s="16"/>
    </row>
    <row r="5519" spans="30:30" x14ac:dyDescent="0.3">
      <c r="AD5519" s="16"/>
    </row>
    <row r="5520" spans="30:30" x14ac:dyDescent="0.3">
      <c r="AD5520" s="16"/>
    </row>
    <row r="5521" spans="30:30" x14ac:dyDescent="0.3">
      <c r="AD5521" s="16"/>
    </row>
    <row r="5522" spans="30:30" x14ac:dyDescent="0.3">
      <c r="AD5522" s="16"/>
    </row>
    <row r="5523" spans="30:30" x14ac:dyDescent="0.3">
      <c r="AD5523" s="16"/>
    </row>
    <row r="5524" spans="30:30" x14ac:dyDescent="0.3">
      <c r="AD5524" s="16"/>
    </row>
    <row r="5525" spans="30:30" x14ac:dyDescent="0.3">
      <c r="AD5525" s="16"/>
    </row>
    <row r="5526" spans="30:30" x14ac:dyDescent="0.3">
      <c r="AD5526" s="16"/>
    </row>
    <row r="5527" spans="30:30" x14ac:dyDescent="0.3">
      <c r="AD5527" s="16"/>
    </row>
    <row r="5528" spans="30:30" x14ac:dyDescent="0.3">
      <c r="AD5528" s="16"/>
    </row>
    <row r="5529" spans="30:30" x14ac:dyDescent="0.3">
      <c r="AD5529" s="16"/>
    </row>
    <row r="5530" spans="30:30" x14ac:dyDescent="0.3">
      <c r="AD5530" s="16"/>
    </row>
    <row r="5531" spans="30:30" x14ac:dyDescent="0.3">
      <c r="AD5531" s="16"/>
    </row>
    <row r="5532" spans="30:30" x14ac:dyDescent="0.3">
      <c r="AD5532" s="16"/>
    </row>
    <row r="5533" spans="30:30" x14ac:dyDescent="0.3">
      <c r="AD5533" s="16"/>
    </row>
    <row r="5534" spans="30:30" x14ac:dyDescent="0.3">
      <c r="AD5534" s="16"/>
    </row>
    <row r="5535" spans="30:30" x14ac:dyDescent="0.3">
      <c r="AD5535" s="16"/>
    </row>
    <row r="5536" spans="30:30" x14ac:dyDescent="0.3">
      <c r="AD5536" s="16"/>
    </row>
    <row r="5537" spans="30:30" x14ac:dyDescent="0.3">
      <c r="AD5537" s="16"/>
    </row>
    <row r="5538" spans="30:30" x14ac:dyDescent="0.3">
      <c r="AD5538" s="16"/>
    </row>
    <row r="5539" spans="30:30" x14ac:dyDescent="0.3">
      <c r="AD5539" s="16"/>
    </row>
    <row r="5540" spans="30:30" x14ac:dyDescent="0.3">
      <c r="AD5540" s="16"/>
    </row>
    <row r="5541" spans="30:30" x14ac:dyDescent="0.3">
      <c r="AD5541" s="16"/>
    </row>
    <row r="5542" spans="30:30" x14ac:dyDescent="0.3">
      <c r="AD5542" s="16"/>
    </row>
    <row r="5543" spans="30:30" x14ac:dyDescent="0.3">
      <c r="AD5543" s="16"/>
    </row>
    <row r="5544" spans="30:30" x14ac:dyDescent="0.3">
      <c r="AD5544" s="16"/>
    </row>
    <row r="5545" spans="30:30" x14ac:dyDescent="0.3">
      <c r="AD5545" s="16"/>
    </row>
    <row r="5546" spans="30:30" x14ac:dyDescent="0.3">
      <c r="AD5546" s="16"/>
    </row>
    <row r="5547" spans="30:30" x14ac:dyDescent="0.3">
      <c r="AD5547" s="16"/>
    </row>
    <row r="5548" spans="30:30" x14ac:dyDescent="0.3">
      <c r="AD5548" s="16"/>
    </row>
    <row r="5549" spans="30:30" x14ac:dyDescent="0.3">
      <c r="AD5549" s="16"/>
    </row>
    <row r="5550" spans="30:30" x14ac:dyDescent="0.3">
      <c r="AD5550" s="16"/>
    </row>
    <row r="5551" spans="30:30" x14ac:dyDescent="0.3">
      <c r="AD5551" s="16"/>
    </row>
    <row r="5552" spans="30:30" x14ac:dyDescent="0.3">
      <c r="AD5552" s="16"/>
    </row>
    <row r="5553" spans="30:30" x14ac:dyDescent="0.3">
      <c r="AD5553" s="16"/>
    </row>
    <row r="5554" spans="30:30" x14ac:dyDescent="0.3">
      <c r="AD5554" s="16"/>
    </row>
    <row r="5555" spans="30:30" x14ac:dyDescent="0.3">
      <c r="AD5555" s="16"/>
    </row>
    <row r="5556" spans="30:30" x14ac:dyDescent="0.3">
      <c r="AD5556" s="16"/>
    </row>
    <row r="5557" spans="30:30" x14ac:dyDescent="0.3">
      <c r="AD5557" s="16"/>
    </row>
    <row r="5558" spans="30:30" x14ac:dyDescent="0.3">
      <c r="AD5558" s="16"/>
    </row>
    <row r="5559" spans="30:30" x14ac:dyDescent="0.3">
      <c r="AD5559" s="16"/>
    </row>
    <row r="5560" spans="30:30" x14ac:dyDescent="0.3">
      <c r="AD5560" s="16"/>
    </row>
    <row r="5561" spans="30:30" x14ac:dyDescent="0.3">
      <c r="AD5561" s="16"/>
    </row>
    <row r="5562" spans="30:30" x14ac:dyDescent="0.3">
      <c r="AD5562" s="16"/>
    </row>
    <row r="5563" spans="30:30" x14ac:dyDescent="0.3">
      <c r="AD5563" s="16"/>
    </row>
    <row r="5564" spans="30:30" x14ac:dyDescent="0.3">
      <c r="AD5564" s="16"/>
    </row>
    <row r="5565" spans="30:30" x14ac:dyDescent="0.3">
      <c r="AD5565" s="16"/>
    </row>
    <row r="5566" spans="30:30" x14ac:dyDescent="0.3">
      <c r="AD5566" s="16"/>
    </row>
    <row r="5567" spans="30:30" x14ac:dyDescent="0.3">
      <c r="AD5567" s="16"/>
    </row>
    <row r="5568" spans="30:30" x14ac:dyDescent="0.3">
      <c r="AD5568" s="16"/>
    </row>
    <row r="5569" spans="30:30" x14ac:dyDescent="0.3">
      <c r="AD5569" s="16"/>
    </row>
    <row r="5570" spans="30:30" x14ac:dyDescent="0.3">
      <c r="AD5570" s="16"/>
    </row>
    <row r="5571" spans="30:30" x14ac:dyDescent="0.3">
      <c r="AD5571" s="16"/>
    </row>
    <row r="5572" spans="30:30" x14ac:dyDescent="0.3">
      <c r="AD5572" s="16"/>
    </row>
    <row r="5573" spans="30:30" x14ac:dyDescent="0.3">
      <c r="AD5573" s="16"/>
    </row>
    <row r="5574" spans="30:30" x14ac:dyDescent="0.3">
      <c r="AD5574" s="16"/>
    </row>
    <row r="5575" spans="30:30" x14ac:dyDescent="0.3">
      <c r="AD5575" s="16"/>
    </row>
    <row r="5576" spans="30:30" x14ac:dyDescent="0.3">
      <c r="AD5576" s="16"/>
    </row>
    <row r="5577" spans="30:30" x14ac:dyDescent="0.3">
      <c r="AD5577" s="16"/>
    </row>
    <row r="5578" spans="30:30" x14ac:dyDescent="0.3">
      <c r="AD5578" s="16"/>
    </row>
    <row r="5579" spans="30:30" x14ac:dyDescent="0.3">
      <c r="AD5579" s="16"/>
    </row>
    <row r="5580" spans="30:30" x14ac:dyDescent="0.3">
      <c r="AD5580" s="16"/>
    </row>
    <row r="5581" spans="30:30" x14ac:dyDescent="0.3">
      <c r="AD5581" s="16"/>
    </row>
    <row r="5582" spans="30:30" x14ac:dyDescent="0.3">
      <c r="AD5582" s="16"/>
    </row>
    <row r="5583" spans="30:30" x14ac:dyDescent="0.3">
      <c r="AD5583" s="16"/>
    </row>
    <row r="5584" spans="30:30" x14ac:dyDescent="0.3">
      <c r="AD5584" s="16"/>
    </row>
    <row r="5585" spans="30:30" x14ac:dyDescent="0.3">
      <c r="AD5585" s="16"/>
    </row>
    <row r="5586" spans="30:30" x14ac:dyDescent="0.3">
      <c r="AD5586" s="16"/>
    </row>
    <row r="5587" spans="30:30" x14ac:dyDescent="0.3">
      <c r="AD5587" s="16"/>
    </row>
    <row r="5588" spans="30:30" x14ac:dyDescent="0.3">
      <c r="AD5588" s="16"/>
    </row>
    <row r="5589" spans="30:30" x14ac:dyDescent="0.3">
      <c r="AD5589" s="16"/>
    </row>
    <row r="5590" spans="30:30" x14ac:dyDescent="0.3">
      <c r="AD5590" s="16"/>
    </row>
    <row r="5591" spans="30:30" x14ac:dyDescent="0.3">
      <c r="AD5591" s="16"/>
    </row>
    <row r="5592" spans="30:30" x14ac:dyDescent="0.3">
      <c r="AD5592" s="16"/>
    </row>
    <row r="5593" spans="30:30" x14ac:dyDescent="0.3">
      <c r="AD5593" s="16"/>
    </row>
    <row r="5594" spans="30:30" x14ac:dyDescent="0.3">
      <c r="AD5594" s="16"/>
    </row>
    <row r="5595" spans="30:30" x14ac:dyDescent="0.3">
      <c r="AD5595" s="16"/>
    </row>
    <row r="5596" spans="30:30" x14ac:dyDescent="0.3">
      <c r="AD5596" s="16"/>
    </row>
    <row r="5597" spans="30:30" x14ac:dyDescent="0.3">
      <c r="AD5597" s="16"/>
    </row>
    <row r="5598" spans="30:30" x14ac:dyDescent="0.3">
      <c r="AD5598" s="16"/>
    </row>
    <row r="5599" spans="30:30" x14ac:dyDescent="0.3">
      <c r="AD5599" s="16"/>
    </row>
    <row r="5600" spans="30:30" x14ac:dyDescent="0.3">
      <c r="AD5600" s="16"/>
    </row>
    <row r="5601" spans="30:30" x14ac:dyDescent="0.3">
      <c r="AD5601" s="16"/>
    </row>
    <row r="5602" spans="30:30" x14ac:dyDescent="0.3">
      <c r="AD5602" s="16"/>
    </row>
    <row r="5603" spans="30:30" x14ac:dyDescent="0.3">
      <c r="AD5603" s="16"/>
    </row>
    <row r="5604" spans="30:30" x14ac:dyDescent="0.3">
      <c r="AD5604" s="16"/>
    </row>
    <row r="5605" spans="30:30" x14ac:dyDescent="0.3">
      <c r="AD5605" s="16"/>
    </row>
    <row r="5606" spans="30:30" x14ac:dyDescent="0.3">
      <c r="AD5606" s="16"/>
    </row>
    <row r="5607" spans="30:30" x14ac:dyDescent="0.3">
      <c r="AD5607" s="16"/>
    </row>
    <row r="5608" spans="30:30" x14ac:dyDescent="0.3">
      <c r="AD5608" s="16"/>
    </row>
    <row r="5609" spans="30:30" x14ac:dyDescent="0.3">
      <c r="AD5609" s="16"/>
    </row>
    <row r="5610" spans="30:30" x14ac:dyDescent="0.3">
      <c r="AD5610" s="16"/>
    </row>
    <row r="5611" spans="30:30" x14ac:dyDescent="0.3">
      <c r="AD5611" s="16"/>
    </row>
    <row r="5612" spans="30:30" x14ac:dyDescent="0.3">
      <c r="AD5612" s="16"/>
    </row>
    <row r="5613" spans="30:30" x14ac:dyDescent="0.3">
      <c r="AD5613" s="16"/>
    </row>
    <row r="5614" spans="30:30" x14ac:dyDescent="0.3">
      <c r="AD5614" s="16"/>
    </row>
    <row r="5615" spans="30:30" x14ac:dyDescent="0.3">
      <c r="AD5615" s="16"/>
    </row>
    <row r="5616" spans="30:30" x14ac:dyDescent="0.3">
      <c r="AD5616" s="16"/>
    </row>
    <row r="5617" spans="30:30" x14ac:dyDescent="0.3">
      <c r="AD5617" s="16"/>
    </row>
    <row r="5618" spans="30:30" x14ac:dyDescent="0.3">
      <c r="AD5618" s="16"/>
    </row>
    <row r="5619" spans="30:30" x14ac:dyDescent="0.3">
      <c r="AD5619" s="16"/>
    </row>
    <row r="5620" spans="30:30" x14ac:dyDescent="0.3">
      <c r="AD5620" s="16"/>
    </row>
    <row r="5621" spans="30:30" x14ac:dyDescent="0.3">
      <c r="AD5621" s="16"/>
    </row>
    <row r="5622" spans="30:30" x14ac:dyDescent="0.3">
      <c r="AD5622" s="16"/>
    </row>
    <row r="5623" spans="30:30" x14ac:dyDescent="0.3">
      <c r="AD5623" s="16"/>
    </row>
    <row r="5624" spans="30:30" x14ac:dyDescent="0.3">
      <c r="AD5624" s="16"/>
    </row>
    <row r="5625" spans="30:30" x14ac:dyDescent="0.3">
      <c r="AD5625" s="16"/>
    </row>
    <row r="5626" spans="30:30" x14ac:dyDescent="0.3">
      <c r="AD5626" s="16"/>
    </row>
    <row r="5627" spans="30:30" x14ac:dyDescent="0.3">
      <c r="AD5627" s="16"/>
    </row>
    <row r="5628" spans="30:30" x14ac:dyDescent="0.3">
      <c r="AD5628" s="16"/>
    </row>
    <row r="5629" spans="30:30" x14ac:dyDescent="0.3">
      <c r="AD5629" s="16"/>
    </row>
    <row r="5630" spans="30:30" x14ac:dyDescent="0.3">
      <c r="AD5630" s="16"/>
    </row>
    <row r="5631" spans="30:30" x14ac:dyDescent="0.3">
      <c r="AD5631" s="16"/>
    </row>
    <row r="5632" spans="30:30" x14ac:dyDescent="0.3">
      <c r="AD5632" s="16"/>
    </row>
    <row r="5633" spans="30:30" x14ac:dyDescent="0.3">
      <c r="AD5633" s="16"/>
    </row>
    <row r="5634" spans="30:30" x14ac:dyDescent="0.3">
      <c r="AD5634" s="16"/>
    </row>
    <row r="5635" spans="30:30" x14ac:dyDescent="0.3">
      <c r="AD5635" s="16"/>
    </row>
    <row r="5636" spans="30:30" x14ac:dyDescent="0.3">
      <c r="AD5636" s="16"/>
    </row>
    <row r="5637" spans="30:30" x14ac:dyDescent="0.3">
      <c r="AD5637" s="16"/>
    </row>
    <row r="5638" spans="30:30" x14ac:dyDescent="0.3">
      <c r="AD5638" s="16"/>
    </row>
    <row r="5639" spans="30:30" x14ac:dyDescent="0.3">
      <c r="AD5639" s="16"/>
    </row>
    <row r="5640" spans="30:30" x14ac:dyDescent="0.3">
      <c r="AD5640" s="16"/>
    </row>
    <row r="5641" spans="30:30" x14ac:dyDescent="0.3">
      <c r="AD5641" s="16"/>
    </row>
    <row r="5642" spans="30:30" x14ac:dyDescent="0.3">
      <c r="AD5642" s="16"/>
    </row>
    <row r="5643" spans="30:30" x14ac:dyDescent="0.3">
      <c r="AD5643" s="16"/>
    </row>
    <row r="5644" spans="30:30" x14ac:dyDescent="0.3">
      <c r="AD5644" s="16"/>
    </row>
    <row r="5645" spans="30:30" x14ac:dyDescent="0.3">
      <c r="AD5645" s="16"/>
    </row>
    <row r="5646" spans="30:30" x14ac:dyDescent="0.3">
      <c r="AD5646" s="16"/>
    </row>
    <row r="5647" spans="30:30" x14ac:dyDescent="0.3">
      <c r="AD5647" s="16"/>
    </row>
    <row r="5648" spans="30:30" x14ac:dyDescent="0.3">
      <c r="AD5648" s="16"/>
    </row>
    <row r="5649" spans="30:30" x14ac:dyDescent="0.3">
      <c r="AD5649" s="16"/>
    </row>
    <row r="5650" spans="30:30" x14ac:dyDescent="0.3">
      <c r="AD5650" s="16"/>
    </row>
    <row r="5651" spans="30:30" x14ac:dyDescent="0.3">
      <c r="AD5651" s="16"/>
    </row>
    <row r="5652" spans="30:30" x14ac:dyDescent="0.3">
      <c r="AD5652" s="16"/>
    </row>
    <row r="5653" spans="30:30" x14ac:dyDescent="0.3">
      <c r="AD5653" s="16"/>
    </row>
    <row r="5654" spans="30:30" x14ac:dyDescent="0.3">
      <c r="AD5654" s="16"/>
    </row>
    <row r="5655" spans="30:30" x14ac:dyDescent="0.3">
      <c r="AD5655" s="16"/>
    </row>
    <row r="5656" spans="30:30" x14ac:dyDescent="0.3">
      <c r="AD5656" s="16"/>
    </row>
    <row r="5657" spans="30:30" x14ac:dyDescent="0.3">
      <c r="AD5657" s="16"/>
    </row>
    <row r="5658" spans="30:30" x14ac:dyDescent="0.3">
      <c r="AD5658" s="16"/>
    </row>
    <row r="5659" spans="30:30" x14ac:dyDescent="0.3">
      <c r="AD5659" s="16"/>
    </row>
    <row r="5660" spans="30:30" x14ac:dyDescent="0.3">
      <c r="AD5660" s="16"/>
    </row>
    <row r="5661" spans="30:30" x14ac:dyDescent="0.3">
      <c r="AD5661" s="16"/>
    </row>
    <row r="5662" spans="30:30" x14ac:dyDescent="0.3">
      <c r="AD5662" s="16"/>
    </row>
    <row r="5663" spans="30:30" x14ac:dyDescent="0.3">
      <c r="AD5663" s="16"/>
    </row>
    <row r="5664" spans="30:30" x14ac:dyDescent="0.3">
      <c r="AD5664" s="16"/>
    </row>
    <row r="5665" spans="30:30" x14ac:dyDescent="0.3">
      <c r="AD5665" s="16"/>
    </row>
    <row r="5666" spans="30:30" x14ac:dyDescent="0.3">
      <c r="AD5666" s="16"/>
    </row>
    <row r="5667" spans="30:30" x14ac:dyDescent="0.3">
      <c r="AD5667" s="16"/>
    </row>
    <row r="5668" spans="30:30" x14ac:dyDescent="0.3">
      <c r="AD5668" s="16"/>
    </row>
    <row r="5669" spans="30:30" x14ac:dyDescent="0.3">
      <c r="AD5669" s="16"/>
    </row>
    <row r="5670" spans="30:30" x14ac:dyDescent="0.3">
      <c r="AD5670" s="16"/>
    </row>
    <row r="5671" spans="30:30" x14ac:dyDescent="0.3">
      <c r="AD5671" s="16"/>
    </row>
    <row r="5672" spans="30:30" x14ac:dyDescent="0.3">
      <c r="AD5672" s="16"/>
    </row>
    <row r="5673" spans="30:30" x14ac:dyDescent="0.3">
      <c r="AD5673" s="16"/>
    </row>
    <row r="5674" spans="30:30" x14ac:dyDescent="0.3">
      <c r="AD5674" s="16"/>
    </row>
    <row r="5675" spans="30:30" x14ac:dyDescent="0.3">
      <c r="AD5675" s="16"/>
    </row>
    <row r="5676" spans="30:30" x14ac:dyDescent="0.3">
      <c r="AD5676" s="16"/>
    </row>
    <row r="5677" spans="30:30" x14ac:dyDescent="0.3">
      <c r="AD5677" s="16"/>
    </row>
    <row r="5678" spans="30:30" x14ac:dyDescent="0.3">
      <c r="AD5678" s="16"/>
    </row>
    <row r="5679" spans="30:30" x14ac:dyDescent="0.3">
      <c r="AD5679" s="16"/>
    </row>
    <row r="5680" spans="30:30" x14ac:dyDescent="0.3">
      <c r="AD5680" s="16"/>
    </row>
    <row r="5681" spans="30:30" x14ac:dyDescent="0.3">
      <c r="AD5681" s="16"/>
    </row>
    <row r="5682" spans="30:30" x14ac:dyDescent="0.3">
      <c r="AD5682" s="16"/>
    </row>
    <row r="5683" spans="30:30" x14ac:dyDescent="0.3">
      <c r="AD5683" s="16"/>
    </row>
    <row r="5684" spans="30:30" x14ac:dyDescent="0.3">
      <c r="AD5684" s="16"/>
    </row>
    <row r="5685" spans="30:30" x14ac:dyDescent="0.3">
      <c r="AD5685" s="16"/>
    </row>
    <row r="5686" spans="30:30" x14ac:dyDescent="0.3">
      <c r="AD5686" s="16"/>
    </row>
    <row r="5687" spans="30:30" x14ac:dyDescent="0.3">
      <c r="AD5687" s="16"/>
    </row>
    <row r="5688" spans="30:30" x14ac:dyDescent="0.3">
      <c r="AD5688" s="16"/>
    </row>
    <row r="5689" spans="30:30" x14ac:dyDescent="0.3">
      <c r="AD5689" s="16"/>
    </row>
    <row r="5690" spans="30:30" x14ac:dyDescent="0.3">
      <c r="AD5690" s="16"/>
    </row>
    <row r="5691" spans="30:30" x14ac:dyDescent="0.3">
      <c r="AD5691" s="16"/>
    </row>
    <row r="5692" spans="30:30" x14ac:dyDescent="0.3">
      <c r="AD5692" s="16"/>
    </row>
    <row r="5693" spans="30:30" x14ac:dyDescent="0.3">
      <c r="AD5693" s="16"/>
    </row>
    <row r="5694" spans="30:30" x14ac:dyDescent="0.3">
      <c r="AD5694" s="16"/>
    </row>
    <row r="5695" spans="30:30" x14ac:dyDescent="0.3">
      <c r="AD5695" s="16"/>
    </row>
    <row r="5696" spans="30:30" x14ac:dyDescent="0.3">
      <c r="AD5696" s="16"/>
    </row>
    <row r="5697" spans="30:30" x14ac:dyDescent="0.3">
      <c r="AD5697" s="16"/>
    </row>
    <row r="5698" spans="30:30" x14ac:dyDescent="0.3">
      <c r="AD5698" s="16"/>
    </row>
    <row r="5699" spans="30:30" x14ac:dyDescent="0.3">
      <c r="AD5699" s="16"/>
    </row>
    <row r="5700" spans="30:30" x14ac:dyDescent="0.3">
      <c r="AD5700" s="16"/>
    </row>
    <row r="5701" spans="30:30" x14ac:dyDescent="0.3">
      <c r="AD5701" s="16"/>
    </row>
    <row r="5702" spans="30:30" x14ac:dyDescent="0.3">
      <c r="AD5702" s="16"/>
    </row>
    <row r="5703" spans="30:30" x14ac:dyDescent="0.3">
      <c r="AD5703" s="16"/>
    </row>
    <row r="5704" spans="30:30" x14ac:dyDescent="0.3">
      <c r="AD5704" s="16"/>
    </row>
    <row r="5705" spans="30:30" x14ac:dyDescent="0.3">
      <c r="AD5705" s="16"/>
    </row>
    <row r="5706" spans="30:30" x14ac:dyDescent="0.3">
      <c r="AD5706" s="16"/>
    </row>
    <row r="5707" spans="30:30" x14ac:dyDescent="0.3">
      <c r="AD5707" s="16"/>
    </row>
    <row r="5708" spans="30:30" x14ac:dyDescent="0.3">
      <c r="AD5708" s="16"/>
    </row>
    <row r="5709" spans="30:30" x14ac:dyDescent="0.3">
      <c r="AD5709" s="16"/>
    </row>
    <row r="5710" spans="30:30" x14ac:dyDescent="0.3">
      <c r="AD5710" s="16"/>
    </row>
    <row r="5711" spans="30:30" x14ac:dyDescent="0.3">
      <c r="AD5711" s="16"/>
    </row>
    <row r="5712" spans="30:30" x14ac:dyDescent="0.3">
      <c r="AD5712" s="16"/>
    </row>
    <row r="5713" spans="30:30" x14ac:dyDescent="0.3">
      <c r="AD5713" s="16"/>
    </row>
    <row r="5714" spans="30:30" x14ac:dyDescent="0.3">
      <c r="AD5714" s="16"/>
    </row>
    <row r="5715" spans="30:30" x14ac:dyDescent="0.3">
      <c r="AD5715" s="16"/>
    </row>
    <row r="5716" spans="30:30" x14ac:dyDescent="0.3">
      <c r="AD5716" s="16"/>
    </row>
    <row r="5717" spans="30:30" x14ac:dyDescent="0.3">
      <c r="AD5717" s="16"/>
    </row>
    <row r="5718" spans="30:30" x14ac:dyDescent="0.3">
      <c r="AD5718" s="16"/>
    </row>
    <row r="5719" spans="30:30" x14ac:dyDescent="0.3">
      <c r="AD5719" s="16"/>
    </row>
    <row r="5720" spans="30:30" x14ac:dyDescent="0.3">
      <c r="AD5720" s="16"/>
    </row>
    <row r="5721" spans="30:30" x14ac:dyDescent="0.3">
      <c r="AD5721" s="16"/>
    </row>
    <row r="5722" spans="30:30" x14ac:dyDescent="0.3">
      <c r="AD5722" s="16"/>
    </row>
    <row r="5723" spans="30:30" x14ac:dyDescent="0.3">
      <c r="AD5723" s="16"/>
    </row>
    <row r="5724" spans="30:30" x14ac:dyDescent="0.3">
      <c r="AD5724" s="16"/>
    </row>
    <row r="5725" spans="30:30" x14ac:dyDescent="0.3">
      <c r="AD5725" s="16"/>
    </row>
    <row r="5726" spans="30:30" x14ac:dyDescent="0.3">
      <c r="AD5726" s="16"/>
    </row>
    <row r="5727" spans="30:30" x14ac:dyDescent="0.3">
      <c r="AD5727" s="16"/>
    </row>
    <row r="5728" spans="30:30" x14ac:dyDescent="0.3">
      <c r="AD5728" s="16"/>
    </row>
    <row r="5729" spans="30:30" x14ac:dyDescent="0.3">
      <c r="AD5729" s="16"/>
    </row>
    <row r="5730" spans="30:30" x14ac:dyDescent="0.3">
      <c r="AD5730" s="16"/>
    </row>
    <row r="5731" spans="30:30" x14ac:dyDescent="0.3">
      <c r="AD5731" s="16"/>
    </row>
    <row r="5732" spans="30:30" x14ac:dyDescent="0.3">
      <c r="AD5732" s="16"/>
    </row>
    <row r="5733" spans="30:30" x14ac:dyDescent="0.3">
      <c r="AD5733" s="16"/>
    </row>
    <row r="5734" spans="30:30" x14ac:dyDescent="0.3">
      <c r="AD5734" s="16"/>
    </row>
    <row r="5735" spans="30:30" x14ac:dyDescent="0.3">
      <c r="AD5735" s="16"/>
    </row>
    <row r="5736" spans="30:30" x14ac:dyDescent="0.3">
      <c r="AD5736" s="16"/>
    </row>
    <row r="5737" spans="30:30" x14ac:dyDescent="0.3">
      <c r="AD5737" s="16"/>
    </row>
    <row r="5738" spans="30:30" x14ac:dyDescent="0.3">
      <c r="AD5738" s="16"/>
    </row>
    <row r="5739" spans="30:30" x14ac:dyDescent="0.3">
      <c r="AD5739" s="16"/>
    </row>
    <row r="5740" spans="30:30" x14ac:dyDescent="0.3">
      <c r="AD5740" s="16"/>
    </row>
    <row r="5741" spans="30:30" x14ac:dyDescent="0.3">
      <c r="AD5741" s="16"/>
    </row>
    <row r="5742" spans="30:30" x14ac:dyDescent="0.3">
      <c r="AD5742" s="16"/>
    </row>
    <row r="5743" spans="30:30" x14ac:dyDescent="0.3">
      <c r="AD5743" s="16"/>
    </row>
    <row r="5744" spans="30:30" x14ac:dyDescent="0.3">
      <c r="AD5744" s="16"/>
    </row>
    <row r="5745" spans="30:30" x14ac:dyDescent="0.3">
      <c r="AD5745" s="16"/>
    </row>
    <row r="5746" spans="30:30" x14ac:dyDescent="0.3">
      <c r="AD5746" s="16"/>
    </row>
    <row r="5747" spans="30:30" x14ac:dyDescent="0.3">
      <c r="AD5747" s="16"/>
    </row>
    <row r="5748" spans="30:30" x14ac:dyDescent="0.3">
      <c r="AD5748" s="16"/>
    </row>
    <row r="5749" spans="30:30" x14ac:dyDescent="0.3">
      <c r="AD5749" s="16"/>
    </row>
    <row r="5750" spans="30:30" x14ac:dyDescent="0.3">
      <c r="AD5750" s="16"/>
    </row>
    <row r="5751" spans="30:30" x14ac:dyDescent="0.3">
      <c r="AD5751" s="16"/>
    </row>
    <row r="5752" spans="30:30" x14ac:dyDescent="0.3">
      <c r="AD5752" s="16"/>
    </row>
    <row r="5753" spans="30:30" x14ac:dyDescent="0.3">
      <c r="AD5753" s="16"/>
    </row>
    <row r="5754" spans="30:30" x14ac:dyDescent="0.3">
      <c r="AD5754" s="16"/>
    </row>
    <row r="5755" spans="30:30" x14ac:dyDescent="0.3">
      <c r="AD5755" s="16"/>
    </row>
    <row r="5756" spans="30:30" x14ac:dyDescent="0.3">
      <c r="AD5756" s="16"/>
    </row>
    <row r="5757" spans="30:30" x14ac:dyDescent="0.3">
      <c r="AD5757" s="16"/>
    </row>
    <row r="5758" spans="30:30" x14ac:dyDescent="0.3">
      <c r="AD5758" s="16"/>
    </row>
    <row r="5759" spans="30:30" x14ac:dyDescent="0.3">
      <c r="AD5759" s="16"/>
    </row>
    <row r="5760" spans="30:30" x14ac:dyDescent="0.3">
      <c r="AD5760" s="16"/>
    </row>
    <row r="5761" spans="30:30" x14ac:dyDescent="0.3">
      <c r="AD5761" s="16"/>
    </row>
    <row r="5762" spans="30:30" x14ac:dyDescent="0.3">
      <c r="AD5762" s="16"/>
    </row>
    <row r="5763" spans="30:30" x14ac:dyDescent="0.3">
      <c r="AD5763" s="16"/>
    </row>
    <row r="5764" spans="30:30" x14ac:dyDescent="0.3">
      <c r="AD5764" s="16"/>
    </row>
    <row r="5765" spans="30:30" x14ac:dyDescent="0.3">
      <c r="AD5765" s="16"/>
    </row>
    <row r="5766" spans="30:30" x14ac:dyDescent="0.3">
      <c r="AD5766" s="16"/>
    </row>
    <row r="5767" spans="30:30" x14ac:dyDescent="0.3">
      <c r="AD5767" s="16"/>
    </row>
    <row r="5768" spans="30:30" x14ac:dyDescent="0.3">
      <c r="AD5768" s="16"/>
    </row>
    <row r="5769" spans="30:30" x14ac:dyDescent="0.3">
      <c r="AD5769" s="16"/>
    </row>
    <row r="5770" spans="30:30" x14ac:dyDescent="0.3">
      <c r="AD5770" s="16"/>
    </row>
    <row r="5771" spans="30:30" x14ac:dyDescent="0.3">
      <c r="AD5771" s="16"/>
    </row>
    <row r="5772" spans="30:30" x14ac:dyDescent="0.3">
      <c r="AD5772" s="16"/>
    </row>
    <row r="5773" spans="30:30" x14ac:dyDescent="0.3">
      <c r="AD5773" s="16"/>
    </row>
    <row r="5774" spans="30:30" x14ac:dyDescent="0.3">
      <c r="AD5774" s="16"/>
    </row>
    <row r="5775" spans="30:30" x14ac:dyDescent="0.3">
      <c r="AD5775" s="16"/>
    </row>
    <row r="5776" spans="30:30" x14ac:dyDescent="0.3">
      <c r="AD5776" s="16"/>
    </row>
    <row r="5777" spans="30:30" x14ac:dyDescent="0.3">
      <c r="AD5777" s="16"/>
    </row>
    <row r="5778" spans="30:30" x14ac:dyDescent="0.3">
      <c r="AD5778" s="16"/>
    </row>
    <row r="5779" spans="30:30" x14ac:dyDescent="0.3">
      <c r="AD5779" s="16"/>
    </row>
    <row r="5780" spans="30:30" x14ac:dyDescent="0.3">
      <c r="AD5780" s="16"/>
    </row>
    <row r="5781" spans="30:30" x14ac:dyDescent="0.3">
      <c r="AD5781" s="16"/>
    </row>
    <row r="5782" spans="30:30" x14ac:dyDescent="0.3">
      <c r="AD5782" s="16"/>
    </row>
    <row r="5783" spans="30:30" x14ac:dyDescent="0.3">
      <c r="AD5783" s="16"/>
    </row>
    <row r="5784" spans="30:30" x14ac:dyDescent="0.3">
      <c r="AD5784" s="16"/>
    </row>
    <row r="5785" spans="30:30" x14ac:dyDescent="0.3">
      <c r="AD5785" s="16"/>
    </row>
    <row r="5786" spans="30:30" x14ac:dyDescent="0.3">
      <c r="AD5786" s="16"/>
    </row>
    <row r="5787" spans="30:30" x14ac:dyDescent="0.3">
      <c r="AD5787" s="16"/>
    </row>
    <row r="5788" spans="30:30" x14ac:dyDescent="0.3">
      <c r="AD5788" s="16"/>
    </row>
    <row r="5789" spans="30:30" x14ac:dyDescent="0.3">
      <c r="AD5789" s="16"/>
    </row>
    <row r="5790" spans="30:30" x14ac:dyDescent="0.3">
      <c r="AD5790" s="16"/>
    </row>
    <row r="5791" spans="30:30" x14ac:dyDescent="0.3">
      <c r="AD5791" s="16"/>
    </row>
    <row r="5792" spans="30:30" x14ac:dyDescent="0.3">
      <c r="AD5792" s="16"/>
    </row>
    <row r="5793" spans="30:30" x14ac:dyDescent="0.3">
      <c r="AD5793" s="16"/>
    </row>
    <row r="5794" spans="30:30" x14ac:dyDescent="0.3">
      <c r="AD5794" s="16"/>
    </row>
    <row r="5795" spans="30:30" x14ac:dyDescent="0.3">
      <c r="AD5795" s="16"/>
    </row>
    <row r="5796" spans="30:30" x14ac:dyDescent="0.3">
      <c r="AD5796" s="16"/>
    </row>
    <row r="5797" spans="30:30" x14ac:dyDescent="0.3">
      <c r="AD5797" s="16"/>
    </row>
    <row r="5798" spans="30:30" x14ac:dyDescent="0.3">
      <c r="AD5798" s="16"/>
    </row>
    <row r="5799" spans="30:30" x14ac:dyDescent="0.3">
      <c r="AD5799" s="16"/>
    </row>
    <row r="5800" spans="30:30" x14ac:dyDescent="0.3">
      <c r="AD5800" s="16"/>
    </row>
    <row r="5801" spans="30:30" x14ac:dyDescent="0.3">
      <c r="AD5801" s="16"/>
    </row>
    <row r="5802" spans="30:30" x14ac:dyDescent="0.3">
      <c r="AD5802" s="16"/>
    </row>
    <row r="5803" spans="30:30" x14ac:dyDescent="0.3">
      <c r="AD5803" s="16"/>
    </row>
    <row r="5804" spans="30:30" x14ac:dyDescent="0.3">
      <c r="AD5804" s="16"/>
    </row>
    <row r="5805" spans="30:30" x14ac:dyDescent="0.3">
      <c r="AD5805" s="16"/>
    </row>
    <row r="5806" spans="30:30" x14ac:dyDescent="0.3">
      <c r="AD5806" s="16"/>
    </row>
    <row r="5807" spans="30:30" x14ac:dyDescent="0.3">
      <c r="AD5807" s="16"/>
    </row>
    <row r="5808" spans="30:30" x14ac:dyDescent="0.3">
      <c r="AD5808" s="16"/>
    </row>
    <row r="5809" spans="30:30" x14ac:dyDescent="0.3">
      <c r="AD5809" s="16"/>
    </row>
    <row r="5810" spans="30:30" x14ac:dyDescent="0.3">
      <c r="AD5810" s="16"/>
    </row>
    <row r="5811" spans="30:30" x14ac:dyDescent="0.3">
      <c r="AD5811" s="16"/>
    </row>
    <row r="5812" spans="30:30" x14ac:dyDescent="0.3">
      <c r="AD5812" s="16"/>
    </row>
    <row r="5813" spans="30:30" x14ac:dyDescent="0.3">
      <c r="AD5813" s="16"/>
    </row>
    <row r="5814" spans="30:30" x14ac:dyDescent="0.3">
      <c r="AD5814" s="16"/>
    </row>
    <row r="5815" spans="30:30" x14ac:dyDescent="0.3">
      <c r="AD5815" s="16"/>
    </row>
    <row r="5816" spans="30:30" x14ac:dyDescent="0.3">
      <c r="AD5816" s="16"/>
    </row>
    <row r="5817" spans="30:30" x14ac:dyDescent="0.3">
      <c r="AD5817" s="16"/>
    </row>
    <row r="5818" spans="30:30" x14ac:dyDescent="0.3">
      <c r="AD5818" s="16"/>
    </row>
    <row r="5819" spans="30:30" x14ac:dyDescent="0.3">
      <c r="AD5819" s="16"/>
    </row>
    <row r="5820" spans="30:30" x14ac:dyDescent="0.3">
      <c r="AD5820" s="16"/>
    </row>
    <row r="5821" spans="30:30" x14ac:dyDescent="0.3">
      <c r="AD5821" s="16"/>
    </row>
    <row r="5822" spans="30:30" x14ac:dyDescent="0.3">
      <c r="AD5822" s="16"/>
    </row>
    <row r="5823" spans="30:30" x14ac:dyDescent="0.3">
      <c r="AD5823" s="16"/>
    </row>
    <row r="5824" spans="30:30" x14ac:dyDescent="0.3">
      <c r="AD5824" s="16"/>
    </row>
    <row r="5825" spans="30:30" x14ac:dyDescent="0.3">
      <c r="AD5825" s="16"/>
    </row>
    <row r="5826" spans="30:30" x14ac:dyDescent="0.3">
      <c r="AD5826" s="16"/>
    </row>
    <row r="5827" spans="30:30" x14ac:dyDescent="0.3">
      <c r="AD5827" s="16"/>
    </row>
    <row r="5828" spans="30:30" x14ac:dyDescent="0.3">
      <c r="AD5828" s="16"/>
    </row>
    <row r="5829" spans="30:30" x14ac:dyDescent="0.3">
      <c r="AD5829" s="16"/>
    </row>
    <row r="5830" spans="30:30" x14ac:dyDescent="0.3">
      <c r="AD5830" s="16"/>
    </row>
    <row r="5831" spans="30:30" x14ac:dyDescent="0.3">
      <c r="AD5831" s="16"/>
    </row>
    <row r="5832" spans="30:30" x14ac:dyDescent="0.3">
      <c r="AD5832" s="16"/>
    </row>
    <row r="5833" spans="30:30" x14ac:dyDescent="0.3">
      <c r="AD5833" s="16"/>
    </row>
    <row r="5834" spans="30:30" x14ac:dyDescent="0.3">
      <c r="AD5834" s="16"/>
    </row>
    <row r="5835" spans="30:30" x14ac:dyDescent="0.3">
      <c r="AD5835" s="16"/>
    </row>
    <row r="5836" spans="30:30" x14ac:dyDescent="0.3">
      <c r="AD5836" s="16"/>
    </row>
    <row r="5837" spans="30:30" x14ac:dyDescent="0.3">
      <c r="AD5837" s="16"/>
    </row>
    <row r="5838" spans="30:30" x14ac:dyDescent="0.3">
      <c r="AD5838" s="16"/>
    </row>
    <row r="5839" spans="30:30" x14ac:dyDescent="0.3">
      <c r="AD5839" s="16"/>
    </row>
    <row r="5840" spans="30:30" x14ac:dyDescent="0.3">
      <c r="AD5840" s="16"/>
    </row>
    <row r="5841" spans="30:30" x14ac:dyDescent="0.3">
      <c r="AD5841" s="16"/>
    </row>
    <row r="5842" spans="30:30" x14ac:dyDescent="0.3">
      <c r="AD5842" s="16"/>
    </row>
    <row r="5843" spans="30:30" x14ac:dyDescent="0.3">
      <c r="AD5843" s="16"/>
    </row>
    <row r="5844" spans="30:30" x14ac:dyDescent="0.3">
      <c r="AD5844" s="16"/>
    </row>
    <row r="5845" spans="30:30" x14ac:dyDescent="0.3">
      <c r="AD5845" s="16"/>
    </row>
    <row r="5846" spans="30:30" x14ac:dyDescent="0.3">
      <c r="AD5846" s="16"/>
    </row>
    <row r="5847" spans="30:30" x14ac:dyDescent="0.3">
      <c r="AD5847" s="16"/>
    </row>
    <row r="5848" spans="30:30" x14ac:dyDescent="0.3">
      <c r="AD5848" s="16"/>
    </row>
    <row r="5849" spans="30:30" x14ac:dyDescent="0.3">
      <c r="AD5849" s="16"/>
    </row>
    <row r="5850" spans="30:30" x14ac:dyDescent="0.3">
      <c r="AD5850" s="16"/>
    </row>
    <row r="5851" spans="30:30" x14ac:dyDescent="0.3">
      <c r="AD5851" s="16"/>
    </row>
    <row r="5852" spans="30:30" x14ac:dyDescent="0.3">
      <c r="AD5852" s="16"/>
    </row>
    <row r="5853" spans="30:30" x14ac:dyDescent="0.3">
      <c r="AD5853" s="16"/>
    </row>
    <row r="5854" spans="30:30" x14ac:dyDescent="0.3">
      <c r="AD5854" s="16"/>
    </row>
    <row r="5855" spans="30:30" x14ac:dyDescent="0.3">
      <c r="AD5855" s="16"/>
    </row>
    <row r="5856" spans="30:30" x14ac:dyDescent="0.3">
      <c r="AD5856" s="16"/>
    </row>
    <row r="5857" spans="30:30" x14ac:dyDescent="0.3">
      <c r="AD5857" s="16"/>
    </row>
    <row r="5858" spans="30:30" x14ac:dyDescent="0.3">
      <c r="AD5858" s="16"/>
    </row>
    <row r="5859" spans="30:30" x14ac:dyDescent="0.3">
      <c r="AD5859" s="16"/>
    </row>
    <row r="5860" spans="30:30" x14ac:dyDescent="0.3">
      <c r="AD5860" s="16"/>
    </row>
    <row r="5861" spans="30:30" x14ac:dyDescent="0.3">
      <c r="AD5861" s="16"/>
    </row>
    <row r="5862" spans="30:30" x14ac:dyDescent="0.3">
      <c r="AD5862" s="16"/>
    </row>
    <row r="5863" spans="30:30" x14ac:dyDescent="0.3">
      <c r="AD5863" s="16"/>
    </row>
    <row r="5864" spans="30:30" x14ac:dyDescent="0.3">
      <c r="AD5864" s="16"/>
    </row>
    <row r="5865" spans="30:30" x14ac:dyDescent="0.3">
      <c r="AD5865" s="16"/>
    </row>
    <row r="5866" spans="30:30" x14ac:dyDescent="0.3">
      <c r="AD5866" s="16"/>
    </row>
    <row r="5867" spans="30:30" x14ac:dyDescent="0.3">
      <c r="AD5867" s="16"/>
    </row>
    <row r="5868" spans="30:30" x14ac:dyDescent="0.3">
      <c r="AD5868" s="16"/>
    </row>
    <row r="5869" spans="30:30" x14ac:dyDescent="0.3">
      <c r="AD5869" s="16"/>
    </row>
    <row r="5870" spans="30:30" x14ac:dyDescent="0.3">
      <c r="AD5870" s="16"/>
    </row>
    <row r="5871" spans="30:30" x14ac:dyDescent="0.3">
      <c r="AD5871" s="16"/>
    </row>
    <row r="5872" spans="30:30" x14ac:dyDescent="0.3">
      <c r="AD5872" s="16"/>
    </row>
    <row r="5873" spans="30:30" x14ac:dyDescent="0.3">
      <c r="AD5873" s="16"/>
    </row>
    <row r="5874" spans="30:30" x14ac:dyDescent="0.3">
      <c r="AD5874" s="16"/>
    </row>
    <row r="5875" spans="30:30" x14ac:dyDescent="0.3">
      <c r="AD5875" s="16"/>
    </row>
    <row r="5876" spans="30:30" x14ac:dyDescent="0.3">
      <c r="AD5876" s="16"/>
    </row>
    <row r="5877" spans="30:30" x14ac:dyDescent="0.3">
      <c r="AD5877" s="16"/>
    </row>
    <row r="5878" spans="30:30" x14ac:dyDescent="0.3">
      <c r="AD5878" s="16"/>
    </row>
    <row r="5879" spans="30:30" x14ac:dyDescent="0.3">
      <c r="AD5879" s="16"/>
    </row>
    <row r="5880" spans="30:30" x14ac:dyDescent="0.3">
      <c r="AD5880" s="16"/>
    </row>
    <row r="5881" spans="30:30" x14ac:dyDescent="0.3">
      <c r="AD5881" s="16"/>
    </row>
    <row r="5882" spans="30:30" x14ac:dyDescent="0.3">
      <c r="AD5882" s="16"/>
    </row>
    <row r="5883" spans="30:30" x14ac:dyDescent="0.3">
      <c r="AD5883" s="16"/>
    </row>
    <row r="5884" spans="30:30" x14ac:dyDescent="0.3">
      <c r="AD5884" s="16"/>
    </row>
    <row r="5885" spans="30:30" x14ac:dyDescent="0.3">
      <c r="AD5885" s="16"/>
    </row>
    <row r="5886" spans="30:30" x14ac:dyDescent="0.3">
      <c r="AD5886" s="16"/>
    </row>
    <row r="5887" spans="30:30" x14ac:dyDescent="0.3">
      <c r="AD5887" s="16"/>
    </row>
    <row r="5888" spans="30:30" x14ac:dyDescent="0.3">
      <c r="AD5888" s="16"/>
    </row>
    <row r="5889" spans="30:30" x14ac:dyDescent="0.3">
      <c r="AD5889" s="16"/>
    </row>
    <row r="5890" spans="30:30" x14ac:dyDescent="0.3">
      <c r="AD5890" s="16"/>
    </row>
    <row r="5891" spans="30:30" x14ac:dyDescent="0.3">
      <c r="AD5891" s="16"/>
    </row>
    <row r="5892" spans="30:30" x14ac:dyDescent="0.3">
      <c r="AD5892" s="16"/>
    </row>
    <row r="5893" spans="30:30" x14ac:dyDescent="0.3">
      <c r="AD5893" s="16"/>
    </row>
    <row r="5894" spans="30:30" x14ac:dyDescent="0.3">
      <c r="AD5894" s="16"/>
    </row>
    <row r="5895" spans="30:30" x14ac:dyDescent="0.3">
      <c r="AD5895" s="16"/>
    </row>
    <row r="5896" spans="30:30" x14ac:dyDescent="0.3">
      <c r="AD5896" s="16"/>
    </row>
    <row r="5897" spans="30:30" x14ac:dyDescent="0.3">
      <c r="AD5897" s="16"/>
    </row>
    <row r="5898" spans="30:30" x14ac:dyDescent="0.3">
      <c r="AD5898" s="16"/>
    </row>
    <row r="5899" spans="30:30" x14ac:dyDescent="0.3">
      <c r="AD5899" s="16"/>
    </row>
    <row r="5900" spans="30:30" x14ac:dyDescent="0.3">
      <c r="AD5900" s="16"/>
    </row>
    <row r="5901" spans="30:30" x14ac:dyDescent="0.3">
      <c r="AD5901" s="16"/>
    </row>
    <row r="5902" spans="30:30" x14ac:dyDescent="0.3">
      <c r="AD5902" s="16"/>
    </row>
    <row r="5903" spans="30:30" x14ac:dyDescent="0.3">
      <c r="AD5903" s="16"/>
    </row>
    <row r="5904" spans="30:30" x14ac:dyDescent="0.3">
      <c r="AD5904" s="16"/>
    </row>
    <row r="5905" spans="30:30" x14ac:dyDescent="0.3">
      <c r="AD5905" s="16"/>
    </row>
    <row r="5906" spans="30:30" x14ac:dyDescent="0.3">
      <c r="AD5906" s="16"/>
    </row>
    <row r="5907" spans="30:30" x14ac:dyDescent="0.3">
      <c r="AD5907" s="16"/>
    </row>
    <row r="5908" spans="30:30" x14ac:dyDescent="0.3">
      <c r="AD5908" s="16"/>
    </row>
    <row r="5909" spans="30:30" x14ac:dyDescent="0.3">
      <c r="AD5909" s="16"/>
    </row>
    <row r="5910" spans="30:30" x14ac:dyDescent="0.3">
      <c r="AD5910" s="16"/>
    </row>
    <row r="5911" spans="30:30" x14ac:dyDescent="0.3">
      <c r="AD5911" s="16"/>
    </row>
    <row r="5912" spans="30:30" x14ac:dyDescent="0.3">
      <c r="AD5912" s="16"/>
    </row>
    <row r="5913" spans="30:30" x14ac:dyDescent="0.3">
      <c r="AD5913" s="16"/>
    </row>
    <row r="5914" spans="30:30" x14ac:dyDescent="0.3">
      <c r="AD5914" s="16"/>
    </row>
    <row r="5915" spans="30:30" x14ac:dyDescent="0.3">
      <c r="AD5915" s="16"/>
    </row>
    <row r="5916" spans="30:30" x14ac:dyDescent="0.3">
      <c r="AD5916" s="16"/>
    </row>
    <row r="5917" spans="30:30" x14ac:dyDescent="0.3">
      <c r="AD5917" s="16"/>
    </row>
    <row r="5918" spans="30:30" x14ac:dyDescent="0.3">
      <c r="AD5918" s="16"/>
    </row>
    <row r="5919" spans="30:30" x14ac:dyDescent="0.3">
      <c r="AD5919" s="16"/>
    </row>
    <row r="5920" spans="30:30" x14ac:dyDescent="0.3">
      <c r="AD5920" s="16"/>
    </row>
    <row r="5921" spans="30:30" x14ac:dyDescent="0.3">
      <c r="AD5921" s="16"/>
    </row>
    <row r="5922" spans="30:30" x14ac:dyDescent="0.3">
      <c r="AD5922" s="16"/>
    </row>
    <row r="5923" spans="30:30" x14ac:dyDescent="0.3">
      <c r="AD5923" s="16"/>
    </row>
    <row r="5924" spans="30:30" x14ac:dyDescent="0.3">
      <c r="AD5924" s="16"/>
    </row>
    <row r="5925" spans="30:30" x14ac:dyDescent="0.3">
      <c r="AD5925" s="16"/>
    </row>
    <row r="5926" spans="30:30" x14ac:dyDescent="0.3">
      <c r="AD5926" s="16"/>
    </row>
    <row r="5927" spans="30:30" x14ac:dyDescent="0.3">
      <c r="AD5927" s="16"/>
    </row>
    <row r="5928" spans="30:30" x14ac:dyDescent="0.3">
      <c r="AD5928" s="16"/>
    </row>
    <row r="5929" spans="30:30" x14ac:dyDescent="0.3">
      <c r="AD5929" s="16"/>
    </row>
    <row r="5930" spans="30:30" x14ac:dyDescent="0.3">
      <c r="AD5930" s="16"/>
    </row>
    <row r="5931" spans="30:30" x14ac:dyDescent="0.3">
      <c r="AD5931" s="16"/>
    </row>
    <row r="5932" spans="30:30" x14ac:dyDescent="0.3">
      <c r="AD5932" s="16"/>
    </row>
    <row r="5933" spans="30:30" x14ac:dyDescent="0.3">
      <c r="AD5933" s="16"/>
    </row>
    <row r="5934" spans="30:30" x14ac:dyDescent="0.3">
      <c r="AD5934" s="16"/>
    </row>
    <row r="5935" spans="30:30" x14ac:dyDescent="0.3">
      <c r="AD5935" s="16"/>
    </row>
    <row r="5936" spans="30:30" x14ac:dyDescent="0.3">
      <c r="AD5936" s="16"/>
    </row>
    <row r="5937" spans="30:30" x14ac:dyDescent="0.3">
      <c r="AD5937" s="16"/>
    </row>
    <row r="5938" spans="30:30" x14ac:dyDescent="0.3">
      <c r="AD5938" s="16"/>
    </row>
    <row r="5939" spans="30:30" x14ac:dyDescent="0.3">
      <c r="AD5939" s="16"/>
    </row>
    <row r="5940" spans="30:30" x14ac:dyDescent="0.3">
      <c r="AD5940" s="16"/>
    </row>
    <row r="5941" spans="30:30" x14ac:dyDescent="0.3">
      <c r="AD5941" s="16"/>
    </row>
    <row r="5942" spans="30:30" x14ac:dyDescent="0.3">
      <c r="AD5942" s="16"/>
    </row>
    <row r="5943" spans="30:30" x14ac:dyDescent="0.3">
      <c r="AD5943" s="16"/>
    </row>
    <row r="5944" spans="30:30" x14ac:dyDescent="0.3">
      <c r="AD5944" s="16"/>
    </row>
    <row r="5945" spans="30:30" x14ac:dyDescent="0.3">
      <c r="AD5945" s="16"/>
    </row>
    <row r="5946" spans="30:30" x14ac:dyDescent="0.3">
      <c r="AD5946" s="16"/>
    </row>
    <row r="5947" spans="30:30" x14ac:dyDescent="0.3">
      <c r="AD5947" s="16"/>
    </row>
    <row r="5948" spans="30:30" x14ac:dyDescent="0.3">
      <c r="AD5948" s="16"/>
    </row>
    <row r="5949" spans="30:30" x14ac:dyDescent="0.3">
      <c r="AD5949" s="16"/>
    </row>
    <row r="5950" spans="30:30" x14ac:dyDescent="0.3">
      <c r="AD5950" s="16"/>
    </row>
    <row r="5951" spans="30:30" x14ac:dyDescent="0.3">
      <c r="AD5951" s="16"/>
    </row>
    <row r="5952" spans="30:30" x14ac:dyDescent="0.3">
      <c r="AD5952" s="16"/>
    </row>
    <row r="5953" spans="30:30" x14ac:dyDescent="0.3">
      <c r="AD5953" s="16"/>
    </row>
    <row r="5954" spans="30:30" x14ac:dyDescent="0.3">
      <c r="AD5954" s="16"/>
    </row>
    <row r="5955" spans="30:30" x14ac:dyDescent="0.3">
      <c r="AD5955" s="16"/>
    </row>
    <row r="5956" spans="30:30" x14ac:dyDescent="0.3">
      <c r="AD5956" s="16"/>
    </row>
    <row r="5957" spans="30:30" x14ac:dyDescent="0.3">
      <c r="AD5957" s="16"/>
    </row>
    <row r="5958" spans="30:30" x14ac:dyDescent="0.3">
      <c r="AD5958" s="16"/>
    </row>
    <row r="5959" spans="30:30" x14ac:dyDescent="0.3">
      <c r="AD5959" s="16"/>
    </row>
    <row r="5960" spans="30:30" x14ac:dyDescent="0.3">
      <c r="AD5960" s="16"/>
    </row>
    <row r="5961" spans="30:30" x14ac:dyDescent="0.3">
      <c r="AD5961" s="16"/>
    </row>
    <row r="5962" spans="30:30" x14ac:dyDescent="0.3">
      <c r="AD5962" s="16"/>
    </row>
    <row r="5963" spans="30:30" x14ac:dyDescent="0.3">
      <c r="AD5963" s="16"/>
    </row>
    <row r="5964" spans="30:30" x14ac:dyDescent="0.3">
      <c r="AD5964" s="16"/>
    </row>
    <row r="5965" spans="30:30" x14ac:dyDescent="0.3">
      <c r="AD5965" s="16"/>
    </row>
    <row r="5966" spans="30:30" x14ac:dyDescent="0.3">
      <c r="AD5966" s="16"/>
    </row>
    <row r="5967" spans="30:30" x14ac:dyDescent="0.3">
      <c r="AD5967" s="16"/>
    </row>
    <row r="5968" spans="30:30" x14ac:dyDescent="0.3">
      <c r="AD5968" s="16"/>
    </row>
    <row r="5969" spans="30:30" x14ac:dyDescent="0.3">
      <c r="AD5969" s="16"/>
    </row>
    <row r="5970" spans="30:30" x14ac:dyDescent="0.3">
      <c r="AD5970" s="16"/>
    </row>
    <row r="5971" spans="30:30" x14ac:dyDescent="0.3">
      <c r="AD5971" s="16"/>
    </row>
    <row r="5972" spans="30:30" x14ac:dyDescent="0.3">
      <c r="AD5972" s="16"/>
    </row>
    <row r="5973" spans="30:30" x14ac:dyDescent="0.3">
      <c r="AD5973" s="16"/>
    </row>
    <row r="5974" spans="30:30" x14ac:dyDescent="0.3">
      <c r="AD5974" s="16"/>
    </row>
    <row r="5975" spans="30:30" x14ac:dyDescent="0.3">
      <c r="AD5975" s="16"/>
    </row>
    <row r="5976" spans="30:30" x14ac:dyDescent="0.3">
      <c r="AD5976" s="16"/>
    </row>
    <row r="5977" spans="30:30" x14ac:dyDescent="0.3">
      <c r="AD5977" s="16"/>
    </row>
    <row r="5978" spans="30:30" x14ac:dyDescent="0.3">
      <c r="AD5978" s="16"/>
    </row>
    <row r="5979" spans="30:30" x14ac:dyDescent="0.3">
      <c r="AD5979" s="16"/>
    </row>
    <row r="5980" spans="30:30" x14ac:dyDescent="0.3">
      <c r="AD5980" s="16"/>
    </row>
    <row r="5981" spans="30:30" x14ac:dyDescent="0.3">
      <c r="AD5981" s="16"/>
    </row>
    <row r="5982" spans="30:30" x14ac:dyDescent="0.3">
      <c r="AD5982" s="16"/>
    </row>
    <row r="5983" spans="30:30" x14ac:dyDescent="0.3">
      <c r="AD5983" s="16"/>
    </row>
    <row r="5984" spans="30:30" x14ac:dyDescent="0.3">
      <c r="AD5984" s="16"/>
    </row>
    <row r="5985" spans="30:30" x14ac:dyDescent="0.3">
      <c r="AD5985" s="16"/>
    </row>
    <row r="5986" spans="30:30" x14ac:dyDescent="0.3">
      <c r="AD5986" s="16"/>
    </row>
    <row r="5987" spans="30:30" x14ac:dyDescent="0.3">
      <c r="AD5987" s="16"/>
    </row>
    <row r="5988" spans="30:30" x14ac:dyDescent="0.3">
      <c r="AD5988" s="16"/>
    </row>
    <row r="5989" spans="30:30" x14ac:dyDescent="0.3">
      <c r="AD5989" s="16"/>
    </row>
    <row r="5990" spans="30:30" x14ac:dyDescent="0.3">
      <c r="AD5990" s="16"/>
    </row>
    <row r="5991" spans="30:30" x14ac:dyDescent="0.3">
      <c r="AD5991" s="16"/>
    </row>
    <row r="5992" spans="30:30" x14ac:dyDescent="0.3">
      <c r="AD5992" s="16"/>
    </row>
    <row r="5993" spans="30:30" x14ac:dyDescent="0.3">
      <c r="AD5993" s="16"/>
    </row>
    <row r="5994" spans="30:30" x14ac:dyDescent="0.3">
      <c r="AD5994" s="16"/>
    </row>
    <row r="5995" spans="30:30" x14ac:dyDescent="0.3">
      <c r="AD5995" s="16"/>
    </row>
    <row r="5996" spans="30:30" x14ac:dyDescent="0.3">
      <c r="AD5996" s="16"/>
    </row>
    <row r="5997" spans="30:30" x14ac:dyDescent="0.3">
      <c r="AD5997" s="16"/>
    </row>
    <row r="5998" spans="30:30" x14ac:dyDescent="0.3">
      <c r="AD5998" s="16"/>
    </row>
    <row r="5999" spans="30:30" x14ac:dyDescent="0.3">
      <c r="AD5999" s="16"/>
    </row>
    <row r="6000" spans="30:30" x14ac:dyDescent="0.3">
      <c r="AD6000" s="16"/>
    </row>
    <row r="6001" spans="30:30" x14ac:dyDescent="0.3">
      <c r="AD6001" s="16"/>
    </row>
    <row r="6002" spans="30:30" x14ac:dyDescent="0.3">
      <c r="AD6002" s="16"/>
    </row>
    <row r="6003" spans="30:30" x14ac:dyDescent="0.3">
      <c r="AD6003" s="16"/>
    </row>
    <row r="6004" spans="30:30" x14ac:dyDescent="0.3">
      <c r="AD6004" s="16"/>
    </row>
    <row r="6005" spans="30:30" x14ac:dyDescent="0.3">
      <c r="AD6005" s="16"/>
    </row>
    <row r="6006" spans="30:30" x14ac:dyDescent="0.3">
      <c r="AD6006" s="16"/>
    </row>
    <row r="6007" spans="30:30" x14ac:dyDescent="0.3">
      <c r="AD6007" s="16"/>
    </row>
    <row r="6008" spans="30:30" x14ac:dyDescent="0.3">
      <c r="AD6008" s="16"/>
    </row>
    <row r="6009" spans="30:30" x14ac:dyDescent="0.3">
      <c r="AD6009" s="16"/>
    </row>
    <row r="6010" spans="30:30" x14ac:dyDescent="0.3">
      <c r="AD6010" s="16"/>
    </row>
    <row r="6011" spans="30:30" x14ac:dyDescent="0.3">
      <c r="AD6011" s="16"/>
    </row>
    <row r="6012" spans="30:30" x14ac:dyDescent="0.3">
      <c r="AD6012" s="16"/>
    </row>
    <row r="6013" spans="30:30" x14ac:dyDescent="0.3">
      <c r="AD6013" s="16"/>
    </row>
    <row r="6014" spans="30:30" x14ac:dyDescent="0.3">
      <c r="AD6014" s="16"/>
    </row>
    <row r="6015" spans="30:30" x14ac:dyDescent="0.3">
      <c r="AD6015" s="16"/>
    </row>
    <row r="6016" spans="30:30" x14ac:dyDescent="0.3">
      <c r="AD6016" s="16"/>
    </row>
    <row r="6017" spans="30:30" x14ac:dyDescent="0.3">
      <c r="AD6017" s="16"/>
    </row>
    <row r="6018" spans="30:30" x14ac:dyDescent="0.3">
      <c r="AD6018" s="16"/>
    </row>
    <row r="6019" spans="30:30" x14ac:dyDescent="0.3">
      <c r="AD6019" s="16"/>
    </row>
    <row r="6020" spans="30:30" x14ac:dyDescent="0.3">
      <c r="AD6020" s="16"/>
    </row>
    <row r="6021" spans="30:30" x14ac:dyDescent="0.3">
      <c r="AD6021" s="16"/>
    </row>
    <row r="6022" spans="30:30" x14ac:dyDescent="0.3">
      <c r="AD6022" s="16"/>
    </row>
    <row r="6023" spans="30:30" x14ac:dyDescent="0.3">
      <c r="AD6023" s="16"/>
    </row>
    <row r="6024" spans="30:30" x14ac:dyDescent="0.3">
      <c r="AD6024" s="16"/>
    </row>
    <row r="6025" spans="30:30" x14ac:dyDescent="0.3">
      <c r="AD6025" s="16"/>
    </row>
    <row r="6026" spans="30:30" x14ac:dyDescent="0.3">
      <c r="AD6026" s="16"/>
    </row>
    <row r="6027" spans="30:30" x14ac:dyDescent="0.3">
      <c r="AD6027" s="16"/>
    </row>
    <row r="6028" spans="30:30" x14ac:dyDescent="0.3">
      <c r="AD6028" s="16"/>
    </row>
    <row r="6029" spans="30:30" x14ac:dyDescent="0.3">
      <c r="AD6029" s="16"/>
    </row>
    <row r="6030" spans="30:30" x14ac:dyDescent="0.3">
      <c r="AD6030" s="16"/>
    </row>
    <row r="6031" spans="30:30" x14ac:dyDescent="0.3">
      <c r="AD6031" s="16"/>
    </row>
    <row r="6032" spans="30:30" x14ac:dyDescent="0.3">
      <c r="AD6032" s="16"/>
    </row>
    <row r="6033" spans="30:30" x14ac:dyDescent="0.3">
      <c r="AD6033" s="16"/>
    </row>
    <row r="6034" spans="30:30" x14ac:dyDescent="0.3">
      <c r="AD6034" s="16"/>
    </row>
    <row r="6035" spans="30:30" x14ac:dyDescent="0.3">
      <c r="AD6035" s="16"/>
    </row>
    <row r="6036" spans="30:30" x14ac:dyDescent="0.3">
      <c r="AD6036" s="16"/>
    </row>
    <row r="6037" spans="30:30" x14ac:dyDescent="0.3">
      <c r="AD6037" s="16"/>
    </row>
    <row r="6038" spans="30:30" x14ac:dyDescent="0.3">
      <c r="AD6038" s="16"/>
    </row>
    <row r="6039" spans="30:30" x14ac:dyDescent="0.3">
      <c r="AD6039" s="16"/>
    </row>
    <row r="6040" spans="30:30" x14ac:dyDescent="0.3">
      <c r="AD6040" s="16"/>
    </row>
    <row r="6041" spans="30:30" x14ac:dyDescent="0.3">
      <c r="AD6041" s="16"/>
    </row>
    <row r="6042" spans="30:30" x14ac:dyDescent="0.3">
      <c r="AD6042" s="16"/>
    </row>
    <row r="6043" spans="30:30" x14ac:dyDescent="0.3">
      <c r="AD6043" s="16"/>
    </row>
    <row r="6044" spans="30:30" x14ac:dyDescent="0.3">
      <c r="AD6044" s="16"/>
    </row>
    <row r="6045" spans="30:30" x14ac:dyDescent="0.3">
      <c r="AD6045" s="16"/>
    </row>
    <row r="6046" spans="30:30" x14ac:dyDescent="0.3">
      <c r="AD6046" s="16"/>
    </row>
    <row r="6047" spans="30:30" x14ac:dyDescent="0.3">
      <c r="AD6047" s="16"/>
    </row>
    <row r="6048" spans="30:30" x14ac:dyDescent="0.3">
      <c r="AD6048" s="16"/>
    </row>
    <row r="6049" spans="30:30" x14ac:dyDescent="0.3">
      <c r="AD6049" s="16"/>
    </row>
    <row r="6050" spans="30:30" x14ac:dyDescent="0.3">
      <c r="AD6050" s="16"/>
    </row>
    <row r="6051" spans="30:30" x14ac:dyDescent="0.3">
      <c r="AD6051" s="16"/>
    </row>
    <row r="6052" spans="30:30" x14ac:dyDescent="0.3">
      <c r="AD6052" s="16"/>
    </row>
    <row r="6053" spans="30:30" x14ac:dyDescent="0.3">
      <c r="AD6053" s="16"/>
    </row>
    <row r="6054" spans="30:30" x14ac:dyDescent="0.3">
      <c r="AD6054" s="16"/>
    </row>
    <row r="6055" spans="30:30" x14ac:dyDescent="0.3">
      <c r="AD6055" s="16"/>
    </row>
    <row r="6056" spans="30:30" x14ac:dyDescent="0.3">
      <c r="AD6056" s="16"/>
    </row>
    <row r="6057" spans="30:30" x14ac:dyDescent="0.3">
      <c r="AD6057" s="16"/>
    </row>
    <row r="6058" spans="30:30" x14ac:dyDescent="0.3">
      <c r="AD6058" s="16"/>
    </row>
    <row r="6059" spans="30:30" x14ac:dyDescent="0.3">
      <c r="AD6059" s="16"/>
    </row>
    <row r="6060" spans="30:30" x14ac:dyDescent="0.3">
      <c r="AD6060" s="16"/>
    </row>
    <row r="6061" spans="30:30" x14ac:dyDescent="0.3">
      <c r="AD6061" s="16"/>
    </row>
    <row r="6062" spans="30:30" x14ac:dyDescent="0.3">
      <c r="AD6062" s="16"/>
    </row>
    <row r="6063" spans="30:30" x14ac:dyDescent="0.3">
      <c r="AD6063" s="16"/>
    </row>
    <row r="6064" spans="30:30" x14ac:dyDescent="0.3">
      <c r="AD6064" s="16"/>
    </row>
    <row r="6065" spans="30:30" x14ac:dyDescent="0.3">
      <c r="AD6065" s="16"/>
    </row>
    <row r="6066" spans="30:30" x14ac:dyDescent="0.3">
      <c r="AD6066" s="16"/>
    </row>
    <row r="6067" spans="30:30" x14ac:dyDescent="0.3">
      <c r="AD6067" s="16"/>
    </row>
    <row r="6068" spans="30:30" x14ac:dyDescent="0.3">
      <c r="AD6068" s="16"/>
    </row>
    <row r="6069" spans="30:30" x14ac:dyDescent="0.3">
      <c r="AD6069" s="16"/>
    </row>
    <row r="6070" spans="30:30" x14ac:dyDescent="0.3">
      <c r="AD6070" s="16"/>
    </row>
    <row r="6071" spans="30:30" x14ac:dyDescent="0.3">
      <c r="AD6071" s="16"/>
    </row>
    <row r="6072" spans="30:30" x14ac:dyDescent="0.3">
      <c r="AD6072" s="16"/>
    </row>
    <row r="6073" spans="30:30" x14ac:dyDescent="0.3">
      <c r="AD6073" s="16"/>
    </row>
    <row r="6074" spans="30:30" x14ac:dyDescent="0.3">
      <c r="AD6074" s="16"/>
    </row>
    <row r="6075" spans="30:30" x14ac:dyDescent="0.3">
      <c r="AD6075" s="16"/>
    </row>
    <row r="6076" spans="30:30" x14ac:dyDescent="0.3">
      <c r="AD6076" s="16"/>
    </row>
    <row r="6077" spans="30:30" x14ac:dyDescent="0.3">
      <c r="AD6077" s="16"/>
    </row>
    <row r="6078" spans="30:30" x14ac:dyDescent="0.3">
      <c r="AD6078" s="16"/>
    </row>
    <row r="6079" spans="30:30" x14ac:dyDescent="0.3">
      <c r="AD6079" s="16"/>
    </row>
    <row r="6080" spans="30:30" x14ac:dyDescent="0.3">
      <c r="AD6080" s="16"/>
    </row>
    <row r="6081" spans="30:30" x14ac:dyDescent="0.3">
      <c r="AD6081" s="16"/>
    </row>
    <row r="6082" spans="30:30" x14ac:dyDescent="0.3">
      <c r="AD6082" s="16"/>
    </row>
    <row r="6083" spans="30:30" x14ac:dyDescent="0.3">
      <c r="AD6083" s="16"/>
    </row>
    <row r="6084" spans="30:30" x14ac:dyDescent="0.3">
      <c r="AD6084" s="16"/>
    </row>
    <row r="6085" spans="30:30" x14ac:dyDescent="0.3">
      <c r="AD6085" s="16"/>
    </row>
    <row r="6086" spans="30:30" x14ac:dyDescent="0.3">
      <c r="AD6086" s="16"/>
    </row>
    <row r="6087" spans="30:30" x14ac:dyDescent="0.3">
      <c r="AD6087" s="16"/>
    </row>
    <row r="6088" spans="30:30" x14ac:dyDescent="0.3">
      <c r="AD6088" s="16"/>
    </row>
    <row r="6089" spans="30:30" x14ac:dyDescent="0.3">
      <c r="AD6089" s="16"/>
    </row>
    <row r="6090" spans="30:30" x14ac:dyDescent="0.3">
      <c r="AD6090" s="16"/>
    </row>
    <row r="6091" spans="30:30" x14ac:dyDescent="0.3">
      <c r="AD6091" s="16"/>
    </row>
    <row r="6092" spans="30:30" x14ac:dyDescent="0.3">
      <c r="AD6092" s="16"/>
    </row>
    <row r="6093" spans="30:30" x14ac:dyDescent="0.3">
      <c r="AD6093" s="16"/>
    </row>
    <row r="6094" spans="30:30" x14ac:dyDescent="0.3">
      <c r="AD6094" s="16"/>
    </row>
    <row r="6095" spans="30:30" x14ac:dyDescent="0.3">
      <c r="AD6095" s="16"/>
    </row>
    <row r="6096" spans="30:30" x14ac:dyDescent="0.3">
      <c r="AD6096" s="16"/>
    </row>
    <row r="6097" spans="30:30" x14ac:dyDescent="0.3">
      <c r="AD6097" s="16"/>
    </row>
    <row r="6098" spans="30:30" x14ac:dyDescent="0.3">
      <c r="AD6098" s="16"/>
    </row>
    <row r="6099" spans="30:30" x14ac:dyDescent="0.3">
      <c r="AD6099" s="16"/>
    </row>
    <row r="6100" spans="30:30" x14ac:dyDescent="0.3">
      <c r="AD6100" s="16"/>
    </row>
    <row r="6101" spans="30:30" x14ac:dyDescent="0.3">
      <c r="AD6101" s="16"/>
    </row>
    <row r="6102" spans="30:30" x14ac:dyDescent="0.3">
      <c r="AD6102" s="16"/>
    </row>
    <row r="6103" spans="30:30" x14ac:dyDescent="0.3">
      <c r="AD6103" s="16"/>
    </row>
    <row r="6104" spans="30:30" x14ac:dyDescent="0.3">
      <c r="AD6104" s="16"/>
    </row>
    <row r="6105" spans="30:30" x14ac:dyDescent="0.3">
      <c r="AD6105" s="16"/>
    </row>
    <row r="6106" spans="30:30" x14ac:dyDescent="0.3">
      <c r="AD6106" s="16"/>
    </row>
    <row r="6107" spans="30:30" x14ac:dyDescent="0.3">
      <c r="AD6107" s="16"/>
    </row>
    <row r="6108" spans="30:30" x14ac:dyDescent="0.3">
      <c r="AD6108" s="16"/>
    </row>
    <row r="6109" spans="30:30" x14ac:dyDescent="0.3">
      <c r="AD6109" s="16"/>
    </row>
    <row r="6110" spans="30:30" x14ac:dyDescent="0.3">
      <c r="AD6110" s="16"/>
    </row>
    <row r="6111" spans="30:30" x14ac:dyDescent="0.3">
      <c r="AD6111" s="16"/>
    </row>
    <row r="6112" spans="30:30" x14ac:dyDescent="0.3">
      <c r="AD6112" s="16"/>
    </row>
    <row r="6113" spans="30:30" x14ac:dyDescent="0.3">
      <c r="AD6113" s="16"/>
    </row>
    <row r="6114" spans="30:30" x14ac:dyDescent="0.3">
      <c r="AD6114" s="16"/>
    </row>
    <row r="6115" spans="30:30" x14ac:dyDescent="0.3">
      <c r="AD6115" s="16"/>
    </row>
    <row r="6116" spans="30:30" x14ac:dyDescent="0.3">
      <c r="AD6116" s="16"/>
    </row>
    <row r="6117" spans="30:30" x14ac:dyDescent="0.3">
      <c r="AD6117" s="16"/>
    </row>
    <row r="6118" spans="30:30" x14ac:dyDescent="0.3">
      <c r="AD6118" s="16"/>
    </row>
    <row r="6119" spans="30:30" x14ac:dyDescent="0.3">
      <c r="AD6119" s="16"/>
    </row>
    <row r="6120" spans="30:30" x14ac:dyDescent="0.3">
      <c r="AD6120" s="16"/>
    </row>
    <row r="6121" spans="30:30" x14ac:dyDescent="0.3">
      <c r="AD6121" s="16"/>
    </row>
    <row r="6122" spans="30:30" x14ac:dyDescent="0.3">
      <c r="AD6122" s="16"/>
    </row>
    <row r="6123" spans="30:30" x14ac:dyDescent="0.3">
      <c r="AD6123" s="16"/>
    </row>
    <row r="6124" spans="30:30" x14ac:dyDescent="0.3">
      <c r="AD6124" s="16"/>
    </row>
    <row r="6125" spans="30:30" x14ac:dyDescent="0.3">
      <c r="AD6125" s="16"/>
    </row>
    <row r="6126" spans="30:30" x14ac:dyDescent="0.3">
      <c r="AD6126" s="16"/>
    </row>
    <row r="6127" spans="30:30" x14ac:dyDescent="0.3">
      <c r="AD6127" s="16"/>
    </row>
    <row r="6128" spans="30:30" x14ac:dyDescent="0.3">
      <c r="AD6128" s="16"/>
    </row>
    <row r="6129" spans="30:30" x14ac:dyDescent="0.3">
      <c r="AD6129" s="16"/>
    </row>
    <row r="6130" spans="30:30" x14ac:dyDescent="0.3">
      <c r="AD6130" s="16"/>
    </row>
    <row r="6131" spans="30:30" x14ac:dyDescent="0.3">
      <c r="AD6131" s="16"/>
    </row>
    <row r="6132" spans="30:30" x14ac:dyDescent="0.3">
      <c r="AD6132" s="16"/>
    </row>
    <row r="6133" spans="30:30" x14ac:dyDescent="0.3">
      <c r="AD6133" s="16"/>
    </row>
    <row r="6134" spans="30:30" x14ac:dyDescent="0.3">
      <c r="AD6134" s="16"/>
    </row>
    <row r="6135" spans="30:30" x14ac:dyDescent="0.3">
      <c r="AD6135" s="16"/>
    </row>
    <row r="6136" spans="30:30" x14ac:dyDescent="0.3">
      <c r="AD6136" s="16"/>
    </row>
    <row r="6137" spans="30:30" x14ac:dyDescent="0.3">
      <c r="AD6137" s="16"/>
    </row>
    <row r="6138" spans="30:30" x14ac:dyDescent="0.3">
      <c r="AD6138" s="16"/>
    </row>
    <row r="6139" spans="30:30" x14ac:dyDescent="0.3">
      <c r="AD6139" s="16"/>
    </row>
    <row r="6140" spans="30:30" x14ac:dyDescent="0.3">
      <c r="AD6140" s="16"/>
    </row>
    <row r="6141" spans="30:30" x14ac:dyDescent="0.3">
      <c r="AD6141" s="16"/>
    </row>
    <row r="6142" spans="30:30" x14ac:dyDescent="0.3">
      <c r="AD6142" s="16"/>
    </row>
    <row r="6143" spans="30:30" x14ac:dyDescent="0.3">
      <c r="AD6143" s="16"/>
    </row>
    <row r="6144" spans="30:30" x14ac:dyDescent="0.3">
      <c r="AD6144" s="16"/>
    </row>
    <row r="6145" spans="30:30" x14ac:dyDescent="0.3">
      <c r="AD6145" s="16"/>
    </row>
    <row r="6146" spans="30:30" x14ac:dyDescent="0.3">
      <c r="AD6146" s="16"/>
    </row>
    <row r="6147" spans="30:30" x14ac:dyDescent="0.3">
      <c r="AD6147" s="16"/>
    </row>
    <row r="6148" spans="30:30" x14ac:dyDescent="0.3">
      <c r="AD6148" s="16"/>
    </row>
    <row r="6149" spans="30:30" x14ac:dyDescent="0.3">
      <c r="AD6149" s="16"/>
    </row>
    <row r="6150" spans="30:30" x14ac:dyDescent="0.3">
      <c r="AD6150" s="16"/>
    </row>
    <row r="6151" spans="30:30" x14ac:dyDescent="0.3">
      <c r="AD6151" s="16"/>
    </row>
    <row r="6152" spans="30:30" x14ac:dyDescent="0.3">
      <c r="AD6152" s="16"/>
    </row>
    <row r="6153" spans="30:30" x14ac:dyDescent="0.3">
      <c r="AD6153" s="16"/>
    </row>
    <row r="6154" spans="30:30" x14ac:dyDescent="0.3">
      <c r="AD6154" s="16"/>
    </row>
    <row r="6155" spans="30:30" x14ac:dyDescent="0.3">
      <c r="AD6155" s="16"/>
    </row>
    <row r="6156" spans="30:30" x14ac:dyDescent="0.3">
      <c r="AD6156" s="16"/>
    </row>
    <row r="6157" spans="30:30" x14ac:dyDescent="0.3">
      <c r="AD6157" s="16"/>
    </row>
    <row r="6158" spans="30:30" x14ac:dyDescent="0.3">
      <c r="AD6158" s="16"/>
    </row>
    <row r="6159" spans="30:30" x14ac:dyDescent="0.3">
      <c r="AD6159" s="16"/>
    </row>
    <row r="6160" spans="30:30" x14ac:dyDescent="0.3">
      <c r="AD6160" s="16"/>
    </row>
    <row r="6161" spans="30:30" x14ac:dyDescent="0.3">
      <c r="AD6161" s="16"/>
    </row>
    <row r="6162" spans="30:30" x14ac:dyDescent="0.3">
      <c r="AD6162" s="16"/>
    </row>
    <row r="6163" spans="30:30" x14ac:dyDescent="0.3">
      <c r="AD6163" s="16"/>
    </row>
    <row r="6164" spans="30:30" x14ac:dyDescent="0.3">
      <c r="AD6164" s="16"/>
    </row>
    <row r="6165" spans="30:30" x14ac:dyDescent="0.3">
      <c r="AD6165" s="16"/>
    </row>
    <row r="6166" spans="30:30" x14ac:dyDescent="0.3">
      <c r="AD6166" s="16"/>
    </row>
    <row r="6167" spans="30:30" x14ac:dyDescent="0.3">
      <c r="AD6167" s="16"/>
    </row>
    <row r="6168" spans="30:30" x14ac:dyDescent="0.3">
      <c r="AD6168" s="16"/>
    </row>
    <row r="6169" spans="30:30" x14ac:dyDescent="0.3">
      <c r="AD6169" s="16"/>
    </row>
    <row r="6170" spans="30:30" x14ac:dyDescent="0.3">
      <c r="AD6170" s="16"/>
    </row>
    <row r="6171" spans="30:30" x14ac:dyDescent="0.3">
      <c r="AD6171" s="16"/>
    </row>
    <row r="6172" spans="30:30" x14ac:dyDescent="0.3">
      <c r="AD6172" s="16"/>
    </row>
    <row r="6173" spans="30:30" x14ac:dyDescent="0.3">
      <c r="AD6173" s="16"/>
    </row>
    <row r="6174" spans="30:30" x14ac:dyDescent="0.3">
      <c r="AD6174" s="16"/>
    </row>
    <row r="6175" spans="30:30" x14ac:dyDescent="0.3">
      <c r="AD6175" s="16"/>
    </row>
    <row r="6176" spans="30:30" x14ac:dyDescent="0.3">
      <c r="AD6176" s="16"/>
    </row>
    <row r="6177" spans="30:30" x14ac:dyDescent="0.3">
      <c r="AD6177" s="16"/>
    </row>
    <row r="6178" spans="30:30" x14ac:dyDescent="0.3">
      <c r="AD6178" s="16"/>
    </row>
    <row r="6179" spans="30:30" x14ac:dyDescent="0.3">
      <c r="AD6179" s="16"/>
    </row>
    <row r="6180" spans="30:30" x14ac:dyDescent="0.3">
      <c r="AD6180" s="16"/>
    </row>
    <row r="6181" spans="30:30" x14ac:dyDescent="0.3">
      <c r="AD6181" s="16"/>
    </row>
    <row r="6182" spans="30:30" x14ac:dyDescent="0.3">
      <c r="AD6182" s="16"/>
    </row>
    <row r="6183" spans="30:30" x14ac:dyDescent="0.3">
      <c r="AD6183" s="16"/>
    </row>
    <row r="6184" spans="30:30" x14ac:dyDescent="0.3">
      <c r="AD6184" s="16"/>
    </row>
    <row r="6185" spans="30:30" x14ac:dyDescent="0.3">
      <c r="AD6185" s="16"/>
    </row>
    <row r="6186" spans="30:30" x14ac:dyDescent="0.3">
      <c r="AD6186" s="16"/>
    </row>
    <row r="6187" spans="30:30" x14ac:dyDescent="0.3">
      <c r="AD6187" s="16"/>
    </row>
    <row r="6188" spans="30:30" x14ac:dyDescent="0.3">
      <c r="AD6188" s="16"/>
    </row>
    <row r="6189" spans="30:30" x14ac:dyDescent="0.3">
      <c r="AD6189" s="16"/>
    </row>
    <row r="6190" spans="30:30" x14ac:dyDescent="0.3">
      <c r="AD6190" s="16"/>
    </row>
    <row r="6191" spans="30:30" x14ac:dyDescent="0.3">
      <c r="AD6191" s="16"/>
    </row>
    <row r="6192" spans="30:30" x14ac:dyDescent="0.3">
      <c r="AD6192" s="16"/>
    </row>
    <row r="6193" spans="30:30" x14ac:dyDescent="0.3">
      <c r="AD6193" s="16"/>
    </row>
    <row r="6194" spans="30:30" x14ac:dyDescent="0.3">
      <c r="AD6194" s="16"/>
    </row>
    <row r="6195" spans="30:30" x14ac:dyDescent="0.3">
      <c r="AD6195" s="16"/>
    </row>
    <row r="6196" spans="30:30" x14ac:dyDescent="0.3">
      <c r="AD6196" s="16"/>
    </row>
    <row r="6197" spans="30:30" x14ac:dyDescent="0.3">
      <c r="AD6197" s="16"/>
    </row>
    <row r="6198" spans="30:30" x14ac:dyDescent="0.3">
      <c r="AD6198" s="16"/>
    </row>
    <row r="6199" spans="30:30" x14ac:dyDescent="0.3">
      <c r="AD6199" s="16"/>
    </row>
    <row r="6200" spans="30:30" x14ac:dyDescent="0.3">
      <c r="AD6200" s="16"/>
    </row>
    <row r="6201" spans="30:30" x14ac:dyDescent="0.3">
      <c r="AD6201" s="16"/>
    </row>
    <row r="6202" spans="30:30" x14ac:dyDescent="0.3">
      <c r="AD6202" s="16"/>
    </row>
    <row r="6203" spans="30:30" x14ac:dyDescent="0.3">
      <c r="AD6203" s="16"/>
    </row>
    <row r="6204" spans="30:30" x14ac:dyDescent="0.3">
      <c r="AD6204" s="16"/>
    </row>
    <row r="6205" spans="30:30" x14ac:dyDescent="0.3">
      <c r="AD6205" s="16"/>
    </row>
    <row r="6206" spans="30:30" x14ac:dyDescent="0.3">
      <c r="AD6206" s="16"/>
    </row>
    <row r="6207" spans="30:30" x14ac:dyDescent="0.3">
      <c r="AD6207" s="16"/>
    </row>
    <row r="6208" spans="30:30" x14ac:dyDescent="0.3">
      <c r="AD6208" s="16"/>
    </row>
    <row r="6209" spans="30:30" x14ac:dyDescent="0.3">
      <c r="AD6209" s="16"/>
    </row>
    <row r="6210" spans="30:30" x14ac:dyDescent="0.3">
      <c r="AD6210" s="16"/>
    </row>
    <row r="6211" spans="30:30" x14ac:dyDescent="0.3">
      <c r="AD6211" s="16"/>
    </row>
    <row r="6212" spans="30:30" x14ac:dyDescent="0.3">
      <c r="AD6212" s="16"/>
    </row>
    <row r="6213" spans="30:30" x14ac:dyDescent="0.3">
      <c r="AD6213" s="16"/>
    </row>
    <row r="6214" spans="30:30" x14ac:dyDescent="0.3">
      <c r="AD6214" s="16"/>
    </row>
    <row r="6215" spans="30:30" x14ac:dyDescent="0.3">
      <c r="AD6215" s="16"/>
    </row>
    <row r="6216" spans="30:30" x14ac:dyDescent="0.3">
      <c r="AD6216" s="16"/>
    </row>
    <row r="6217" spans="30:30" x14ac:dyDescent="0.3">
      <c r="AD6217" s="16"/>
    </row>
    <row r="6218" spans="30:30" x14ac:dyDescent="0.3">
      <c r="AD6218" s="16"/>
    </row>
    <row r="6219" spans="30:30" x14ac:dyDescent="0.3">
      <c r="AD6219" s="16"/>
    </row>
    <row r="6220" spans="30:30" x14ac:dyDescent="0.3">
      <c r="AD6220" s="16"/>
    </row>
    <row r="6221" spans="30:30" x14ac:dyDescent="0.3">
      <c r="AD6221" s="16"/>
    </row>
    <row r="6222" spans="30:30" x14ac:dyDescent="0.3">
      <c r="AD6222" s="16"/>
    </row>
    <row r="6223" spans="30:30" x14ac:dyDescent="0.3">
      <c r="AD6223" s="16"/>
    </row>
    <row r="6224" spans="30:30" x14ac:dyDescent="0.3">
      <c r="AD6224" s="16"/>
    </row>
    <row r="6225" spans="30:30" x14ac:dyDescent="0.3">
      <c r="AD6225" s="16"/>
    </row>
    <row r="6226" spans="30:30" x14ac:dyDescent="0.3">
      <c r="AD6226" s="16"/>
    </row>
    <row r="6227" spans="30:30" x14ac:dyDescent="0.3">
      <c r="AD6227" s="16"/>
    </row>
    <row r="6228" spans="30:30" x14ac:dyDescent="0.3">
      <c r="AD6228" s="16"/>
    </row>
    <row r="6229" spans="30:30" x14ac:dyDescent="0.3">
      <c r="AD6229" s="16"/>
    </row>
    <row r="6230" spans="30:30" x14ac:dyDescent="0.3">
      <c r="AD6230" s="16"/>
    </row>
    <row r="6231" spans="30:30" x14ac:dyDescent="0.3">
      <c r="AD6231" s="16"/>
    </row>
    <row r="6232" spans="30:30" x14ac:dyDescent="0.3">
      <c r="AD6232" s="16"/>
    </row>
    <row r="6233" spans="30:30" x14ac:dyDescent="0.3">
      <c r="AD6233" s="16"/>
    </row>
    <row r="6234" spans="30:30" x14ac:dyDescent="0.3">
      <c r="AD6234" s="16"/>
    </row>
    <row r="6235" spans="30:30" x14ac:dyDescent="0.3">
      <c r="AD6235" s="16"/>
    </row>
    <row r="6236" spans="30:30" x14ac:dyDescent="0.3">
      <c r="AD6236" s="16"/>
    </row>
    <row r="6237" spans="30:30" x14ac:dyDescent="0.3">
      <c r="AD6237" s="16"/>
    </row>
    <row r="6238" spans="30:30" x14ac:dyDescent="0.3">
      <c r="AD6238" s="16"/>
    </row>
    <row r="6239" spans="30:30" x14ac:dyDescent="0.3">
      <c r="AD6239" s="16"/>
    </row>
    <row r="6240" spans="30:30" x14ac:dyDescent="0.3">
      <c r="AD6240" s="16"/>
    </row>
    <row r="6241" spans="30:30" x14ac:dyDescent="0.3">
      <c r="AD6241" s="16"/>
    </row>
    <row r="6242" spans="30:30" x14ac:dyDescent="0.3">
      <c r="AD6242" s="16"/>
    </row>
    <row r="6243" spans="30:30" x14ac:dyDescent="0.3">
      <c r="AD6243" s="16"/>
    </row>
    <row r="6244" spans="30:30" x14ac:dyDescent="0.3">
      <c r="AD6244" s="16"/>
    </row>
    <row r="6245" spans="30:30" x14ac:dyDescent="0.3">
      <c r="AD6245" s="16"/>
    </row>
    <row r="6246" spans="30:30" x14ac:dyDescent="0.3">
      <c r="AD6246" s="16"/>
    </row>
    <row r="6247" spans="30:30" x14ac:dyDescent="0.3">
      <c r="AD6247" s="16"/>
    </row>
    <row r="6248" spans="30:30" x14ac:dyDescent="0.3">
      <c r="AD6248" s="16"/>
    </row>
    <row r="6249" spans="30:30" x14ac:dyDescent="0.3">
      <c r="AD6249" s="16"/>
    </row>
    <row r="6250" spans="30:30" x14ac:dyDescent="0.3">
      <c r="AD6250" s="16"/>
    </row>
    <row r="6251" spans="30:30" x14ac:dyDescent="0.3">
      <c r="AD6251" s="16"/>
    </row>
    <row r="6252" spans="30:30" x14ac:dyDescent="0.3">
      <c r="AD6252" s="16"/>
    </row>
    <row r="6253" spans="30:30" x14ac:dyDescent="0.3">
      <c r="AD6253" s="16"/>
    </row>
    <row r="6254" spans="30:30" x14ac:dyDescent="0.3">
      <c r="AD6254" s="16"/>
    </row>
    <row r="6255" spans="30:30" x14ac:dyDescent="0.3">
      <c r="AD6255" s="16"/>
    </row>
    <row r="6256" spans="30:30" x14ac:dyDescent="0.3">
      <c r="AD6256" s="16"/>
    </row>
    <row r="6257" spans="30:30" x14ac:dyDescent="0.3">
      <c r="AD6257" s="16"/>
    </row>
    <row r="6258" spans="30:30" x14ac:dyDescent="0.3">
      <c r="AD6258" s="16"/>
    </row>
    <row r="6259" spans="30:30" x14ac:dyDescent="0.3">
      <c r="AD6259" s="16"/>
    </row>
    <row r="6260" spans="30:30" x14ac:dyDescent="0.3">
      <c r="AD6260" s="16"/>
    </row>
    <row r="6261" spans="30:30" x14ac:dyDescent="0.3">
      <c r="AD6261" s="16"/>
    </row>
    <row r="6262" spans="30:30" x14ac:dyDescent="0.3">
      <c r="AD6262" s="16"/>
    </row>
    <row r="6263" spans="30:30" x14ac:dyDescent="0.3">
      <c r="AD6263" s="16"/>
    </row>
    <row r="6264" spans="30:30" x14ac:dyDescent="0.3">
      <c r="AD6264" s="16"/>
    </row>
    <row r="6265" spans="30:30" x14ac:dyDescent="0.3">
      <c r="AD6265" s="16"/>
    </row>
    <row r="6266" spans="30:30" x14ac:dyDescent="0.3">
      <c r="AD6266" s="16"/>
    </row>
    <row r="6267" spans="30:30" x14ac:dyDescent="0.3">
      <c r="AD6267" s="16"/>
    </row>
    <row r="6268" spans="30:30" x14ac:dyDescent="0.3">
      <c r="AD6268" s="16"/>
    </row>
    <row r="6269" spans="30:30" x14ac:dyDescent="0.3">
      <c r="AD6269" s="16"/>
    </row>
    <row r="6270" spans="30:30" x14ac:dyDescent="0.3">
      <c r="AD6270" s="16"/>
    </row>
    <row r="6271" spans="30:30" x14ac:dyDescent="0.3">
      <c r="AD6271" s="16"/>
    </row>
    <row r="6272" spans="30:30" x14ac:dyDescent="0.3">
      <c r="AD6272" s="16"/>
    </row>
    <row r="6273" spans="30:30" x14ac:dyDescent="0.3">
      <c r="AD6273" s="16"/>
    </row>
    <row r="6274" spans="30:30" x14ac:dyDescent="0.3">
      <c r="AD6274" s="16"/>
    </row>
    <row r="6275" spans="30:30" x14ac:dyDescent="0.3">
      <c r="AD6275" s="16"/>
    </row>
    <row r="6276" spans="30:30" x14ac:dyDescent="0.3">
      <c r="AD6276" s="16"/>
    </row>
    <row r="6277" spans="30:30" x14ac:dyDescent="0.3">
      <c r="AD6277" s="16"/>
    </row>
    <row r="6278" spans="30:30" x14ac:dyDescent="0.3">
      <c r="AD6278" s="16"/>
    </row>
    <row r="6279" spans="30:30" x14ac:dyDescent="0.3">
      <c r="AD6279" s="16"/>
    </row>
    <row r="6280" spans="30:30" x14ac:dyDescent="0.3">
      <c r="AD6280" s="16"/>
    </row>
    <row r="6281" spans="30:30" x14ac:dyDescent="0.3">
      <c r="AD6281" s="16"/>
    </row>
    <row r="6282" spans="30:30" x14ac:dyDescent="0.3">
      <c r="AD6282" s="16"/>
    </row>
    <row r="6283" spans="30:30" x14ac:dyDescent="0.3">
      <c r="AD6283" s="16"/>
    </row>
    <row r="6284" spans="30:30" x14ac:dyDescent="0.3">
      <c r="AD6284" s="16"/>
    </row>
    <row r="6285" spans="30:30" x14ac:dyDescent="0.3">
      <c r="AD6285" s="16"/>
    </row>
    <row r="6286" spans="30:30" x14ac:dyDescent="0.3">
      <c r="AD6286" s="16"/>
    </row>
    <row r="6287" spans="30:30" x14ac:dyDescent="0.3">
      <c r="AD6287" s="16"/>
    </row>
    <row r="6288" spans="30:30" x14ac:dyDescent="0.3">
      <c r="AD6288" s="16"/>
    </row>
    <row r="6289" spans="30:30" x14ac:dyDescent="0.3">
      <c r="AD6289" s="16"/>
    </row>
    <row r="6290" spans="30:30" x14ac:dyDescent="0.3">
      <c r="AD6290" s="16"/>
    </row>
    <row r="6291" spans="30:30" x14ac:dyDescent="0.3">
      <c r="AD6291" s="16"/>
    </row>
    <row r="6292" spans="30:30" x14ac:dyDescent="0.3">
      <c r="AD6292" s="16"/>
    </row>
    <row r="6293" spans="30:30" x14ac:dyDescent="0.3">
      <c r="AD6293" s="16"/>
    </row>
    <row r="6294" spans="30:30" x14ac:dyDescent="0.3">
      <c r="AD6294" s="16"/>
    </row>
    <row r="6295" spans="30:30" x14ac:dyDescent="0.3">
      <c r="AD6295" s="16"/>
    </row>
    <row r="6296" spans="30:30" x14ac:dyDescent="0.3">
      <c r="AD6296" s="16"/>
    </row>
    <row r="6297" spans="30:30" x14ac:dyDescent="0.3">
      <c r="AD6297" s="16"/>
    </row>
    <row r="6298" spans="30:30" x14ac:dyDescent="0.3">
      <c r="AD6298" s="16"/>
    </row>
    <row r="6299" spans="30:30" x14ac:dyDescent="0.3">
      <c r="AD6299" s="16"/>
    </row>
    <row r="6300" spans="30:30" x14ac:dyDescent="0.3">
      <c r="AD6300" s="16"/>
    </row>
    <row r="6301" spans="30:30" x14ac:dyDescent="0.3">
      <c r="AD6301" s="16"/>
    </row>
    <row r="6302" spans="30:30" x14ac:dyDescent="0.3">
      <c r="AD6302" s="16"/>
    </row>
    <row r="6303" spans="30:30" x14ac:dyDescent="0.3">
      <c r="AD6303" s="16"/>
    </row>
    <row r="6304" spans="30:30" x14ac:dyDescent="0.3">
      <c r="AD6304" s="16"/>
    </row>
    <row r="6305" spans="30:30" x14ac:dyDescent="0.3">
      <c r="AD6305" s="16"/>
    </row>
    <row r="6306" spans="30:30" x14ac:dyDescent="0.3">
      <c r="AD6306" s="16"/>
    </row>
    <row r="6307" spans="30:30" x14ac:dyDescent="0.3">
      <c r="AD6307" s="16"/>
    </row>
    <row r="6308" spans="30:30" x14ac:dyDescent="0.3">
      <c r="AD6308" s="16"/>
    </row>
    <row r="6309" spans="30:30" x14ac:dyDescent="0.3">
      <c r="AD6309" s="16"/>
    </row>
    <row r="6310" spans="30:30" x14ac:dyDescent="0.3">
      <c r="AD6310" s="16"/>
    </row>
    <row r="6311" spans="30:30" x14ac:dyDescent="0.3">
      <c r="AD6311" s="16"/>
    </row>
    <row r="6312" spans="30:30" x14ac:dyDescent="0.3">
      <c r="AD6312" s="16"/>
    </row>
    <row r="6313" spans="30:30" x14ac:dyDescent="0.3">
      <c r="AD6313" s="16"/>
    </row>
    <row r="6314" spans="30:30" x14ac:dyDescent="0.3">
      <c r="AD6314" s="16"/>
    </row>
    <row r="6315" spans="30:30" x14ac:dyDescent="0.3">
      <c r="AD6315" s="16"/>
    </row>
    <row r="6316" spans="30:30" x14ac:dyDescent="0.3">
      <c r="AD6316" s="16"/>
    </row>
    <row r="6317" spans="30:30" x14ac:dyDescent="0.3">
      <c r="AD6317" s="16"/>
    </row>
    <row r="6318" spans="30:30" x14ac:dyDescent="0.3">
      <c r="AD6318" s="16"/>
    </row>
    <row r="6319" spans="30:30" x14ac:dyDescent="0.3">
      <c r="AD6319" s="16"/>
    </row>
    <row r="6320" spans="30:30" x14ac:dyDescent="0.3">
      <c r="AD6320" s="16"/>
    </row>
    <row r="6321" spans="30:30" x14ac:dyDescent="0.3">
      <c r="AD6321" s="16"/>
    </row>
    <row r="6322" spans="30:30" x14ac:dyDescent="0.3">
      <c r="AD6322" s="16"/>
    </row>
    <row r="6323" spans="30:30" x14ac:dyDescent="0.3">
      <c r="AD6323" s="16"/>
    </row>
    <row r="6324" spans="30:30" x14ac:dyDescent="0.3">
      <c r="AD6324" s="16"/>
    </row>
    <row r="6325" spans="30:30" x14ac:dyDescent="0.3">
      <c r="AD6325" s="16"/>
    </row>
    <row r="6326" spans="30:30" x14ac:dyDescent="0.3">
      <c r="AD6326" s="16"/>
    </row>
    <row r="6327" spans="30:30" x14ac:dyDescent="0.3">
      <c r="AD6327" s="16"/>
    </row>
    <row r="6328" spans="30:30" x14ac:dyDescent="0.3">
      <c r="AD6328" s="16"/>
    </row>
    <row r="6329" spans="30:30" x14ac:dyDescent="0.3">
      <c r="AD6329" s="16"/>
    </row>
    <row r="6330" spans="30:30" x14ac:dyDescent="0.3">
      <c r="AD6330" s="16"/>
    </row>
    <row r="6331" spans="30:30" x14ac:dyDescent="0.3">
      <c r="AD6331" s="16"/>
    </row>
    <row r="6332" spans="30:30" x14ac:dyDescent="0.3">
      <c r="AD6332" s="16"/>
    </row>
    <row r="6333" spans="30:30" x14ac:dyDescent="0.3">
      <c r="AD6333" s="16"/>
    </row>
    <row r="6334" spans="30:30" x14ac:dyDescent="0.3">
      <c r="AD6334" s="16"/>
    </row>
    <row r="6335" spans="30:30" x14ac:dyDescent="0.3">
      <c r="AD6335" s="16"/>
    </row>
    <row r="6336" spans="30:30" x14ac:dyDescent="0.3">
      <c r="AD6336" s="16"/>
    </row>
    <row r="6337" spans="30:30" x14ac:dyDescent="0.3">
      <c r="AD6337" s="16"/>
    </row>
    <row r="6338" spans="30:30" x14ac:dyDescent="0.3">
      <c r="AD6338" s="16"/>
    </row>
    <row r="6339" spans="30:30" x14ac:dyDescent="0.3">
      <c r="AD6339" s="16"/>
    </row>
    <row r="6340" spans="30:30" x14ac:dyDescent="0.3">
      <c r="AD6340" s="16"/>
    </row>
    <row r="6341" spans="30:30" x14ac:dyDescent="0.3">
      <c r="AD6341" s="16"/>
    </row>
    <row r="6342" spans="30:30" x14ac:dyDescent="0.3">
      <c r="AD6342" s="16"/>
    </row>
    <row r="6343" spans="30:30" x14ac:dyDescent="0.3">
      <c r="AD6343" s="16"/>
    </row>
    <row r="6344" spans="30:30" x14ac:dyDescent="0.3">
      <c r="AD6344" s="16"/>
    </row>
    <row r="6345" spans="30:30" x14ac:dyDescent="0.3">
      <c r="AD6345" s="16"/>
    </row>
    <row r="6346" spans="30:30" x14ac:dyDescent="0.3">
      <c r="AD6346" s="16"/>
    </row>
    <row r="6347" spans="30:30" x14ac:dyDescent="0.3">
      <c r="AD6347" s="16"/>
    </row>
    <row r="6348" spans="30:30" x14ac:dyDescent="0.3">
      <c r="AD6348" s="16"/>
    </row>
    <row r="6349" spans="30:30" x14ac:dyDescent="0.3">
      <c r="AD6349" s="16"/>
    </row>
    <row r="6350" spans="30:30" x14ac:dyDescent="0.3">
      <c r="AD6350" s="16"/>
    </row>
    <row r="6351" spans="30:30" x14ac:dyDescent="0.3">
      <c r="AD6351" s="16"/>
    </row>
    <row r="6352" spans="30:30" x14ac:dyDescent="0.3">
      <c r="AD6352" s="16"/>
    </row>
    <row r="6353" spans="30:30" x14ac:dyDescent="0.3">
      <c r="AD6353" s="16"/>
    </row>
    <row r="6354" spans="30:30" x14ac:dyDescent="0.3">
      <c r="AD6354" s="16"/>
    </row>
    <row r="6355" spans="30:30" x14ac:dyDescent="0.3">
      <c r="AD6355" s="16"/>
    </row>
    <row r="6356" spans="30:30" x14ac:dyDescent="0.3">
      <c r="AD6356" s="16"/>
    </row>
    <row r="6357" spans="30:30" x14ac:dyDescent="0.3">
      <c r="AD6357" s="16"/>
    </row>
    <row r="6358" spans="30:30" x14ac:dyDescent="0.3">
      <c r="AD6358" s="16"/>
    </row>
    <row r="6359" spans="30:30" x14ac:dyDescent="0.3">
      <c r="AD6359" s="16"/>
    </row>
    <row r="6360" spans="30:30" x14ac:dyDescent="0.3">
      <c r="AD6360" s="16"/>
    </row>
    <row r="6361" spans="30:30" x14ac:dyDescent="0.3">
      <c r="AD6361" s="16"/>
    </row>
    <row r="6362" spans="30:30" x14ac:dyDescent="0.3">
      <c r="AD6362" s="16"/>
    </row>
    <row r="6363" spans="30:30" x14ac:dyDescent="0.3">
      <c r="AD6363" s="16"/>
    </row>
    <row r="6364" spans="30:30" x14ac:dyDescent="0.3">
      <c r="AD6364" s="16"/>
    </row>
    <row r="6365" spans="30:30" x14ac:dyDescent="0.3">
      <c r="AD6365" s="16"/>
    </row>
    <row r="6366" spans="30:30" x14ac:dyDescent="0.3">
      <c r="AD6366" s="16"/>
    </row>
    <row r="6367" spans="30:30" x14ac:dyDescent="0.3">
      <c r="AD6367" s="16"/>
    </row>
    <row r="6368" spans="30:30" x14ac:dyDescent="0.3">
      <c r="AD6368" s="16"/>
    </row>
    <row r="6369" spans="30:30" x14ac:dyDescent="0.3">
      <c r="AD6369" s="16"/>
    </row>
    <row r="6370" spans="30:30" x14ac:dyDescent="0.3">
      <c r="AD6370" s="16"/>
    </row>
    <row r="6371" spans="30:30" x14ac:dyDescent="0.3">
      <c r="AD6371" s="16"/>
    </row>
    <row r="6372" spans="30:30" x14ac:dyDescent="0.3">
      <c r="AD6372" s="16"/>
    </row>
    <row r="6373" spans="30:30" x14ac:dyDescent="0.3">
      <c r="AD6373" s="16"/>
    </row>
    <row r="6374" spans="30:30" x14ac:dyDescent="0.3">
      <c r="AD6374" s="16"/>
    </row>
    <row r="6375" spans="30:30" x14ac:dyDescent="0.3">
      <c r="AD6375" s="16"/>
    </row>
    <row r="6376" spans="30:30" x14ac:dyDescent="0.3">
      <c r="AD6376" s="16"/>
    </row>
    <row r="6377" spans="30:30" x14ac:dyDescent="0.3">
      <c r="AD6377" s="16"/>
    </row>
    <row r="6378" spans="30:30" x14ac:dyDescent="0.3">
      <c r="AD6378" s="16"/>
    </row>
    <row r="6379" spans="30:30" x14ac:dyDescent="0.3">
      <c r="AD6379" s="16"/>
    </row>
    <row r="6380" spans="30:30" x14ac:dyDescent="0.3">
      <c r="AD6380" s="16"/>
    </row>
    <row r="6381" spans="30:30" x14ac:dyDescent="0.3">
      <c r="AD6381" s="16"/>
    </row>
    <row r="6382" spans="30:30" x14ac:dyDescent="0.3">
      <c r="AD6382" s="16"/>
    </row>
    <row r="6383" spans="30:30" x14ac:dyDescent="0.3">
      <c r="AD6383" s="16"/>
    </row>
    <row r="6384" spans="30:30" x14ac:dyDescent="0.3">
      <c r="AD6384" s="16"/>
    </row>
    <row r="6385" spans="30:30" x14ac:dyDescent="0.3">
      <c r="AD6385" s="16"/>
    </row>
    <row r="6386" spans="30:30" x14ac:dyDescent="0.3">
      <c r="AD6386" s="16"/>
    </row>
    <row r="6387" spans="30:30" x14ac:dyDescent="0.3">
      <c r="AD6387" s="16"/>
    </row>
    <row r="6388" spans="30:30" x14ac:dyDescent="0.3">
      <c r="AD6388" s="16"/>
    </row>
    <row r="6389" spans="30:30" x14ac:dyDescent="0.3">
      <c r="AD6389" s="16"/>
    </row>
    <row r="6390" spans="30:30" x14ac:dyDescent="0.3">
      <c r="AD6390" s="16"/>
    </row>
    <row r="6391" spans="30:30" x14ac:dyDescent="0.3">
      <c r="AD6391" s="16"/>
    </row>
    <row r="6392" spans="30:30" x14ac:dyDescent="0.3">
      <c r="AD6392" s="16"/>
    </row>
    <row r="6393" spans="30:30" x14ac:dyDescent="0.3">
      <c r="AD6393" s="16"/>
    </row>
    <row r="6394" spans="30:30" x14ac:dyDescent="0.3">
      <c r="AD6394" s="16"/>
    </row>
    <row r="6395" spans="30:30" x14ac:dyDescent="0.3">
      <c r="AD6395" s="16"/>
    </row>
    <row r="6396" spans="30:30" x14ac:dyDescent="0.3">
      <c r="AD6396" s="16"/>
    </row>
    <row r="6397" spans="30:30" x14ac:dyDescent="0.3">
      <c r="AD6397" s="16"/>
    </row>
    <row r="6398" spans="30:30" x14ac:dyDescent="0.3">
      <c r="AD6398" s="16"/>
    </row>
    <row r="6399" spans="30:30" x14ac:dyDescent="0.3">
      <c r="AD6399" s="16"/>
    </row>
    <row r="6400" spans="30:30" x14ac:dyDescent="0.3">
      <c r="AD6400" s="16"/>
    </row>
    <row r="6401" spans="30:30" x14ac:dyDescent="0.3">
      <c r="AD6401" s="16"/>
    </row>
    <row r="6402" spans="30:30" x14ac:dyDescent="0.3">
      <c r="AD6402" s="16"/>
    </row>
    <row r="6403" spans="30:30" x14ac:dyDescent="0.3">
      <c r="AD6403" s="16"/>
    </row>
    <row r="6404" spans="30:30" x14ac:dyDescent="0.3">
      <c r="AD6404" s="16"/>
    </row>
    <row r="6405" spans="30:30" x14ac:dyDescent="0.3">
      <c r="AD6405" s="16"/>
    </row>
    <row r="6406" spans="30:30" x14ac:dyDescent="0.3">
      <c r="AD6406" s="16"/>
    </row>
    <row r="6407" spans="30:30" x14ac:dyDescent="0.3">
      <c r="AD6407" s="16"/>
    </row>
    <row r="6408" spans="30:30" x14ac:dyDescent="0.3">
      <c r="AD6408" s="16"/>
    </row>
    <row r="6409" spans="30:30" x14ac:dyDescent="0.3">
      <c r="AD6409" s="16"/>
    </row>
    <row r="6410" spans="30:30" x14ac:dyDescent="0.3">
      <c r="AD6410" s="16"/>
    </row>
    <row r="6411" spans="30:30" x14ac:dyDescent="0.3">
      <c r="AD6411" s="16"/>
    </row>
    <row r="6412" spans="30:30" x14ac:dyDescent="0.3">
      <c r="AD6412" s="16"/>
    </row>
    <row r="6413" spans="30:30" x14ac:dyDescent="0.3">
      <c r="AD6413" s="16"/>
    </row>
    <row r="6414" spans="30:30" x14ac:dyDescent="0.3">
      <c r="AD6414" s="16"/>
    </row>
    <row r="6415" spans="30:30" x14ac:dyDescent="0.3">
      <c r="AD6415" s="16"/>
    </row>
    <row r="6416" spans="30:30" x14ac:dyDescent="0.3">
      <c r="AD6416" s="16"/>
    </row>
    <row r="6417" spans="30:30" x14ac:dyDescent="0.3">
      <c r="AD6417" s="16"/>
    </row>
    <row r="6418" spans="30:30" x14ac:dyDescent="0.3">
      <c r="AD6418" s="16"/>
    </row>
    <row r="6419" spans="30:30" x14ac:dyDescent="0.3">
      <c r="AD6419" s="16"/>
    </row>
    <row r="6420" spans="30:30" x14ac:dyDescent="0.3">
      <c r="AD6420" s="16"/>
    </row>
    <row r="6421" spans="30:30" x14ac:dyDescent="0.3">
      <c r="AD6421" s="16"/>
    </row>
    <row r="6422" spans="30:30" x14ac:dyDescent="0.3">
      <c r="AD6422" s="16"/>
    </row>
    <row r="6423" spans="30:30" x14ac:dyDescent="0.3">
      <c r="AD6423" s="16"/>
    </row>
    <row r="6424" spans="30:30" x14ac:dyDescent="0.3">
      <c r="AD6424" s="16"/>
    </row>
    <row r="6425" spans="30:30" x14ac:dyDescent="0.3">
      <c r="AD6425" s="16"/>
    </row>
    <row r="6426" spans="30:30" x14ac:dyDescent="0.3">
      <c r="AD6426" s="16"/>
    </row>
    <row r="6427" spans="30:30" x14ac:dyDescent="0.3">
      <c r="AD6427" s="16"/>
    </row>
    <row r="6428" spans="30:30" x14ac:dyDescent="0.3">
      <c r="AD6428" s="16"/>
    </row>
    <row r="6429" spans="30:30" x14ac:dyDescent="0.3">
      <c r="AD6429" s="16"/>
    </row>
    <row r="6430" spans="30:30" x14ac:dyDescent="0.3">
      <c r="AD6430" s="16"/>
    </row>
    <row r="6431" spans="30:30" x14ac:dyDescent="0.3">
      <c r="AD6431" s="16"/>
    </row>
    <row r="6432" spans="30:30" x14ac:dyDescent="0.3">
      <c r="AD6432" s="16"/>
    </row>
    <row r="6433" spans="30:30" x14ac:dyDescent="0.3">
      <c r="AD6433" s="16"/>
    </row>
    <row r="6434" spans="30:30" x14ac:dyDescent="0.3">
      <c r="AD6434" s="16"/>
    </row>
    <row r="6435" spans="30:30" x14ac:dyDescent="0.3">
      <c r="AD6435" s="16"/>
    </row>
    <row r="6436" spans="30:30" x14ac:dyDescent="0.3">
      <c r="AD6436" s="16"/>
    </row>
    <row r="6437" spans="30:30" x14ac:dyDescent="0.3">
      <c r="AD6437" s="16"/>
    </row>
    <row r="6438" spans="30:30" x14ac:dyDescent="0.3">
      <c r="AD6438" s="16"/>
    </row>
    <row r="6439" spans="30:30" x14ac:dyDescent="0.3">
      <c r="AD6439" s="16"/>
    </row>
    <row r="6440" spans="30:30" x14ac:dyDescent="0.3">
      <c r="AD6440" s="16"/>
    </row>
    <row r="6441" spans="30:30" x14ac:dyDescent="0.3">
      <c r="AD6441" s="16"/>
    </row>
    <row r="6442" spans="30:30" x14ac:dyDescent="0.3">
      <c r="AD6442" s="16"/>
    </row>
    <row r="6443" spans="30:30" x14ac:dyDescent="0.3">
      <c r="AD6443" s="16"/>
    </row>
    <row r="6444" spans="30:30" x14ac:dyDescent="0.3">
      <c r="AD6444" s="16"/>
    </row>
    <row r="6445" spans="30:30" x14ac:dyDescent="0.3">
      <c r="AD6445" s="16"/>
    </row>
    <row r="6446" spans="30:30" x14ac:dyDescent="0.3">
      <c r="AD6446" s="16"/>
    </row>
    <row r="6447" spans="30:30" x14ac:dyDescent="0.3">
      <c r="AD6447" s="16"/>
    </row>
    <row r="6448" spans="30:30" x14ac:dyDescent="0.3">
      <c r="AD6448" s="16"/>
    </row>
    <row r="6449" spans="30:30" x14ac:dyDescent="0.3">
      <c r="AD6449" s="16"/>
    </row>
    <row r="6450" spans="30:30" x14ac:dyDescent="0.3">
      <c r="AD6450" s="16"/>
    </row>
    <row r="6451" spans="30:30" x14ac:dyDescent="0.3">
      <c r="AD6451" s="16"/>
    </row>
    <row r="6452" spans="30:30" x14ac:dyDescent="0.3">
      <c r="AD6452" s="16"/>
    </row>
    <row r="6453" spans="30:30" x14ac:dyDescent="0.3">
      <c r="AD6453" s="16"/>
    </row>
    <row r="6454" spans="30:30" x14ac:dyDescent="0.3">
      <c r="AD6454" s="16"/>
    </row>
    <row r="6455" spans="30:30" x14ac:dyDescent="0.3">
      <c r="AD6455" s="16"/>
    </row>
    <row r="6456" spans="30:30" x14ac:dyDescent="0.3">
      <c r="AD6456" s="16"/>
    </row>
    <row r="6457" spans="30:30" x14ac:dyDescent="0.3">
      <c r="AD6457" s="16"/>
    </row>
    <row r="6458" spans="30:30" x14ac:dyDescent="0.3">
      <c r="AD6458" s="16"/>
    </row>
    <row r="6459" spans="30:30" x14ac:dyDescent="0.3">
      <c r="AD6459" s="16"/>
    </row>
    <row r="6460" spans="30:30" x14ac:dyDescent="0.3">
      <c r="AD6460" s="16"/>
    </row>
    <row r="6461" spans="30:30" x14ac:dyDescent="0.3">
      <c r="AD6461" s="16"/>
    </row>
    <row r="6462" spans="30:30" x14ac:dyDescent="0.3">
      <c r="AD6462" s="16"/>
    </row>
    <row r="6463" spans="30:30" x14ac:dyDescent="0.3">
      <c r="AD6463" s="16"/>
    </row>
    <row r="6464" spans="30:30" x14ac:dyDescent="0.3">
      <c r="AD6464" s="16"/>
    </row>
    <row r="6465" spans="30:30" x14ac:dyDescent="0.3">
      <c r="AD6465" s="16"/>
    </row>
    <row r="6466" spans="30:30" x14ac:dyDescent="0.3">
      <c r="AD6466" s="16"/>
    </row>
    <row r="6467" spans="30:30" x14ac:dyDescent="0.3">
      <c r="AD6467" s="16"/>
    </row>
    <row r="6468" spans="30:30" x14ac:dyDescent="0.3">
      <c r="AD6468" s="16"/>
    </row>
    <row r="6469" spans="30:30" x14ac:dyDescent="0.3">
      <c r="AD6469" s="16"/>
    </row>
    <row r="6470" spans="30:30" x14ac:dyDescent="0.3">
      <c r="AD6470" s="16"/>
    </row>
    <row r="6471" spans="30:30" x14ac:dyDescent="0.3">
      <c r="AD6471" s="16"/>
    </row>
    <row r="6472" spans="30:30" x14ac:dyDescent="0.3">
      <c r="AD6472" s="16"/>
    </row>
    <row r="6473" spans="30:30" x14ac:dyDescent="0.3">
      <c r="AD6473" s="16"/>
    </row>
    <row r="6474" spans="30:30" x14ac:dyDescent="0.3">
      <c r="AD6474" s="16"/>
    </row>
    <row r="6475" spans="30:30" x14ac:dyDescent="0.3">
      <c r="AD6475" s="16"/>
    </row>
    <row r="6476" spans="30:30" x14ac:dyDescent="0.3">
      <c r="AD6476" s="16"/>
    </row>
    <row r="6477" spans="30:30" x14ac:dyDescent="0.3">
      <c r="AD6477" s="16"/>
    </row>
    <row r="6478" spans="30:30" x14ac:dyDescent="0.3">
      <c r="AD6478" s="16"/>
    </row>
    <row r="6479" spans="30:30" x14ac:dyDescent="0.3">
      <c r="AD6479" s="16"/>
    </row>
    <row r="6480" spans="30:30" x14ac:dyDescent="0.3">
      <c r="AD6480" s="16"/>
    </row>
    <row r="6481" spans="30:30" x14ac:dyDescent="0.3">
      <c r="AD6481" s="16"/>
    </row>
    <row r="6482" spans="30:30" x14ac:dyDescent="0.3">
      <c r="AD6482" s="16"/>
    </row>
    <row r="6483" spans="30:30" x14ac:dyDescent="0.3">
      <c r="AD6483" s="16"/>
    </row>
    <row r="6484" spans="30:30" x14ac:dyDescent="0.3">
      <c r="AD6484" s="16"/>
    </row>
    <row r="6485" spans="30:30" x14ac:dyDescent="0.3">
      <c r="AD6485" s="16"/>
    </row>
    <row r="6486" spans="30:30" x14ac:dyDescent="0.3">
      <c r="AD6486" s="16"/>
    </row>
    <row r="6487" spans="30:30" x14ac:dyDescent="0.3">
      <c r="AD6487" s="16"/>
    </row>
    <row r="6488" spans="30:30" x14ac:dyDescent="0.3">
      <c r="AD6488" s="16"/>
    </row>
    <row r="6489" spans="30:30" x14ac:dyDescent="0.3">
      <c r="AD6489" s="16"/>
    </row>
    <row r="6490" spans="30:30" x14ac:dyDescent="0.3">
      <c r="AD6490" s="16"/>
    </row>
    <row r="6491" spans="30:30" x14ac:dyDescent="0.3">
      <c r="AD6491" s="16"/>
    </row>
    <row r="6492" spans="30:30" x14ac:dyDescent="0.3">
      <c r="AD6492" s="16"/>
    </row>
    <row r="6493" spans="30:30" x14ac:dyDescent="0.3">
      <c r="AD6493" s="16"/>
    </row>
    <row r="6494" spans="30:30" x14ac:dyDescent="0.3">
      <c r="AD6494" s="16"/>
    </row>
    <row r="6495" spans="30:30" x14ac:dyDescent="0.3">
      <c r="AD6495" s="16"/>
    </row>
    <row r="6496" spans="30:30" x14ac:dyDescent="0.3">
      <c r="AD6496" s="16"/>
    </row>
    <row r="6497" spans="30:30" x14ac:dyDescent="0.3">
      <c r="AD6497" s="16"/>
    </row>
    <row r="6498" spans="30:30" x14ac:dyDescent="0.3">
      <c r="AD6498" s="16"/>
    </row>
    <row r="6499" spans="30:30" x14ac:dyDescent="0.3">
      <c r="AD6499" s="16"/>
    </row>
    <row r="6500" spans="30:30" x14ac:dyDescent="0.3">
      <c r="AD6500" s="16"/>
    </row>
    <row r="6501" spans="30:30" x14ac:dyDescent="0.3">
      <c r="AD6501" s="16"/>
    </row>
    <row r="6502" spans="30:30" x14ac:dyDescent="0.3">
      <c r="AD6502" s="16"/>
    </row>
    <row r="6503" spans="30:30" x14ac:dyDescent="0.3">
      <c r="AD6503" s="16"/>
    </row>
    <row r="6504" spans="30:30" x14ac:dyDescent="0.3">
      <c r="AD6504" s="16"/>
    </row>
    <row r="6505" spans="30:30" x14ac:dyDescent="0.3">
      <c r="AD6505" s="16"/>
    </row>
    <row r="6506" spans="30:30" x14ac:dyDescent="0.3">
      <c r="AD6506" s="16"/>
    </row>
    <row r="6507" spans="30:30" x14ac:dyDescent="0.3">
      <c r="AD6507" s="16"/>
    </row>
    <row r="6508" spans="30:30" x14ac:dyDescent="0.3">
      <c r="AD6508" s="16"/>
    </row>
    <row r="6509" spans="30:30" x14ac:dyDescent="0.3">
      <c r="AD6509" s="16"/>
    </row>
    <row r="6510" spans="30:30" x14ac:dyDescent="0.3">
      <c r="AD6510" s="16"/>
    </row>
    <row r="6511" spans="30:30" x14ac:dyDescent="0.3">
      <c r="AD6511" s="16"/>
    </row>
    <row r="6512" spans="30:30" x14ac:dyDescent="0.3">
      <c r="AD6512" s="16"/>
    </row>
    <row r="6513" spans="30:30" x14ac:dyDescent="0.3">
      <c r="AD6513" s="16"/>
    </row>
    <row r="6514" spans="30:30" x14ac:dyDescent="0.3">
      <c r="AD6514" s="16"/>
    </row>
    <row r="6515" spans="30:30" x14ac:dyDescent="0.3">
      <c r="AD6515" s="16"/>
    </row>
    <row r="6516" spans="30:30" x14ac:dyDescent="0.3">
      <c r="AD6516" s="16"/>
    </row>
    <row r="6517" spans="30:30" x14ac:dyDescent="0.3">
      <c r="AD6517" s="16"/>
    </row>
    <row r="6518" spans="30:30" x14ac:dyDescent="0.3">
      <c r="AD6518" s="16"/>
    </row>
    <row r="6519" spans="30:30" x14ac:dyDescent="0.3">
      <c r="AD6519" s="16"/>
    </row>
    <row r="6520" spans="30:30" x14ac:dyDescent="0.3">
      <c r="AD6520" s="16"/>
    </row>
    <row r="6521" spans="30:30" x14ac:dyDescent="0.3">
      <c r="AD6521" s="16"/>
    </row>
    <row r="6522" spans="30:30" x14ac:dyDescent="0.3">
      <c r="AD6522" s="16"/>
    </row>
    <row r="6523" spans="30:30" x14ac:dyDescent="0.3">
      <c r="AD6523" s="16"/>
    </row>
    <row r="6524" spans="30:30" x14ac:dyDescent="0.3">
      <c r="AD6524" s="16"/>
    </row>
    <row r="6525" spans="30:30" x14ac:dyDescent="0.3">
      <c r="AD6525" s="16"/>
    </row>
    <row r="6526" spans="30:30" x14ac:dyDescent="0.3">
      <c r="AD6526" s="16"/>
    </row>
    <row r="6527" spans="30:30" x14ac:dyDescent="0.3">
      <c r="AD6527" s="16"/>
    </row>
    <row r="6528" spans="30:30" x14ac:dyDescent="0.3">
      <c r="AD6528" s="16"/>
    </row>
    <row r="6529" spans="30:30" x14ac:dyDescent="0.3">
      <c r="AD6529" s="16"/>
    </row>
    <row r="6530" spans="30:30" x14ac:dyDescent="0.3">
      <c r="AD6530" s="16"/>
    </row>
    <row r="6531" spans="30:30" x14ac:dyDescent="0.3">
      <c r="AD6531" s="16"/>
    </row>
    <row r="6532" spans="30:30" x14ac:dyDescent="0.3">
      <c r="AD6532" s="16"/>
    </row>
    <row r="6533" spans="30:30" x14ac:dyDescent="0.3">
      <c r="AD6533" s="16"/>
    </row>
    <row r="6534" spans="30:30" x14ac:dyDescent="0.3">
      <c r="AD6534" s="16"/>
    </row>
    <row r="6535" spans="30:30" x14ac:dyDescent="0.3">
      <c r="AD6535" s="16"/>
    </row>
    <row r="6536" spans="30:30" x14ac:dyDescent="0.3">
      <c r="AD6536" s="16"/>
    </row>
    <row r="6537" spans="30:30" x14ac:dyDescent="0.3">
      <c r="AD6537" s="16"/>
    </row>
    <row r="6538" spans="30:30" x14ac:dyDescent="0.3">
      <c r="AD6538" s="16"/>
    </row>
    <row r="6539" spans="30:30" x14ac:dyDescent="0.3">
      <c r="AD6539" s="16"/>
    </row>
    <row r="6540" spans="30:30" x14ac:dyDescent="0.3">
      <c r="AD6540" s="16"/>
    </row>
    <row r="6541" spans="30:30" x14ac:dyDescent="0.3">
      <c r="AD6541" s="16"/>
    </row>
    <row r="6542" spans="30:30" x14ac:dyDescent="0.3">
      <c r="AD6542" s="16"/>
    </row>
    <row r="6543" spans="30:30" x14ac:dyDescent="0.3">
      <c r="AD6543" s="16"/>
    </row>
    <row r="6544" spans="30:30" x14ac:dyDescent="0.3">
      <c r="AD6544" s="16"/>
    </row>
    <row r="6545" spans="30:30" x14ac:dyDescent="0.3">
      <c r="AD6545" s="16"/>
    </row>
    <row r="6546" spans="30:30" x14ac:dyDescent="0.3">
      <c r="AD6546" s="16"/>
    </row>
    <row r="6547" spans="30:30" x14ac:dyDescent="0.3">
      <c r="AD6547" s="16"/>
    </row>
    <row r="6548" spans="30:30" x14ac:dyDescent="0.3">
      <c r="AD6548" s="16"/>
    </row>
    <row r="6549" spans="30:30" x14ac:dyDescent="0.3">
      <c r="AD6549" s="16"/>
    </row>
    <row r="6550" spans="30:30" x14ac:dyDescent="0.3">
      <c r="AD6550" s="16"/>
    </row>
    <row r="6551" spans="30:30" x14ac:dyDescent="0.3">
      <c r="AD6551" s="16"/>
    </row>
    <row r="6552" spans="30:30" x14ac:dyDescent="0.3">
      <c r="AD6552" s="16"/>
    </row>
    <row r="6553" spans="30:30" x14ac:dyDescent="0.3">
      <c r="AD6553" s="16"/>
    </row>
    <row r="6554" spans="30:30" x14ac:dyDescent="0.3">
      <c r="AD6554" s="16"/>
    </row>
    <row r="6555" spans="30:30" x14ac:dyDescent="0.3">
      <c r="AD6555" s="16"/>
    </row>
    <row r="6556" spans="30:30" x14ac:dyDescent="0.3">
      <c r="AD6556" s="16"/>
    </row>
    <row r="6557" spans="30:30" x14ac:dyDescent="0.3">
      <c r="AD6557" s="16"/>
    </row>
    <row r="6558" spans="30:30" x14ac:dyDescent="0.3">
      <c r="AD6558" s="16"/>
    </row>
    <row r="6559" spans="30:30" x14ac:dyDescent="0.3">
      <c r="AD6559" s="16"/>
    </row>
    <row r="6560" spans="30:30" x14ac:dyDescent="0.3">
      <c r="AD6560" s="16"/>
    </row>
    <row r="6561" spans="30:30" x14ac:dyDescent="0.3">
      <c r="AD6561" s="16"/>
    </row>
    <row r="6562" spans="30:30" x14ac:dyDescent="0.3">
      <c r="AD6562" s="16"/>
    </row>
    <row r="6563" spans="30:30" x14ac:dyDescent="0.3">
      <c r="AD6563" s="16"/>
    </row>
    <row r="6564" spans="30:30" x14ac:dyDescent="0.3">
      <c r="AD6564" s="16"/>
    </row>
    <row r="6565" spans="30:30" x14ac:dyDescent="0.3">
      <c r="AD6565" s="16"/>
    </row>
    <row r="6566" spans="30:30" x14ac:dyDescent="0.3">
      <c r="AD6566" s="16"/>
    </row>
    <row r="6567" spans="30:30" x14ac:dyDescent="0.3">
      <c r="AD6567" s="16"/>
    </row>
    <row r="6568" spans="30:30" x14ac:dyDescent="0.3">
      <c r="AD6568" s="16"/>
    </row>
    <row r="6569" spans="30:30" x14ac:dyDescent="0.3">
      <c r="AD6569" s="16"/>
    </row>
    <row r="6570" spans="30:30" x14ac:dyDescent="0.3">
      <c r="AD6570" s="16"/>
    </row>
    <row r="6571" spans="30:30" x14ac:dyDescent="0.3">
      <c r="AD6571" s="16"/>
    </row>
    <row r="6572" spans="30:30" x14ac:dyDescent="0.3">
      <c r="AD6572" s="16"/>
    </row>
    <row r="6573" spans="30:30" x14ac:dyDescent="0.3">
      <c r="AD6573" s="16"/>
    </row>
    <row r="6574" spans="30:30" x14ac:dyDescent="0.3">
      <c r="AD6574" s="16"/>
    </row>
    <row r="6575" spans="30:30" x14ac:dyDescent="0.3">
      <c r="AD6575" s="16"/>
    </row>
    <row r="6576" spans="30:30" x14ac:dyDescent="0.3">
      <c r="AD6576" s="16"/>
    </row>
    <row r="6577" spans="30:30" x14ac:dyDescent="0.3">
      <c r="AD6577" s="16"/>
    </row>
    <row r="6578" spans="30:30" x14ac:dyDescent="0.3">
      <c r="AD6578" s="16"/>
    </row>
    <row r="6579" spans="30:30" x14ac:dyDescent="0.3">
      <c r="AD6579" s="16"/>
    </row>
    <row r="6580" spans="30:30" x14ac:dyDescent="0.3">
      <c r="AD6580" s="16"/>
    </row>
    <row r="6581" spans="30:30" x14ac:dyDescent="0.3">
      <c r="AD6581" s="16"/>
    </row>
    <row r="6582" spans="30:30" x14ac:dyDescent="0.3">
      <c r="AD6582" s="16"/>
    </row>
    <row r="6583" spans="30:30" x14ac:dyDescent="0.3">
      <c r="AD6583" s="16"/>
    </row>
    <row r="6584" spans="30:30" x14ac:dyDescent="0.3">
      <c r="AD6584" s="16"/>
    </row>
    <row r="6585" spans="30:30" x14ac:dyDescent="0.3">
      <c r="AD6585" s="16"/>
    </row>
    <row r="6586" spans="30:30" x14ac:dyDescent="0.3">
      <c r="AD6586" s="16"/>
    </row>
    <row r="6587" spans="30:30" x14ac:dyDescent="0.3">
      <c r="AD6587" s="16"/>
    </row>
    <row r="6588" spans="30:30" x14ac:dyDescent="0.3">
      <c r="AD6588" s="16"/>
    </row>
    <row r="6589" spans="30:30" x14ac:dyDescent="0.3">
      <c r="AD6589" s="16"/>
    </row>
    <row r="6590" spans="30:30" x14ac:dyDescent="0.3">
      <c r="AD6590" s="16"/>
    </row>
    <row r="6591" spans="30:30" x14ac:dyDescent="0.3">
      <c r="AD6591" s="16"/>
    </row>
    <row r="6592" spans="30:30" x14ac:dyDescent="0.3">
      <c r="AD6592" s="16"/>
    </row>
    <row r="6593" spans="30:30" x14ac:dyDescent="0.3">
      <c r="AD6593" s="16"/>
    </row>
    <row r="6594" spans="30:30" x14ac:dyDescent="0.3">
      <c r="AD6594" s="16"/>
    </row>
    <row r="6595" spans="30:30" x14ac:dyDescent="0.3">
      <c r="AD6595" s="16"/>
    </row>
    <row r="6596" spans="30:30" x14ac:dyDescent="0.3">
      <c r="AD6596" s="16"/>
    </row>
    <row r="6597" spans="30:30" x14ac:dyDescent="0.3">
      <c r="AD6597" s="16"/>
    </row>
    <row r="6598" spans="30:30" x14ac:dyDescent="0.3">
      <c r="AD6598" s="16"/>
    </row>
    <row r="6599" spans="30:30" x14ac:dyDescent="0.3">
      <c r="AD6599" s="16"/>
    </row>
    <row r="6600" spans="30:30" x14ac:dyDescent="0.3">
      <c r="AD6600" s="16"/>
    </row>
    <row r="6601" spans="30:30" x14ac:dyDescent="0.3">
      <c r="AD6601" s="16"/>
    </row>
    <row r="6602" spans="30:30" x14ac:dyDescent="0.3">
      <c r="AD6602" s="16"/>
    </row>
    <row r="6603" spans="30:30" x14ac:dyDescent="0.3">
      <c r="AD6603" s="16"/>
    </row>
    <row r="6604" spans="30:30" x14ac:dyDescent="0.3">
      <c r="AD6604" s="16"/>
    </row>
    <row r="6605" spans="30:30" x14ac:dyDescent="0.3">
      <c r="AD6605" s="16"/>
    </row>
    <row r="6606" spans="30:30" x14ac:dyDescent="0.3">
      <c r="AD6606" s="16"/>
    </row>
    <row r="6607" spans="30:30" x14ac:dyDescent="0.3">
      <c r="AD6607" s="16"/>
    </row>
    <row r="6608" spans="30:30" x14ac:dyDescent="0.3">
      <c r="AD6608" s="16"/>
    </row>
    <row r="6609" spans="30:30" x14ac:dyDescent="0.3">
      <c r="AD6609" s="16"/>
    </row>
    <row r="6610" spans="30:30" x14ac:dyDescent="0.3">
      <c r="AD6610" s="16"/>
    </row>
    <row r="6611" spans="30:30" x14ac:dyDescent="0.3">
      <c r="AD6611" s="16"/>
    </row>
    <row r="6612" spans="30:30" x14ac:dyDescent="0.3">
      <c r="AD6612" s="16"/>
    </row>
    <row r="6613" spans="30:30" x14ac:dyDescent="0.3">
      <c r="AD6613" s="16"/>
    </row>
    <row r="6614" spans="30:30" x14ac:dyDescent="0.3">
      <c r="AD6614" s="16"/>
    </row>
    <row r="6615" spans="30:30" x14ac:dyDescent="0.3">
      <c r="AD6615" s="16"/>
    </row>
    <row r="6616" spans="30:30" x14ac:dyDescent="0.3">
      <c r="AD6616" s="16"/>
    </row>
    <row r="6617" spans="30:30" x14ac:dyDescent="0.3">
      <c r="AD6617" s="16"/>
    </row>
    <row r="6618" spans="30:30" x14ac:dyDescent="0.3">
      <c r="AD6618" s="16"/>
    </row>
    <row r="6619" spans="30:30" x14ac:dyDescent="0.3">
      <c r="AD6619" s="16"/>
    </row>
    <row r="6620" spans="30:30" x14ac:dyDescent="0.3">
      <c r="AD6620" s="16"/>
    </row>
    <row r="6621" spans="30:30" x14ac:dyDescent="0.3">
      <c r="AD6621" s="16"/>
    </row>
    <row r="6622" spans="30:30" x14ac:dyDescent="0.3">
      <c r="AD6622" s="16"/>
    </row>
    <row r="6623" spans="30:30" x14ac:dyDescent="0.3">
      <c r="AD6623" s="16"/>
    </row>
    <row r="6624" spans="30:30" x14ac:dyDescent="0.3">
      <c r="AD6624" s="16"/>
    </row>
    <row r="6625" spans="30:30" x14ac:dyDescent="0.3">
      <c r="AD6625" s="16"/>
    </row>
    <row r="6626" spans="30:30" x14ac:dyDescent="0.3">
      <c r="AD6626" s="16"/>
    </row>
    <row r="6627" spans="30:30" x14ac:dyDescent="0.3">
      <c r="AD6627" s="16"/>
    </row>
    <row r="6628" spans="30:30" x14ac:dyDescent="0.3">
      <c r="AD6628" s="16"/>
    </row>
    <row r="6629" spans="30:30" x14ac:dyDescent="0.3">
      <c r="AD6629" s="16"/>
    </row>
    <row r="6630" spans="30:30" x14ac:dyDescent="0.3">
      <c r="AD6630" s="16"/>
    </row>
    <row r="6631" spans="30:30" x14ac:dyDescent="0.3">
      <c r="AD6631" s="16"/>
    </row>
    <row r="6632" spans="30:30" x14ac:dyDescent="0.3">
      <c r="AD6632" s="16"/>
    </row>
    <row r="6633" spans="30:30" x14ac:dyDescent="0.3">
      <c r="AD6633" s="16"/>
    </row>
    <row r="6634" spans="30:30" x14ac:dyDescent="0.3">
      <c r="AD6634" s="16"/>
    </row>
    <row r="6635" spans="30:30" x14ac:dyDescent="0.3">
      <c r="AD6635" s="16"/>
    </row>
    <row r="6636" spans="30:30" x14ac:dyDescent="0.3">
      <c r="AD6636" s="16"/>
    </row>
    <row r="6637" spans="30:30" x14ac:dyDescent="0.3">
      <c r="AD6637" s="16"/>
    </row>
    <row r="6638" spans="30:30" x14ac:dyDescent="0.3">
      <c r="AD6638" s="16"/>
    </row>
    <row r="6639" spans="30:30" x14ac:dyDescent="0.3">
      <c r="AD6639" s="16"/>
    </row>
    <row r="6640" spans="30:30" x14ac:dyDescent="0.3">
      <c r="AD6640" s="16"/>
    </row>
    <row r="6641" spans="30:30" x14ac:dyDescent="0.3">
      <c r="AD6641" s="16"/>
    </row>
    <row r="6642" spans="30:30" x14ac:dyDescent="0.3">
      <c r="AD6642" s="16"/>
    </row>
    <row r="6643" spans="30:30" x14ac:dyDescent="0.3">
      <c r="AD6643" s="16"/>
    </row>
    <row r="6644" spans="30:30" x14ac:dyDescent="0.3">
      <c r="AD6644" s="16"/>
    </row>
    <row r="6645" spans="30:30" x14ac:dyDescent="0.3">
      <c r="AD6645" s="16"/>
    </row>
    <row r="6646" spans="30:30" x14ac:dyDescent="0.3">
      <c r="AD6646" s="16"/>
    </row>
    <row r="6647" spans="30:30" x14ac:dyDescent="0.3">
      <c r="AD6647" s="16"/>
    </row>
    <row r="6648" spans="30:30" x14ac:dyDescent="0.3">
      <c r="AD6648" s="16"/>
    </row>
    <row r="6649" spans="30:30" x14ac:dyDescent="0.3">
      <c r="AD6649" s="16"/>
    </row>
    <row r="6650" spans="30:30" x14ac:dyDescent="0.3">
      <c r="AD6650" s="16"/>
    </row>
    <row r="6651" spans="30:30" x14ac:dyDescent="0.3">
      <c r="AD6651" s="16"/>
    </row>
    <row r="6652" spans="30:30" x14ac:dyDescent="0.3">
      <c r="AD6652" s="16"/>
    </row>
    <row r="6653" spans="30:30" x14ac:dyDescent="0.3">
      <c r="AD6653" s="16"/>
    </row>
    <row r="6654" spans="30:30" x14ac:dyDescent="0.3">
      <c r="AD6654" s="16"/>
    </row>
    <row r="6655" spans="30:30" x14ac:dyDescent="0.3">
      <c r="AD6655" s="16"/>
    </row>
    <row r="6656" spans="30:30" x14ac:dyDescent="0.3">
      <c r="AD6656" s="16"/>
    </row>
    <row r="6657" spans="30:30" x14ac:dyDescent="0.3">
      <c r="AD6657" s="16"/>
    </row>
    <row r="6658" spans="30:30" x14ac:dyDescent="0.3">
      <c r="AD6658" s="16"/>
    </row>
    <row r="6659" spans="30:30" x14ac:dyDescent="0.3">
      <c r="AD6659" s="16"/>
    </row>
    <row r="6660" spans="30:30" x14ac:dyDescent="0.3">
      <c r="AD6660" s="16"/>
    </row>
    <row r="6661" spans="30:30" x14ac:dyDescent="0.3">
      <c r="AD6661" s="16"/>
    </row>
    <row r="6662" spans="30:30" x14ac:dyDescent="0.3">
      <c r="AD6662" s="16"/>
    </row>
    <row r="6663" spans="30:30" x14ac:dyDescent="0.3">
      <c r="AD6663" s="16"/>
    </row>
    <row r="6664" spans="30:30" x14ac:dyDescent="0.3">
      <c r="AD6664" s="16"/>
    </row>
    <row r="6665" spans="30:30" x14ac:dyDescent="0.3">
      <c r="AD6665" s="16"/>
    </row>
    <row r="6666" spans="30:30" x14ac:dyDescent="0.3">
      <c r="AD6666" s="16"/>
    </row>
    <row r="6667" spans="30:30" x14ac:dyDescent="0.3">
      <c r="AD6667" s="16"/>
    </row>
    <row r="6668" spans="30:30" x14ac:dyDescent="0.3">
      <c r="AD6668" s="16"/>
    </row>
    <row r="6669" spans="30:30" x14ac:dyDescent="0.3">
      <c r="AD6669" s="16"/>
    </row>
    <row r="6670" spans="30:30" x14ac:dyDescent="0.3">
      <c r="AD6670" s="16"/>
    </row>
    <row r="6671" spans="30:30" x14ac:dyDescent="0.3">
      <c r="AD6671" s="16"/>
    </row>
    <row r="6672" spans="30:30" x14ac:dyDescent="0.3">
      <c r="AD6672" s="16"/>
    </row>
    <row r="6673" spans="30:30" x14ac:dyDescent="0.3">
      <c r="AD6673" s="16"/>
    </row>
    <row r="6674" spans="30:30" x14ac:dyDescent="0.3">
      <c r="AD6674" s="16"/>
    </row>
    <row r="6675" spans="30:30" x14ac:dyDescent="0.3">
      <c r="AD6675" s="16"/>
    </row>
    <row r="6676" spans="30:30" x14ac:dyDescent="0.3">
      <c r="AD6676" s="16"/>
    </row>
    <row r="6677" spans="30:30" x14ac:dyDescent="0.3">
      <c r="AD6677" s="16"/>
    </row>
    <row r="6678" spans="30:30" x14ac:dyDescent="0.3">
      <c r="AD6678" s="16"/>
    </row>
    <row r="6679" spans="30:30" x14ac:dyDescent="0.3">
      <c r="AD6679" s="16"/>
    </row>
    <row r="6680" spans="30:30" x14ac:dyDescent="0.3">
      <c r="AD6680" s="16"/>
    </row>
    <row r="6681" spans="30:30" x14ac:dyDescent="0.3">
      <c r="AD6681" s="16"/>
    </row>
    <row r="6682" spans="30:30" x14ac:dyDescent="0.3">
      <c r="AD6682" s="16"/>
    </row>
    <row r="6683" spans="30:30" x14ac:dyDescent="0.3">
      <c r="AD6683" s="16"/>
    </row>
    <row r="6684" spans="30:30" x14ac:dyDescent="0.3">
      <c r="AD6684" s="16"/>
    </row>
    <row r="6685" spans="30:30" x14ac:dyDescent="0.3">
      <c r="AD6685" s="16"/>
    </row>
    <row r="6686" spans="30:30" x14ac:dyDescent="0.3">
      <c r="AD6686" s="16"/>
    </row>
    <row r="6687" spans="30:30" x14ac:dyDescent="0.3">
      <c r="AD6687" s="16"/>
    </row>
    <row r="6688" spans="30:30" x14ac:dyDescent="0.3">
      <c r="AD6688" s="16"/>
    </row>
    <row r="6689" spans="30:30" x14ac:dyDescent="0.3">
      <c r="AD6689" s="16"/>
    </row>
    <row r="6690" spans="30:30" x14ac:dyDescent="0.3">
      <c r="AD6690" s="16"/>
    </row>
    <row r="6691" spans="30:30" x14ac:dyDescent="0.3">
      <c r="AD6691" s="16"/>
    </row>
    <row r="6692" spans="30:30" x14ac:dyDescent="0.3">
      <c r="AD6692" s="16"/>
    </row>
    <row r="6693" spans="30:30" x14ac:dyDescent="0.3">
      <c r="AD6693" s="16"/>
    </row>
    <row r="6694" spans="30:30" x14ac:dyDescent="0.3">
      <c r="AD6694" s="16"/>
    </row>
    <row r="6695" spans="30:30" x14ac:dyDescent="0.3">
      <c r="AD6695" s="16"/>
    </row>
    <row r="6696" spans="30:30" x14ac:dyDescent="0.3">
      <c r="AD6696" s="16"/>
    </row>
    <row r="6697" spans="30:30" x14ac:dyDescent="0.3">
      <c r="AD6697" s="16"/>
    </row>
    <row r="6698" spans="30:30" x14ac:dyDescent="0.3">
      <c r="AD6698" s="16"/>
    </row>
    <row r="6699" spans="30:30" x14ac:dyDescent="0.3">
      <c r="AD6699" s="16"/>
    </row>
    <row r="6700" spans="30:30" x14ac:dyDescent="0.3">
      <c r="AD6700" s="16"/>
    </row>
    <row r="6701" spans="30:30" x14ac:dyDescent="0.3">
      <c r="AD6701" s="16"/>
    </row>
    <row r="6702" spans="30:30" x14ac:dyDescent="0.3">
      <c r="AD6702" s="16"/>
    </row>
    <row r="6703" spans="30:30" x14ac:dyDescent="0.3">
      <c r="AD6703" s="16"/>
    </row>
    <row r="6704" spans="30:30" x14ac:dyDescent="0.3">
      <c r="AD6704" s="16"/>
    </row>
    <row r="6705" spans="30:30" x14ac:dyDescent="0.3">
      <c r="AD6705" s="16"/>
    </row>
    <row r="6706" spans="30:30" x14ac:dyDescent="0.3">
      <c r="AD6706" s="16"/>
    </row>
    <row r="6707" spans="30:30" x14ac:dyDescent="0.3">
      <c r="AD6707" s="16"/>
    </row>
    <row r="6708" spans="30:30" x14ac:dyDescent="0.3">
      <c r="AD6708" s="16"/>
    </row>
    <row r="6709" spans="30:30" x14ac:dyDescent="0.3">
      <c r="AD6709" s="16"/>
    </row>
    <row r="6710" spans="30:30" x14ac:dyDescent="0.3">
      <c r="AD6710" s="16"/>
    </row>
    <row r="6711" spans="30:30" x14ac:dyDescent="0.3">
      <c r="AD6711" s="16"/>
    </row>
    <row r="6712" spans="30:30" x14ac:dyDescent="0.3">
      <c r="AD6712" s="16"/>
    </row>
    <row r="6713" spans="30:30" x14ac:dyDescent="0.3">
      <c r="AD6713" s="16"/>
    </row>
    <row r="6714" spans="30:30" x14ac:dyDescent="0.3">
      <c r="AD6714" s="16"/>
    </row>
    <row r="6715" spans="30:30" x14ac:dyDescent="0.3">
      <c r="AD6715" s="16"/>
    </row>
    <row r="6716" spans="30:30" x14ac:dyDescent="0.3">
      <c r="AD6716" s="16"/>
    </row>
    <row r="6717" spans="30:30" x14ac:dyDescent="0.3">
      <c r="AD6717" s="16"/>
    </row>
    <row r="6718" spans="30:30" x14ac:dyDescent="0.3">
      <c r="AD6718" s="16"/>
    </row>
    <row r="6719" spans="30:30" x14ac:dyDescent="0.3">
      <c r="AD6719" s="16"/>
    </row>
    <row r="6720" spans="30:30" x14ac:dyDescent="0.3">
      <c r="AD6720" s="16"/>
    </row>
    <row r="6721" spans="30:30" x14ac:dyDescent="0.3">
      <c r="AD6721" s="16"/>
    </row>
    <row r="6722" spans="30:30" x14ac:dyDescent="0.3">
      <c r="AD6722" s="16"/>
    </row>
    <row r="6723" spans="30:30" x14ac:dyDescent="0.3">
      <c r="AD6723" s="16"/>
    </row>
    <row r="6724" spans="30:30" x14ac:dyDescent="0.3">
      <c r="AD6724" s="16"/>
    </row>
    <row r="6725" spans="30:30" x14ac:dyDescent="0.3">
      <c r="AD6725" s="16"/>
    </row>
    <row r="6726" spans="30:30" x14ac:dyDescent="0.3">
      <c r="AD6726" s="16"/>
    </row>
    <row r="6727" spans="30:30" x14ac:dyDescent="0.3">
      <c r="AD6727" s="16"/>
    </row>
    <row r="6728" spans="30:30" x14ac:dyDescent="0.3">
      <c r="AD6728" s="16"/>
    </row>
    <row r="6729" spans="30:30" x14ac:dyDescent="0.3">
      <c r="AD6729" s="16"/>
    </row>
    <row r="6730" spans="30:30" x14ac:dyDescent="0.3">
      <c r="AD6730" s="16"/>
    </row>
    <row r="6731" spans="30:30" x14ac:dyDescent="0.3">
      <c r="AD6731" s="16"/>
    </row>
    <row r="6732" spans="30:30" x14ac:dyDescent="0.3">
      <c r="AD6732" s="16"/>
    </row>
    <row r="6733" spans="30:30" x14ac:dyDescent="0.3">
      <c r="AD6733" s="16"/>
    </row>
    <row r="6734" spans="30:30" x14ac:dyDescent="0.3">
      <c r="AD6734" s="16"/>
    </row>
    <row r="6735" spans="30:30" x14ac:dyDescent="0.3">
      <c r="AD6735" s="16"/>
    </row>
    <row r="6736" spans="30:30" x14ac:dyDescent="0.3">
      <c r="AD6736" s="16"/>
    </row>
    <row r="6737" spans="30:30" x14ac:dyDescent="0.3">
      <c r="AD6737" s="16"/>
    </row>
    <row r="6738" spans="30:30" x14ac:dyDescent="0.3">
      <c r="AD6738" s="16"/>
    </row>
    <row r="6739" spans="30:30" x14ac:dyDescent="0.3">
      <c r="AD6739" s="16"/>
    </row>
    <row r="6740" spans="30:30" x14ac:dyDescent="0.3">
      <c r="AD6740" s="16"/>
    </row>
    <row r="6741" spans="30:30" x14ac:dyDescent="0.3">
      <c r="AD6741" s="16"/>
    </row>
    <row r="6742" spans="30:30" x14ac:dyDescent="0.3">
      <c r="AD6742" s="16"/>
    </row>
    <row r="6743" spans="30:30" x14ac:dyDescent="0.3">
      <c r="AD6743" s="16"/>
    </row>
    <row r="6744" spans="30:30" x14ac:dyDescent="0.3">
      <c r="AD6744" s="16"/>
    </row>
    <row r="6745" spans="30:30" x14ac:dyDescent="0.3">
      <c r="AD6745" s="16"/>
    </row>
    <row r="6746" spans="30:30" x14ac:dyDescent="0.3">
      <c r="AD6746" s="16"/>
    </row>
    <row r="6747" spans="30:30" x14ac:dyDescent="0.3">
      <c r="AD6747" s="16"/>
    </row>
    <row r="6748" spans="30:30" x14ac:dyDescent="0.3">
      <c r="AD6748" s="16"/>
    </row>
    <row r="6749" spans="30:30" x14ac:dyDescent="0.3">
      <c r="AD6749" s="16"/>
    </row>
    <row r="6750" spans="30:30" x14ac:dyDescent="0.3">
      <c r="AD6750" s="16"/>
    </row>
    <row r="6751" spans="30:30" x14ac:dyDescent="0.3">
      <c r="AD6751" s="16"/>
    </row>
    <row r="6752" spans="30:30" x14ac:dyDescent="0.3">
      <c r="AD6752" s="16"/>
    </row>
    <row r="6753" spans="30:30" x14ac:dyDescent="0.3">
      <c r="AD6753" s="16"/>
    </row>
    <row r="6754" spans="30:30" x14ac:dyDescent="0.3">
      <c r="AD6754" s="16"/>
    </row>
    <row r="6755" spans="30:30" x14ac:dyDescent="0.3">
      <c r="AD6755" s="16"/>
    </row>
    <row r="6756" spans="30:30" x14ac:dyDescent="0.3">
      <c r="AD6756" s="16"/>
    </row>
    <row r="6757" spans="30:30" x14ac:dyDescent="0.3">
      <c r="AD6757" s="16"/>
    </row>
    <row r="6758" spans="30:30" x14ac:dyDescent="0.3">
      <c r="AD6758" s="16"/>
    </row>
    <row r="6759" spans="30:30" x14ac:dyDescent="0.3">
      <c r="AD6759" s="16"/>
    </row>
    <row r="6760" spans="30:30" x14ac:dyDescent="0.3">
      <c r="AD6760" s="16"/>
    </row>
    <row r="6761" spans="30:30" x14ac:dyDescent="0.3">
      <c r="AD6761" s="16"/>
    </row>
    <row r="6762" spans="30:30" x14ac:dyDescent="0.3">
      <c r="AD6762" s="16"/>
    </row>
    <row r="6763" spans="30:30" x14ac:dyDescent="0.3">
      <c r="AD6763" s="16"/>
    </row>
    <row r="6764" spans="30:30" x14ac:dyDescent="0.3">
      <c r="AD6764" s="16"/>
    </row>
    <row r="6765" spans="30:30" x14ac:dyDescent="0.3">
      <c r="AD6765" s="16"/>
    </row>
    <row r="6766" spans="30:30" x14ac:dyDescent="0.3">
      <c r="AD6766" s="16"/>
    </row>
    <row r="6767" spans="30:30" x14ac:dyDescent="0.3">
      <c r="AD6767" s="16"/>
    </row>
    <row r="6768" spans="30:30" x14ac:dyDescent="0.3">
      <c r="AD6768" s="16"/>
    </row>
    <row r="6769" spans="30:30" x14ac:dyDescent="0.3">
      <c r="AD6769" s="16"/>
    </row>
    <row r="6770" spans="30:30" x14ac:dyDescent="0.3">
      <c r="AD6770" s="16"/>
    </row>
    <row r="6771" spans="30:30" x14ac:dyDescent="0.3">
      <c r="AD6771" s="16"/>
    </row>
    <row r="6772" spans="30:30" x14ac:dyDescent="0.3">
      <c r="AD6772" s="16"/>
    </row>
    <row r="6773" spans="30:30" x14ac:dyDescent="0.3">
      <c r="AD6773" s="16"/>
    </row>
    <row r="6774" spans="30:30" x14ac:dyDescent="0.3">
      <c r="AD6774" s="16"/>
    </row>
    <row r="6775" spans="30:30" x14ac:dyDescent="0.3">
      <c r="AD6775" s="16"/>
    </row>
    <row r="6776" spans="30:30" x14ac:dyDescent="0.3">
      <c r="AD6776" s="16"/>
    </row>
    <row r="6777" spans="30:30" x14ac:dyDescent="0.3">
      <c r="AD6777" s="16"/>
    </row>
    <row r="6778" spans="30:30" x14ac:dyDescent="0.3">
      <c r="AD6778" s="16"/>
    </row>
    <row r="6779" spans="30:30" x14ac:dyDescent="0.3">
      <c r="AD6779" s="16"/>
    </row>
    <row r="6780" spans="30:30" x14ac:dyDescent="0.3">
      <c r="AD6780" s="16"/>
    </row>
    <row r="6781" spans="30:30" x14ac:dyDescent="0.3">
      <c r="AD6781" s="16"/>
    </row>
    <row r="6782" spans="30:30" x14ac:dyDescent="0.3">
      <c r="AD6782" s="16"/>
    </row>
    <row r="6783" spans="30:30" x14ac:dyDescent="0.3">
      <c r="AD6783" s="16"/>
    </row>
    <row r="6784" spans="30:30" x14ac:dyDescent="0.3">
      <c r="AD6784" s="16"/>
    </row>
    <row r="6785" spans="30:30" x14ac:dyDescent="0.3">
      <c r="AD6785" s="16"/>
    </row>
    <row r="6786" spans="30:30" x14ac:dyDescent="0.3">
      <c r="AD6786" s="16"/>
    </row>
    <row r="6787" spans="30:30" x14ac:dyDescent="0.3">
      <c r="AD6787" s="16"/>
    </row>
    <row r="6788" spans="30:30" x14ac:dyDescent="0.3">
      <c r="AD6788" s="16"/>
    </row>
    <row r="6789" spans="30:30" x14ac:dyDescent="0.3">
      <c r="AD6789" s="16"/>
    </row>
    <row r="6790" spans="30:30" x14ac:dyDescent="0.3">
      <c r="AD6790" s="16"/>
    </row>
    <row r="6791" spans="30:30" x14ac:dyDescent="0.3">
      <c r="AD6791" s="16"/>
    </row>
    <row r="6792" spans="30:30" x14ac:dyDescent="0.3">
      <c r="AD6792" s="16"/>
    </row>
    <row r="6793" spans="30:30" x14ac:dyDescent="0.3">
      <c r="AD6793" s="16"/>
    </row>
    <row r="6794" spans="30:30" x14ac:dyDescent="0.3">
      <c r="AD6794" s="16"/>
    </row>
    <row r="6795" spans="30:30" x14ac:dyDescent="0.3">
      <c r="AD6795" s="16"/>
    </row>
    <row r="6796" spans="30:30" x14ac:dyDescent="0.3">
      <c r="AD6796" s="16"/>
    </row>
    <row r="6797" spans="30:30" x14ac:dyDescent="0.3">
      <c r="AD6797" s="16"/>
    </row>
    <row r="6798" spans="30:30" x14ac:dyDescent="0.3">
      <c r="AD6798" s="16"/>
    </row>
    <row r="6799" spans="30:30" x14ac:dyDescent="0.3">
      <c r="AD6799" s="16"/>
    </row>
    <row r="6800" spans="30:30" x14ac:dyDescent="0.3">
      <c r="AD6800" s="16"/>
    </row>
    <row r="6801" spans="30:30" x14ac:dyDescent="0.3">
      <c r="AD6801" s="16"/>
    </row>
    <row r="6802" spans="30:30" x14ac:dyDescent="0.3">
      <c r="AD6802" s="16"/>
    </row>
    <row r="6803" spans="30:30" x14ac:dyDescent="0.3">
      <c r="AD6803" s="16"/>
    </row>
    <row r="6804" spans="30:30" x14ac:dyDescent="0.3">
      <c r="AD6804" s="16"/>
    </row>
    <row r="6805" spans="30:30" x14ac:dyDescent="0.3">
      <c r="AD6805" s="16"/>
    </row>
    <row r="6806" spans="30:30" x14ac:dyDescent="0.3">
      <c r="AD6806" s="16"/>
    </row>
    <row r="6807" spans="30:30" x14ac:dyDescent="0.3">
      <c r="AD6807" s="16"/>
    </row>
    <row r="6808" spans="30:30" x14ac:dyDescent="0.3">
      <c r="AD6808" s="16"/>
    </row>
    <row r="6809" spans="30:30" x14ac:dyDescent="0.3">
      <c r="AD6809" s="16"/>
    </row>
    <row r="6810" spans="30:30" x14ac:dyDescent="0.3">
      <c r="AD6810" s="16"/>
    </row>
    <row r="6811" spans="30:30" x14ac:dyDescent="0.3">
      <c r="AD6811" s="16"/>
    </row>
    <row r="6812" spans="30:30" x14ac:dyDescent="0.3">
      <c r="AD6812" s="16"/>
    </row>
    <row r="6813" spans="30:30" x14ac:dyDescent="0.3">
      <c r="AD6813" s="16"/>
    </row>
    <row r="6814" spans="30:30" x14ac:dyDescent="0.3">
      <c r="AD6814" s="16"/>
    </row>
    <row r="6815" spans="30:30" x14ac:dyDescent="0.3">
      <c r="AD6815" s="16"/>
    </row>
    <row r="6816" spans="30:30" x14ac:dyDescent="0.3">
      <c r="AD6816" s="16"/>
    </row>
    <row r="6817" spans="30:30" x14ac:dyDescent="0.3">
      <c r="AD6817" s="16"/>
    </row>
    <row r="6818" spans="30:30" x14ac:dyDescent="0.3">
      <c r="AD6818" s="16"/>
    </row>
    <row r="6819" spans="30:30" x14ac:dyDescent="0.3">
      <c r="AD6819" s="16"/>
    </row>
    <row r="6820" spans="30:30" x14ac:dyDescent="0.3">
      <c r="AD6820" s="16"/>
    </row>
    <row r="6821" spans="30:30" x14ac:dyDescent="0.3">
      <c r="AD6821" s="16"/>
    </row>
    <row r="6822" spans="30:30" x14ac:dyDescent="0.3">
      <c r="AD6822" s="16"/>
    </row>
    <row r="6823" spans="30:30" x14ac:dyDescent="0.3">
      <c r="AD6823" s="16"/>
    </row>
    <row r="6824" spans="30:30" x14ac:dyDescent="0.3">
      <c r="AD6824" s="16"/>
    </row>
    <row r="6825" spans="30:30" x14ac:dyDescent="0.3">
      <c r="AD6825" s="16"/>
    </row>
    <row r="6826" spans="30:30" x14ac:dyDescent="0.3">
      <c r="AD6826" s="16"/>
    </row>
    <row r="6827" spans="30:30" x14ac:dyDescent="0.3">
      <c r="AD6827" s="16"/>
    </row>
    <row r="6828" spans="30:30" x14ac:dyDescent="0.3">
      <c r="AD6828" s="16"/>
    </row>
    <row r="6829" spans="30:30" x14ac:dyDescent="0.3">
      <c r="AD6829" s="16"/>
    </row>
    <row r="6830" spans="30:30" x14ac:dyDescent="0.3">
      <c r="AD6830" s="16"/>
    </row>
    <row r="6831" spans="30:30" x14ac:dyDescent="0.3">
      <c r="AD6831" s="16"/>
    </row>
    <row r="6832" spans="30:30" x14ac:dyDescent="0.3">
      <c r="AD6832" s="16"/>
    </row>
    <row r="6833" spans="30:30" x14ac:dyDescent="0.3">
      <c r="AD6833" s="16"/>
    </row>
    <row r="6834" spans="30:30" x14ac:dyDescent="0.3">
      <c r="AD6834" s="16"/>
    </row>
    <row r="6835" spans="30:30" x14ac:dyDescent="0.3">
      <c r="AD6835" s="16"/>
    </row>
    <row r="6836" spans="30:30" x14ac:dyDescent="0.3">
      <c r="AD6836" s="16"/>
    </row>
    <row r="6837" spans="30:30" x14ac:dyDescent="0.3">
      <c r="AD6837" s="16"/>
    </row>
    <row r="6838" spans="30:30" x14ac:dyDescent="0.3">
      <c r="AD6838" s="16"/>
    </row>
    <row r="6839" spans="30:30" x14ac:dyDescent="0.3">
      <c r="AD6839" s="16"/>
    </row>
    <row r="6840" spans="30:30" x14ac:dyDescent="0.3">
      <c r="AD6840" s="16"/>
    </row>
    <row r="6841" spans="30:30" x14ac:dyDescent="0.3">
      <c r="AD6841" s="16"/>
    </row>
    <row r="6842" spans="30:30" x14ac:dyDescent="0.3">
      <c r="AD6842" s="16"/>
    </row>
    <row r="6843" spans="30:30" x14ac:dyDescent="0.3">
      <c r="AD6843" s="16"/>
    </row>
    <row r="6844" spans="30:30" x14ac:dyDescent="0.3">
      <c r="AD6844" s="16"/>
    </row>
    <row r="6845" spans="30:30" x14ac:dyDescent="0.3">
      <c r="AD6845" s="16"/>
    </row>
    <row r="6846" spans="30:30" x14ac:dyDescent="0.3">
      <c r="AD6846" s="16"/>
    </row>
    <row r="6847" spans="30:30" x14ac:dyDescent="0.3">
      <c r="AD6847" s="16"/>
    </row>
    <row r="6848" spans="30:30" x14ac:dyDescent="0.3">
      <c r="AD6848" s="16"/>
    </row>
    <row r="6849" spans="30:30" x14ac:dyDescent="0.3">
      <c r="AD6849" s="16"/>
    </row>
    <row r="6850" spans="30:30" x14ac:dyDescent="0.3">
      <c r="AD6850" s="16"/>
    </row>
    <row r="6851" spans="30:30" x14ac:dyDescent="0.3">
      <c r="AD6851" s="16"/>
    </row>
    <row r="6852" spans="30:30" x14ac:dyDescent="0.3">
      <c r="AD6852" s="16"/>
    </row>
    <row r="6853" spans="30:30" x14ac:dyDescent="0.3">
      <c r="AD6853" s="16"/>
    </row>
    <row r="6854" spans="30:30" x14ac:dyDescent="0.3">
      <c r="AD6854" s="16"/>
    </row>
    <row r="6855" spans="30:30" x14ac:dyDescent="0.3">
      <c r="AD6855" s="16"/>
    </row>
    <row r="6856" spans="30:30" x14ac:dyDescent="0.3">
      <c r="AD6856" s="16"/>
    </row>
    <row r="6857" spans="30:30" x14ac:dyDescent="0.3">
      <c r="AD6857" s="16"/>
    </row>
    <row r="6858" spans="30:30" x14ac:dyDescent="0.3">
      <c r="AD6858" s="16"/>
    </row>
    <row r="6859" spans="30:30" x14ac:dyDescent="0.3">
      <c r="AD6859" s="16"/>
    </row>
    <row r="6860" spans="30:30" x14ac:dyDescent="0.3">
      <c r="AD6860" s="16"/>
    </row>
    <row r="6861" spans="30:30" x14ac:dyDescent="0.3">
      <c r="AD6861" s="16"/>
    </row>
    <row r="6862" spans="30:30" x14ac:dyDescent="0.3">
      <c r="AD6862" s="16"/>
    </row>
    <row r="6863" spans="30:30" x14ac:dyDescent="0.3">
      <c r="AD6863" s="16"/>
    </row>
    <row r="6864" spans="30:30" x14ac:dyDescent="0.3">
      <c r="AD6864" s="16"/>
    </row>
    <row r="6865" spans="30:30" x14ac:dyDescent="0.3">
      <c r="AD6865" s="16"/>
    </row>
    <row r="6866" spans="30:30" x14ac:dyDescent="0.3">
      <c r="AD6866" s="16"/>
    </row>
    <row r="6867" spans="30:30" x14ac:dyDescent="0.3">
      <c r="AD6867" s="16"/>
    </row>
    <row r="6868" spans="30:30" x14ac:dyDescent="0.3">
      <c r="AD6868" s="16"/>
    </row>
    <row r="6869" spans="30:30" x14ac:dyDescent="0.3">
      <c r="AD6869" s="16"/>
    </row>
    <row r="6870" spans="30:30" x14ac:dyDescent="0.3">
      <c r="AD6870" s="16"/>
    </row>
    <row r="6871" spans="30:30" x14ac:dyDescent="0.3">
      <c r="AD6871" s="16"/>
    </row>
    <row r="6872" spans="30:30" x14ac:dyDescent="0.3">
      <c r="AD6872" s="16"/>
    </row>
    <row r="6873" spans="30:30" x14ac:dyDescent="0.3">
      <c r="AD6873" s="16"/>
    </row>
    <row r="6874" spans="30:30" x14ac:dyDescent="0.3">
      <c r="AD6874" s="16"/>
    </row>
    <row r="6875" spans="30:30" x14ac:dyDescent="0.3">
      <c r="AD6875" s="16"/>
    </row>
    <row r="6876" spans="30:30" x14ac:dyDescent="0.3">
      <c r="AD6876" s="16"/>
    </row>
    <row r="6877" spans="30:30" x14ac:dyDescent="0.3">
      <c r="AD6877" s="16"/>
    </row>
    <row r="6878" spans="30:30" x14ac:dyDescent="0.3">
      <c r="AD6878" s="16"/>
    </row>
    <row r="6879" spans="30:30" x14ac:dyDescent="0.3">
      <c r="AD6879" s="16"/>
    </row>
    <row r="6880" spans="30:30" x14ac:dyDescent="0.3">
      <c r="AD6880" s="16"/>
    </row>
    <row r="6881" spans="30:30" x14ac:dyDescent="0.3">
      <c r="AD6881" s="16"/>
    </row>
    <row r="6882" spans="30:30" x14ac:dyDescent="0.3">
      <c r="AD6882" s="16"/>
    </row>
    <row r="6883" spans="30:30" x14ac:dyDescent="0.3">
      <c r="AD6883" s="16"/>
    </row>
    <row r="6884" spans="30:30" x14ac:dyDescent="0.3">
      <c r="AD6884" s="16"/>
    </row>
    <row r="6885" spans="30:30" x14ac:dyDescent="0.3">
      <c r="AD6885" s="16"/>
    </row>
    <row r="6886" spans="30:30" x14ac:dyDescent="0.3">
      <c r="AD6886" s="16"/>
    </row>
    <row r="6887" spans="30:30" x14ac:dyDescent="0.3">
      <c r="AD6887" s="16"/>
    </row>
    <row r="6888" spans="30:30" x14ac:dyDescent="0.3">
      <c r="AD6888" s="16"/>
    </row>
    <row r="6889" spans="30:30" x14ac:dyDescent="0.3">
      <c r="AD6889" s="16"/>
    </row>
    <row r="6890" spans="30:30" x14ac:dyDescent="0.3">
      <c r="AD6890" s="16"/>
    </row>
    <row r="6891" spans="30:30" x14ac:dyDescent="0.3">
      <c r="AD6891" s="16"/>
    </row>
    <row r="6892" spans="30:30" x14ac:dyDescent="0.3">
      <c r="AD6892" s="16"/>
    </row>
    <row r="6893" spans="30:30" x14ac:dyDescent="0.3">
      <c r="AD6893" s="16"/>
    </row>
    <row r="6894" spans="30:30" x14ac:dyDescent="0.3">
      <c r="AD6894" s="16"/>
    </row>
    <row r="6895" spans="30:30" x14ac:dyDescent="0.3">
      <c r="AD6895" s="16"/>
    </row>
    <row r="6896" spans="30:30" x14ac:dyDescent="0.3">
      <c r="AD6896" s="16"/>
    </row>
    <row r="6897" spans="30:30" x14ac:dyDescent="0.3">
      <c r="AD6897" s="16"/>
    </row>
    <row r="6898" spans="30:30" x14ac:dyDescent="0.3">
      <c r="AD6898" s="16"/>
    </row>
    <row r="6899" spans="30:30" x14ac:dyDescent="0.3">
      <c r="AD6899" s="16"/>
    </row>
    <row r="6900" spans="30:30" x14ac:dyDescent="0.3">
      <c r="AD6900" s="16"/>
    </row>
    <row r="6901" spans="30:30" x14ac:dyDescent="0.3">
      <c r="AD6901" s="16"/>
    </row>
    <row r="6902" spans="30:30" x14ac:dyDescent="0.3">
      <c r="AD6902" s="16"/>
    </row>
    <row r="6903" spans="30:30" x14ac:dyDescent="0.3">
      <c r="AD6903" s="16"/>
    </row>
    <row r="6904" spans="30:30" x14ac:dyDescent="0.3">
      <c r="AD6904" s="16"/>
    </row>
    <row r="6905" spans="30:30" x14ac:dyDescent="0.3">
      <c r="AD6905" s="16"/>
    </row>
    <row r="6906" spans="30:30" x14ac:dyDescent="0.3">
      <c r="AD6906" s="16"/>
    </row>
    <row r="6907" spans="30:30" x14ac:dyDescent="0.3">
      <c r="AD6907" s="16"/>
    </row>
    <row r="6908" spans="30:30" x14ac:dyDescent="0.3">
      <c r="AD6908" s="16"/>
    </row>
    <row r="6909" spans="30:30" x14ac:dyDescent="0.3">
      <c r="AD6909" s="16"/>
    </row>
    <row r="6910" spans="30:30" x14ac:dyDescent="0.3">
      <c r="AD6910" s="16"/>
    </row>
    <row r="6911" spans="30:30" x14ac:dyDescent="0.3">
      <c r="AD6911" s="16"/>
    </row>
    <row r="6912" spans="30:30" x14ac:dyDescent="0.3">
      <c r="AD6912" s="16"/>
    </row>
    <row r="6913" spans="30:30" x14ac:dyDescent="0.3">
      <c r="AD6913" s="16"/>
    </row>
    <row r="6914" spans="30:30" x14ac:dyDescent="0.3">
      <c r="AD6914" s="16"/>
    </row>
    <row r="6915" spans="30:30" x14ac:dyDescent="0.3">
      <c r="AD6915" s="16"/>
    </row>
    <row r="6916" spans="30:30" x14ac:dyDescent="0.3">
      <c r="AD6916" s="16"/>
    </row>
    <row r="6917" spans="30:30" x14ac:dyDescent="0.3">
      <c r="AD6917" s="16"/>
    </row>
    <row r="6918" spans="30:30" x14ac:dyDescent="0.3">
      <c r="AD6918" s="16"/>
    </row>
    <row r="6919" spans="30:30" x14ac:dyDescent="0.3">
      <c r="AD6919" s="16"/>
    </row>
    <row r="6920" spans="30:30" x14ac:dyDescent="0.3">
      <c r="AD6920" s="16"/>
    </row>
    <row r="6921" spans="30:30" x14ac:dyDescent="0.3">
      <c r="AD6921" s="16"/>
    </row>
    <row r="6922" spans="30:30" x14ac:dyDescent="0.3">
      <c r="AD6922" s="16"/>
    </row>
    <row r="6923" spans="30:30" x14ac:dyDescent="0.3">
      <c r="AD6923" s="16"/>
    </row>
    <row r="6924" spans="30:30" x14ac:dyDescent="0.3">
      <c r="AD6924" s="16"/>
    </row>
    <row r="6925" spans="30:30" x14ac:dyDescent="0.3">
      <c r="AD6925" s="16"/>
    </row>
    <row r="6926" spans="30:30" x14ac:dyDescent="0.3">
      <c r="AD6926" s="16"/>
    </row>
    <row r="6927" spans="30:30" x14ac:dyDescent="0.3">
      <c r="AD6927" s="16"/>
    </row>
    <row r="6928" spans="30:30" x14ac:dyDescent="0.3">
      <c r="AD6928" s="16"/>
    </row>
    <row r="6929" spans="30:30" x14ac:dyDescent="0.3">
      <c r="AD6929" s="16"/>
    </row>
    <row r="6930" spans="30:30" x14ac:dyDescent="0.3">
      <c r="AD6930" s="16"/>
    </row>
    <row r="6931" spans="30:30" x14ac:dyDescent="0.3">
      <c r="AD6931" s="16"/>
    </row>
    <row r="6932" spans="30:30" x14ac:dyDescent="0.3">
      <c r="AD6932" s="16"/>
    </row>
    <row r="6933" spans="30:30" x14ac:dyDescent="0.3">
      <c r="AD6933" s="16"/>
    </row>
    <row r="6934" spans="30:30" x14ac:dyDescent="0.3">
      <c r="AD6934" s="16"/>
    </row>
    <row r="6935" spans="30:30" x14ac:dyDescent="0.3">
      <c r="AD6935" s="16"/>
    </row>
    <row r="6936" spans="30:30" x14ac:dyDescent="0.3">
      <c r="AD6936" s="16"/>
    </row>
    <row r="6937" spans="30:30" x14ac:dyDescent="0.3">
      <c r="AD6937" s="16"/>
    </row>
    <row r="6938" spans="30:30" x14ac:dyDescent="0.3">
      <c r="AD6938" s="16"/>
    </row>
    <row r="6939" spans="30:30" x14ac:dyDescent="0.3">
      <c r="AD6939" s="16"/>
    </row>
    <row r="6940" spans="30:30" x14ac:dyDescent="0.3">
      <c r="AD6940" s="16"/>
    </row>
    <row r="6941" spans="30:30" x14ac:dyDescent="0.3">
      <c r="AD6941" s="16"/>
    </row>
    <row r="6942" spans="30:30" x14ac:dyDescent="0.3">
      <c r="AD6942" s="16"/>
    </row>
    <row r="6943" spans="30:30" x14ac:dyDescent="0.3">
      <c r="AD6943" s="16"/>
    </row>
    <row r="6944" spans="30:30" x14ac:dyDescent="0.3">
      <c r="AD6944" s="16"/>
    </row>
    <row r="6945" spans="30:30" x14ac:dyDescent="0.3">
      <c r="AD6945" s="16"/>
    </row>
    <row r="6946" spans="30:30" x14ac:dyDescent="0.3">
      <c r="AD6946" s="16"/>
    </row>
    <row r="6947" spans="30:30" x14ac:dyDescent="0.3">
      <c r="AD6947" s="16"/>
    </row>
    <row r="6948" spans="30:30" x14ac:dyDescent="0.3">
      <c r="AD6948" s="16"/>
    </row>
    <row r="6949" spans="30:30" x14ac:dyDescent="0.3">
      <c r="AD6949" s="16"/>
    </row>
    <row r="6950" spans="30:30" x14ac:dyDescent="0.3">
      <c r="AD6950" s="16"/>
    </row>
    <row r="6951" spans="30:30" x14ac:dyDescent="0.3">
      <c r="AD6951" s="16"/>
    </row>
    <row r="6952" spans="30:30" x14ac:dyDescent="0.3">
      <c r="AD6952" s="16"/>
    </row>
    <row r="6953" spans="30:30" x14ac:dyDescent="0.3">
      <c r="AD6953" s="16"/>
    </row>
    <row r="6954" spans="30:30" x14ac:dyDescent="0.3">
      <c r="AD6954" s="16"/>
    </row>
    <row r="6955" spans="30:30" x14ac:dyDescent="0.3">
      <c r="AD6955" s="16"/>
    </row>
    <row r="6956" spans="30:30" x14ac:dyDescent="0.3">
      <c r="AD6956" s="16"/>
    </row>
    <row r="6957" spans="30:30" x14ac:dyDescent="0.3">
      <c r="AD6957" s="16"/>
    </row>
    <row r="6958" spans="30:30" x14ac:dyDescent="0.3">
      <c r="AD6958" s="16"/>
    </row>
    <row r="6959" spans="30:30" x14ac:dyDescent="0.3">
      <c r="AD6959" s="16"/>
    </row>
    <row r="6960" spans="30:30" x14ac:dyDescent="0.3">
      <c r="AD6960" s="16"/>
    </row>
    <row r="6961" spans="30:30" x14ac:dyDescent="0.3">
      <c r="AD6961" s="16"/>
    </row>
    <row r="6962" spans="30:30" x14ac:dyDescent="0.3">
      <c r="AD6962" s="16"/>
    </row>
    <row r="6963" spans="30:30" x14ac:dyDescent="0.3">
      <c r="AD6963" s="16"/>
    </row>
    <row r="6964" spans="30:30" x14ac:dyDescent="0.3">
      <c r="AD6964" s="16"/>
    </row>
    <row r="6965" spans="30:30" x14ac:dyDescent="0.3">
      <c r="AD6965" s="16"/>
    </row>
    <row r="6966" spans="30:30" x14ac:dyDescent="0.3">
      <c r="AD6966" s="16"/>
    </row>
    <row r="6967" spans="30:30" x14ac:dyDescent="0.3">
      <c r="AD6967" s="16"/>
    </row>
    <row r="6968" spans="30:30" x14ac:dyDescent="0.3">
      <c r="AD6968" s="16"/>
    </row>
    <row r="6969" spans="30:30" x14ac:dyDescent="0.3">
      <c r="AD6969" s="16"/>
    </row>
    <row r="6970" spans="30:30" x14ac:dyDescent="0.3">
      <c r="AD6970" s="16"/>
    </row>
    <row r="6971" spans="30:30" x14ac:dyDescent="0.3">
      <c r="AD6971" s="16"/>
    </row>
    <row r="6972" spans="30:30" x14ac:dyDescent="0.3">
      <c r="AD6972" s="16"/>
    </row>
    <row r="6973" spans="30:30" x14ac:dyDescent="0.3">
      <c r="AD6973" s="16"/>
    </row>
    <row r="6974" spans="30:30" x14ac:dyDescent="0.3">
      <c r="AD6974" s="16"/>
    </row>
    <row r="6975" spans="30:30" x14ac:dyDescent="0.3">
      <c r="AD6975" s="16"/>
    </row>
    <row r="6976" spans="30:30" x14ac:dyDescent="0.3">
      <c r="AD6976" s="16"/>
    </row>
    <row r="6977" spans="30:30" x14ac:dyDescent="0.3">
      <c r="AD6977" s="16"/>
    </row>
    <row r="6978" spans="30:30" x14ac:dyDescent="0.3">
      <c r="AD6978" s="16"/>
    </row>
    <row r="6979" spans="30:30" x14ac:dyDescent="0.3">
      <c r="AD6979" s="16"/>
    </row>
    <row r="6980" spans="30:30" x14ac:dyDescent="0.3">
      <c r="AD6980" s="16"/>
    </row>
    <row r="6981" spans="30:30" x14ac:dyDescent="0.3">
      <c r="AD6981" s="16"/>
    </row>
    <row r="6982" spans="30:30" x14ac:dyDescent="0.3">
      <c r="AD6982" s="16"/>
    </row>
    <row r="6983" spans="30:30" x14ac:dyDescent="0.3">
      <c r="AD6983" s="16"/>
    </row>
    <row r="6984" spans="30:30" x14ac:dyDescent="0.3">
      <c r="AD6984" s="16"/>
    </row>
    <row r="6985" spans="30:30" x14ac:dyDescent="0.3">
      <c r="AD6985" s="16"/>
    </row>
    <row r="6986" spans="30:30" x14ac:dyDescent="0.3">
      <c r="AD6986" s="16"/>
    </row>
    <row r="6987" spans="30:30" x14ac:dyDescent="0.3">
      <c r="AD6987" s="16"/>
    </row>
    <row r="6988" spans="30:30" x14ac:dyDescent="0.3">
      <c r="AD6988" s="16"/>
    </row>
    <row r="6989" spans="30:30" x14ac:dyDescent="0.3">
      <c r="AD6989" s="16"/>
    </row>
    <row r="6990" spans="30:30" x14ac:dyDescent="0.3">
      <c r="AD6990" s="16"/>
    </row>
    <row r="6991" spans="30:30" x14ac:dyDescent="0.3">
      <c r="AD6991" s="16"/>
    </row>
    <row r="6992" spans="30:30" x14ac:dyDescent="0.3">
      <c r="AD6992" s="16"/>
    </row>
    <row r="6993" spans="30:30" x14ac:dyDescent="0.3">
      <c r="AD6993" s="16"/>
    </row>
    <row r="6994" spans="30:30" x14ac:dyDescent="0.3">
      <c r="AD6994" s="16"/>
    </row>
    <row r="6995" spans="30:30" x14ac:dyDescent="0.3">
      <c r="AD6995" s="16"/>
    </row>
    <row r="6996" spans="30:30" x14ac:dyDescent="0.3">
      <c r="AD6996" s="16"/>
    </row>
    <row r="6997" spans="30:30" x14ac:dyDescent="0.3">
      <c r="AD6997" s="16"/>
    </row>
    <row r="6998" spans="30:30" x14ac:dyDescent="0.3">
      <c r="AD6998" s="16"/>
    </row>
    <row r="6999" spans="30:30" x14ac:dyDescent="0.3">
      <c r="AD6999" s="16"/>
    </row>
    <row r="7000" spans="30:30" x14ac:dyDescent="0.3">
      <c r="AD7000" s="16"/>
    </row>
    <row r="7001" spans="30:30" x14ac:dyDescent="0.3">
      <c r="AD7001" s="16"/>
    </row>
    <row r="7002" spans="30:30" x14ac:dyDescent="0.3">
      <c r="AD7002" s="16"/>
    </row>
    <row r="7003" spans="30:30" x14ac:dyDescent="0.3">
      <c r="AD7003" s="16"/>
    </row>
    <row r="7004" spans="30:30" x14ac:dyDescent="0.3">
      <c r="AD7004" s="16"/>
    </row>
    <row r="7005" spans="30:30" x14ac:dyDescent="0.3">
      <c r="AD7005" s="16"/>
    </row>
    <row r="7006" spans="30:30" x14ac:dyDescent="0.3">
      <c r="AD7006" s="16"/>
    </row>
    <row r="7007" spans="30:30" x14ac:dyDescent="0.3">
      <c r="AD7007" s="16"/>
    </row>
    <row r="7008" spans="30:30" x14ac:dyDescent="0.3">
      <c r="AD7008" s="16"/>
    </row>
    <row r="7009" spans="30:30" x14ac:dyDescent="0.3">
      <c r="AD7009" s="16"/>
    </row>
    <row r="7010" spans="30:30" x14ac:dyDescent="0.3">
      <c r="AD7010" s="16"/>
    </row>
    <row r="7011" spans="30:30" x14ac:dyDescent="0.3">
      <c r="AD7011" s="16"/>
    </row>
    <row r="7012" spans="30:30" x14ac:dyDescent="0.3">
      <c r="AD7012" s="16"/>
    </row>
    <row r="7013" spans="30:30" x14ac:dyDescent="0.3">
      <c r="AD7013" s="16"/>
    </row>
    <row r="7014" spans="30:30" x14ac:dyDescent="0.3">
      <c r="AD7014" s="16"/>
    </row>
    <row r="7015" spans="30:30" x14ac:dyDescent="0.3">
      <c r="AD7015" s="16"/>
    </row>
    <row r="7016" spans="30:30" x14ac:dyDescent="0.3">
      <c r="AD7016" s="16"/>
    </row>
    <row r="7017" spans="30:30" x14ac:dyDescent="0.3">
      <c r="AD7017" s="16"/>
    </row>
    <row r="7018" spans="30:30" x14ac:dyDescent="0.3">
      <c r="AD7018" s="16"/>
    </row>
    <row r="7019" spans="30:30" x14ac:dyDescent="0.3">
      <c r="AD7019" s="16"/>
    </row>
    <row r="7020" spans="30:30" x14ac:dyDescent="0.3">
      <c r="AD7020" s="16"/>
    </row>
    <row r="7021" spans="30:30" x14ac:dyDescent="0.3">
      <c r="AD7021" s="16"/>
    </row>
    <row r="7022" spans="30:30" x14ac:dyDescent="0.3">
      <c r="AD7022" s="16"/>
    </row>
    <row r="7023" spans="30:30" x14ac:dyDescent="0.3">
      <c r="AD7023" s="16"/>
    </row>
    <row r="7024" spans="30:30" x14ac:dyDescent="0.3">
      <c r="AD7024" s="16"/>
    </row>
    <row r="7025" spans="30:30" x14ac:dyDescent="0.3">
      <c r="AD7025" s="16"/>
    </row>
    <row r="7026" spans="30:30" x14ac:dyDescent="0.3">
      <c r="AD7026" s="16"/>
    </row>
    <row r="7027" spans="30:30" x14ac:dyDescent="0.3">
      <c r="AD7027" s="16"/>
    </row>
    <row r="7028" spans="30:30" x14ac:dyDescent="0.3">
      <c r="AD7028" s="16"/>
    </row>
    <row r="7029" spans="30:30" x14ac:dyDescent="0.3">
      <c r="AD7029" s="16"/>
    </row>
    <row r="7030" spans="30:30" x14ac:dyDescent="0.3">
      <c r="AD7030" s="16"/>
    </row>
    <row r="7031" spans="30:30" x14ac:dyDescent="0.3">
      <c r="AD7031" s="16"/>
    </row>
    <row r="7032" spans="30:30" x14ac:dyDescent="0.3">
      <c r="AD7032" s="16"/>
    </row>
    <row r="7033" spans="30:30" x14ac:dyDescent="0.3">
      <c r="AD7033" s="16"/>
    </row>
    <row r="7034" spans="30:30" x14ac:dyDescent="0.3">
      <c r="AD7034" s="16"/>
    </row>
    <row r="7035" spans="30:30" x14ac:dyDescent="0.3">
      <c r="AD7035" s="16"/>
    </row>
    <row r="7036" spans="30:30" x14ac:dyDescent="0.3">
      <c r="AD7036" s="16"/>
    </row>
    <row r="7037" spans="30:30" x14ac:dyDescent="0.3">
      <c r="AD7037" s="16"/>
    </row>
    <row r="7038" spans="30:30" x14ac:dyDescent="0.3">
      <c r="AD7038" s="16"/>
    </row>
    <row r="7039" spans="30:30" x14ac:dyDescent="0.3">
      <c r="AD7039" s="16"/>
    </row>
    <row r="7040" spans="30:30" x14ac:dyDescent="0.3">
      <c r="AD7040" s="16"/>
    </row>
    <row r="7041" spans="30:30" x14ac:dyDescent="0.3">
      <c r="AD7041" s="16"/>
    </row>
    <row r="7042" spans="30:30" x14ac:dyDescent="0.3">
      <c r="AD7042" s="16"/>
    </row>
    <row r="7043" spans="30:30" x14ac:dyDescent="0.3">
      <c r="AD7043" s="16"/>
    </row>
    <row r="7044" spans="30:30" x14ac:dyDescent="0.3">
      <c r="AD7044" s="16"/>
    </row>
    <row r="7045" spans="30:30" x14ac:dyDescent="0.3">
      <c r="AD7045" s="16"/>
    </row>
    <row r="7046" spans="30:30" x14ac:dyDescent="0.3">
      <c r="AD7046" s="16"/>
    </row>
    <row r="7047" spans="30:30" x14ac:dyDescent="0.3">
      <c r="AD7047" s="16"/>
    </row>
    <row r="7048" spans="30:30" x14ac:dyDescent="0.3">
      <c r="AD7048" s="16"/>
    </row>
    <row r="7049" spans="30:30" x14ac:dyDescent="0.3">
      <c r="AD7049" s="16"/>
    </row>
    <row r="7050" spans="30:30" x14ac:dyDescent="0.3">
      <c r="AD7050" s="16"/>
    </row>
    <row r="7051" spans="30:30" x14ac:dyDescent="0.3">
      <c r="AD7051" s="16"/>
    </row>
    <row r="7052" spans="30:30" x14ac:dyDescent="0.3">
      <c r="AD7052" s="16"/>
    </row>
    <row r="7053" spans="30:30" x14ac:dyDescent="0.3">
      <c r="AD7053" s="16"/>
    </row>
    <row r="7054" spans="30:30" x14ac:dyDescent="0.3">
      <c r="AD7054" s="16"/>
    </row>
    <row r="7055" spans="30:30" x14ac:dyDescent="0.3">
      <c r="AD7055" s="16"/>
    </row>
    <row r="7056" spans="30:30" x14ac:dyDescent="0.3">
      <c r="AD7056" s="16"/>
    </row>
    <row r="7057" spans="30:30" x14ac:dyDescent="0.3">
      <c r="AD7057" s="16"/>
    </row>
    <row r="7058" spans="30:30" x14ac:dyDescent="0.3">
      <c r="AD7058" s="16"/>
    </row>
    <row r="7059" spans="30:30" x14ac:dyDescent="0.3">
      <c r="AD7059" s="16"/>
    </row>
    <row r="7060" spans="30:30" x14ac:dyDescent="0.3">
      <c r="AD7060" s="16"/>
    </row>
    <row r="7061" spans="30:30" x14ac:dyDescent="0.3">
      <c r="AD7061" s="16"/>
    </row>
    <row r="7062" spans="30:30" x14ac:dyDescent="0.3">
      <c r="AD7062" s="16"/>
    </row>
    <row r="7063" spans="30:30" x14ac:dyDescent="0.3">
      <c r="AD7063" s="16"/>
    </row>
    <row r="7064" spans="30:30" x14ac:dyDescent="0.3">
      <c r="AD7064" s="16"/>
    </row>
    <row r="7065" spans="30:30" x14ac:dyDescent="0.3">
      <c r="AD7065" s="16"/>
    </row>
    <row r="7066" spans="30:30" x14ac:dyDescent="0.3">
      <c r="AD7066" s="16"/>
    </row>
    <row r="7067" spans="30:30" x14ac:dyDescent="0.3">
      <c r="AD7067" s="16"/>
    </row>
    <row r="7068" spans="30:30" x14ac:dyDescent="0.3">
      <c r="AD7068" s="16"/>
    </row>
    <row r="7069" spans="30:30" x14ac:dyDescent="0.3">
      <c r="AD7069" s="16"/>
    </row>
    <row r="7070" spans="30:30" x14ac:dyDescent="0.3">
      <c r="AD7070" s="16"/>
    </row>
    <row r="7071" spans="30:30" x14ac:dyDescent="0.3">
      <c r="AD7071" s="16"/>
    </row>
    <row r="7072" spans="30:30" x14ac:dyDescent="0.3">
      <c r="AD7072" s="16"/>
    </row>
    <row r="7073" spans="30:30" x14ac:dyDescent="0.3">
      <c r="AD7073" s="16"/>
    </row>
    <row r="7074" spans="30:30" x14ac:dyDescent="0.3">
      <c r="AD7074" s="16"/>
    </row>
    <row r="7075" spans="30:30" x14ac:dyDescent="0.3">
      <c r="AD7075" s="16"/>
    </row>
    <row r="7076" spans="30:30" x14ac:dyDescent="0.3">
      <c r="AD7076" s="16"/>
    </row>
    <row r="7077" spans="30:30" x14ac:dyDescent="0.3">
      <c r="AD7077" s="16"/>
    </row>
    <row r="7078" spans="30:30" x14ac:dyDescent="0.3">
      <c r="AD7078" s="16"/>
    </row>
    <row r="7079" spans="30:30" x14ac:dyDescent="0.3">
      <c r="AD7079" s="16"/>
    </row>
    <row r="7080" spans="30:30" x14ac:dyDescent="0.3">
      <c r="AD7080" s="16"/>
    </row>
    <row r="7081" spans="30:30" x14ac:dyDescent="0.3">
      <c r="AD7081" s="16"/>
    </row>
    <row r="7082" spans="30:30" x14ac:dyDescent="0.3">
      <c r="AD7082" s="16"/>
    </row>
    <row r="7083" spans="30:30" x14ac:dyDescent="0.3">
      <c r="AD7083" s="16"/>
    </row>
    <row r="7084" spans="30:30" x14ac:dyDescent="0.3">
      <c r="AD7084" s="16"/>
    </row>
    <row r="7085" spans="30:30" x14ac:dyDescent="0.3">
      <c r="AD7085" s="16"/>
    </row>
    <row r="7086" spans="30:30" x14ac:dyDescent="0.3">
      <c r="AD7086" s="16"/>
    </row>
    <row r="7087" spans="30:30" x14ac:dyDescent="0.3">
      <c r="AD7087" s="16"/>
    </row>
    <row r="7088" spans="30:30" x14ac:dyDescent="0.3">
      <c r="AD7088" s="16"/>
    </row>
    <row r="7089" spans="30:30" x14ac:dyDescent="0.3">
      <c r="AD7089" s="16"/>
    </row>
    <row r="7090" spans="30:30" x14ac:dyDescent="0.3">
      <c r="AD7090" s="16"/>
    </row>
    <row r="7091" spans="30:30" x14ac:dyDescent="0.3">
      <c r="AD7091" s="16"/>
    </row>
    <row r="7092" spans="30:30" x14ac:dyDescent="0.3">
      <c r="AD7092" s="16"/>
    </row>
    <row r="7093" spans="30:30" x14ac:dyDescent="0.3">
      <c r="AD7093" s="16"/>
    </row>
    <row r="7094" spans="30:30" x14ac:dyDescent="0.3">
      <c r="AD7094" s="16"/>
    </row>
    <row r="7095" spans="30:30" x14ac:dyDescent="0.3">
      <c r="AD7095" s="16"/>
    </row>
    <row r="7096" spans="30:30" x14ac:dyDescent="0.3">
      <c r="AD7096" s="16"/>
    </row>
    <row r="7097" spans="30:30" x14ac:dyDescent="0.3">
      <c r="AD7097" s="16"/>
    </row>
    <row r="7098" spans="30:30" x14ac:dyDescent="0.3">
      <c r="AD7098" s="16"/>
    </row>
    <row r="7099" spans="30:30" x14ac:dyDescent="0.3">
      <c r="AD7099" s="16"/>
    </row>
    <row r="7100" spans="30:30" x14ac:dyDescent="0.3">
      <c r="AD7100" s="16"/>
    </row>
    <row r="7101" spans="30:30" x14ac:dyDescent="0.3">
      <c r="AD7101" s="16"/>
    </row>
    <row r="7102" spans="30:30" x14ac:dyDescent="0.3">
      <c r="AD7102" s="16"/>
    </row>
    <row r="7103" spans="30:30" x14ac:dyDescent="0.3">
      <c r="AD7103" s="16"/>
    </row>
    <row r="7104" spans="30:30" x14ac:dyDescent="0.3">
      <c r="AD7104" s="16"/>
    </row>
    <row r="7105" spans="30:30" x14ac:dyDescent="0.3">
      <c r="AD7105" s="16"/>
    </row>
    <row r="7106" spans="30:30" x14ac:dyDescent="0.3">
      <c r="AD7106" s="16"/>
    </row>
    <row r="7107" spans="30:30" x14ac:dyDescent="0.3">
      <c r="AD7107" s="16"/>
    </row>
    <row r="7108" spans="30:30" x14ac:dyDescent="0.3">
      <c r="AD7108" s="16"/>
    </row>
    <row r="7109" spans="30:30" x14ac:dyDescent="0.3">
      <c r="AD7109" s="16"/>
    </row>
    <row r="7110" spans="30:30" x14ac:dyDescent="0.3">
      <c r="AD7110" s="16"/>
    </row>
    <row r="7111" spans="30:30" x14ac:dyDescent="0.3">
      <c r="AD7111" s="16"/>
    </row>
    <row r="7112" spans="30:30" x14ac:dyDescent="0.3">
      <c r="AD7112" s="16"/>
    </row>
    <row r="7113" spans="30:30" x14ac:dyDescent="0.3">
      <c r="AD7113" s="16"/>
    </row>
    <row r="7114" spans="30:30" x14ac:dyDescent="0.3">
      <c r="AD7114" s="16"/>
    </row>
    <row r="7115" spans="30:30" x14ac:dyDescent="0.3">
      <c r="AD7115" s="16"/>
    </row>
    <row r="7116" spans="30:30" x14ac:dyDescent="0.3">
      <c r="AD7116" s="16"/>
    </row>
    <row r="7117" spans="30:30" x14ac:dyDescent="0.3">
      <c r="AD7117" s="16"/>
    </row>
    <row r="7118" spans="30:30" x14ac:dyDescent="0.3">
      <c r="AD7118" s="16"/>
    </row>
    <row r="7119" spans="30:30" x14ac:dyDescent="0.3">
      <c r="AD7119" s="16"/>
    </row>
    <row r="7120" spans="30:30" x14ac:dyDescent="0.3">
      <c r="AD7120" s="16"/>
    </row>
    <row r="7121" spans="30:30" x14ac:dyDescent="0.3">
      <c r="AD7121" s="16"/>
    </row>
    <row r="7122" spans="30:30" x14ac:dyDescent="0.3">
      <c r="AD7122" s="16"/>
    </row>
    <row r="7123" spans="30:30" x14ac:dyDescent="0.3">
      <c r="AD7123" s="16"/>
    </row>
    <row r="7124" spans="30:30" x14ac:dyDescent="0.3">
      <c r="AD7124" s="16"/>
    </row>
    <row r="7125" spans="30:30" x14ac:dyDescent="0.3">
      <c r="AD7125" s="16"/>
    </row>
    <row r="7126" spans="30:30" x14ac:dyDescent="0.3">
      <c r="AD7126" s="16"/>
    </row>
    <row r="7127" spans="30:30" x14ac:dyDescent="0.3">
      <c r="AD7127" s="16"/>
    </row>
    <row r="7128" spans="30:30" x14ac:dyDescent="0.3">
      <c r="AD7128" s="16"/>
    </row>
    <row r="7129" spans="30:30" x14ac:dyDescent="0.3">
      <c r="AD7129" s="16"/>
    </row>
    <row r="7130" spans="30:30" x14ac:dyDescent="0.3">
      <c r="AD7130" s="16"/>
    </row>
    <row r="7131" spans="30:30" x14ac:dyDescent="0.3">
      <c r="AD7131" s="16"/>
    </row>
    <row r="7132" spans="30:30" x14ac:dyDescent="0.3">
      <c r="AD7132" s="16"/>
    </row>
    <row r="7133" spans="30:30" x14ac:dyDescent="0.3">
      <c r="AD7133" s="16"/>
    </row>
    <row r="7134" spans="30:30" x14ac:dyDescent="0.3">
      <c r="AD7134" s="16"/>
    </row>
    <row r="7135" spans="30:30" x14ac:dyDescent="0.3">
      <c r="AD7135" s="16"/>
    </row>
    <row r="7136" spans="30:30" x14ac:dyDescent="0.3">
      <c r="AD7136" s="16"/>
    </row>
    <row r="7137" spans="30:30" x14ac:dyDescent="0.3">
      <c r="AD7137" s="16"/>
    </row>
    <row r="7138" spans="30:30" x14ac:dyDescent="0.3">
      <c r="AD7138" s="16"/>
    </row>
    <row r="7139" spans="30:30" x14ac:dyDescent="0.3">
      <c r="AD7139" s="16"/>
    </row>
    <row r="7140" spans="30:30" x14ac:dyDescent="0.3">
      <c r="AD7140" s="16"/>
    </row>
    <row r="7141" spans="30:30" x14ac:dyDescent="0.3">
      <c r="AD7141" s="16"/>
    </row>
    <row r="7142" spans="30:30" x14ac:dyDescent="0.3">
      <c r="AD7142" s="16"/>
    </row>
    <row r="7143" spans="30:30" x14ac:dyDescent="0.3">
      <c r="AD7143" s="16"/>
    </row>
    <row r="7144" spans="30:30" x14ac:dyDescent="0.3">
      <c r="AD7144" s="16"/>
    </row>
    <row r="7145" spans="30:30" x14ac:dyDescent="0.3">
      <c r="AD7145" s="16"/>
    </row>
    <row r="7146" spans="30:30" x14ac:dyDescent="0.3">
      <c r="AD7146" s="16"/>
    </row>
    <row r="7147" spans="30:30" x14ac:dyDescent="0.3">
      <c r="AD7147" s="16"/>
    </row>
    <row r="7148" spans="30:30" x14ac:dyDescent="0.3">
      <c r="AD7148" s="16"/>
    </row>
    <row r="7149" spans="30:30" x14ac:dyDescent="0.3">
      <c r="AD7149" s="16"/>
    </row>
    <row r="7150" spans="30:30" x14ac:dyDescent="0.3">
      <c r="AD7150" s="16"/>
    </row>
    <row r="7151" spans="30:30" x14ac:dyDescent="0.3">
      <c r="AD7151" s="16"/>
    </row>
    <row r="7152" spans="30:30" x14ac:dyDescent="0.3">
      <c r="AD7152" s="16"/>
    </row>
    <row r="7153" spans="30:30" x14ac:dyDescent="0.3">
      <c r="AD7153" s="16"/>
    </row>
    <row r="7154" spans="30:30" x14ac:dyDescent="0.3">
      <c r="AD7154" s="16"/>
    </row>
    <row r="7155" spans="30:30" x14ac:dyDescent="0.3">
      <c r="AD7155" s="16"/>
    </row>
    <row r="7156" spans="30:30" x14ac:dyDescent="0.3">
      <c r="AD7156" s="16"/>
    </row>
    <row r="7157" spans="30:30" x14ac:dyDescent="0.3">
      <c r="AD7157" s="16"/>
    </row>
    <row r="7158" spans="30:30" x14ac:dyDescent="0.3">
      <c r="AD7158" s="16"/>
    </row>
    <row r="7159" spans="30:30" x14ac:dyDescent="0.3">
      <c r="AD7159" s="16"/>
    </row>
    <row r="7160" spans="30:30" x14ac:dyDescent="0.3">
      <c r="AD7160" s="16"/>
    </row>
    <row r="7161" spans="30:30" x14ac:dyDescent="0.3">
      <c r="AD7161" s="16"/>
    </row>
    <row r="7162" spans="30:30" x14ac:dyDescent="0.3">
      <c r="AD7162" s="16"/>
    </row>
    <row r="7163" spans="30:30" x14ac:dyDescent="0.3">
      <c r="AD7163" s="16"/>
    </row>
    <row r="7164" spans="30:30" x14ac:dyDescent="0.3">
      <c r="AD7164" s="16"/>
    </row>
    <row r="7165" spans="30:30" x14ac:dyDescent="0.3">
      <c r="AD7165" s="16"/>
    </row>
    <row r="7166" spans="30:30" x14ac:dyDescent="0.3">
      <c r="AD7166" s="16"/>
    </row>
    <row r="7167" spans="30:30" x14ac:dyDescent="0.3">
      <c r="AD7167" s="16"/>
    </row>
    <row r="7168" spans="30:30" x14ac:dyDescent="0.3">
      <c r="AD7168" s="16"/>
    </row>
    <row r="7169" spans="30:30" x14ac:dyDescent="0.3">
      <c r="AD7169" s="16"/>
    </row>
    <row r="7170" spans="30:30" x14ac:dyDescent="0.3">
      <c r="AD7170" s="16"/>
    </row>
    <row r="7171" spans="30:30" x14ac:dyDescent="0.3">
      <c r="AD7171" s="16"/>
    </row>
    <row r="7172" spans="30:30" x14ac:dyDescent="0.3">
      <c r="AD7172" s="16"/>
    </row>
    <row r="7173" spans="30:30" x14ac:dyDescent="0.3">
      <c r="AD7173" s="16"/>
    </row>
    <row r="7174" spans="30:30" x14ac:dyDescent="0.3">
      <c r="AD7174" s="16"/>
    </row>
    <row r="7175" spans="30:30" x14ac:dyDescent="0.3">
      <c r="AD7175" s="16"/>
    </row>
    <row r="7176" spans="30:30" x14ac:dyDescent="0.3">
      <c r="AD7176" s="16"/>
    </row>
    <row r="7177" spans="30:30" x14ac:dyDescent="0.3">
      <c r="AD7177" s="16"/>
    </row>
    <row r="7178" spans="30:30" x14ac:dyDescent="0.3">
      <c r="AD7178" s="16"/>
    </row>
    <row r="7179" spans="30:30" x14ac:dyDescent="0.3">
      <c r="AD7179" s="16"/>
    </row>
    <row r="7180" spans="30:30" x14ac:dyDescent="0.3">
      <c r="AD7180" s="16"/>
    </row>
    <row r="7181" spans="30:30" x14ac:dyDescent="0.3">
      <c r="AD7181" s="16"/>
    </row>
    <row r="7182" spans="30:30" x14ac:dyDescent="0.3">
      <c r="AD7182" s="16"/>
    </row>
    <row r="7183" spans="30:30" x14ac:dyDescent="0.3">
      <c r="AD7183" s="16"/>
    </row>
    <row r="7184" spans="30:30" x14ac:dyDescent="0.3">
      <c r="AD7184" s="16"/>
    </row>
    <row r="7185" spans="30:30" x14ac:dyDescent="0.3">
      <c r="AD7185" s="16"/>
    </row>
    <row r="7186" spans="30:30" x14ac:dyDescent="0.3">
      <c r="AD7186" s="16"/>
    </row>
    <row r="7187" spans="30:30" x14ac:dyDescent="0.3">
      <c r="AD7187" s="16"/>
    </row>
    <row r="7188" spans="30:30" x14ac:dyDescent="0.3">
      <c r="AD7188" s="16"/>
    </row>
    <row r="7189" spans="30:30" x14ac:dyDescent="0.3">
      <c r="AD7189" s="16"/>
    </row>
    <row r="7190" spans="30:30" x14ac:dyDescent="0.3">
      <c r="AD7190" s="16"/>
    </row>
    <row r="7191" spans="30:30" x14ac:dyDescent="0.3">
      <c r="AD7191" s="16"/>
    </row>
    <row r="7192" spans="30:30" x14ac:dyDescent="0.3">
      <c r="AD7192" s="16"/>
    </row>
    <row r="7193" spans="30:30" x14ac:dyDescent="0.3">
      <c r="AD7193" s="16"/>
    </row>
    <row r="7194" spans="30:30" x14ac:dyDescent="0.3">
      <c r="AD7194" s="16"/>
    </row>
    <row r="7195" spans="30:30" x14ac:dyDescent="0.3">
      <c r="AD7195" s="16"/>
    </row>
    <row r="7196" spans="30:30" x14ac:dyDescent="0.3">
      <c r="AD7196" s="16"/>
    </row>
    <row r="7197" spans="30:30" x14ac:dyDescent="0.3">
      <c r="AD7197" s="16"/>
    </row>
    <row r="7198" spans="30:30" x14ac:dyDescent="0.3">
      <c r="AD7198" s="16"/>
    </row>
    <row r="7199" spans="30:30" x14ac:dyDescent="0.3">
      <c r="AD7199" s="16"/>
    </row>
    <row r="7200" spans="30:30" x14ac:dyDescent="0.3">
      <c r="AD7200" s="16"/>
    </row>
    <row r="7201" spans="30:30" x14ac:dyDescent="0.3">
      <c r="AD7201" s="16"/>
    </row>
    <row r="7202" spans="30:30" x14ac:dyDescent="0.3">
      <c r="AD7202" s="16"/>
    </row>
    <row r="7203" spans="30:30" x14ac:dyDescent="0.3">
      <c r="AD7203" s="16"/>
    </row>
    <row r="7204" spans="30:30" x14ac:dyDescent="0.3">
      <c r="AD7204" s="16"/>
    </row>
    <row r="7205" spans="30:30" x14ac:dyDescent="0.3">
      <c r="AD7205" s="16"/>
    </row>
    <row r="7206" spans="30:30" x14ac:dyDescent="0.3">
      <c r="AD7206" s="16"/>
    </row>
    <row r="7207" spans="30:30" x14ac:dyDescent="0.3">
      <c r="AD7207" s="16"/>
    </row>
    <row r="7208" spans="30:30" x14ac:dyDescent="0.3">
      <c r="AD7208" s="16"/>
    </row>
    <row r="7209" spans="30:30" x14ac:dyDescent="0.3">
      <c r="AD7209" s="16"/>
    </row>
    <row r="7210" spans="30:30" x14ac:dyDescent="0.3">
      <c r="AD7210" s="16"/>
    </row>
    <row r="7211" spans="30:30" x14ac:dyDescent="0.3">
      <c r="AD7211" s="16"/>
    </row>
    <row r="7212" spans="30:30" x14ac:dyDescent="0.3">
      <c r="AD7212" s="16"/>
    </row>
    <row r="7213" spans="30:30" x14ac:dyDescent="0.3">
      <c r="AD7213" s="16"/>
    </row>
    <row r="7214" spans="30:30" x14ac:dyDescent="0.3">
      <c r="AD7214" s="16"/>
    </row>
    <row r="7215" spans="30:30" x14ac:dyDescent="0.3">
      <c r="AD7215" s="16"/>
    </row>
    <row r="7216" spans="30:30" x14ac:dyDescent="0.3">
      <c r="AD7216" s="16"/>
    </row>
    <row r="7217" spans="30:30" x14ac:dyDescent="0.3">
      <c r="AD7217" s="16"/>
    </row>
    <row r="7218" spans="30:30" x14ac:dyDescent="0.3">
      <c r="AD7218" s="16"/>
    </row>
    <row r="7219" spans="30:30" x14ac:dyDescent="0.3">
      <c r="AD7219" s="16"/>
    </row>
    <row r="7220" spans="30:30" x14ac:dyDescent="0.3">
      <c r="AD7220" s="16"/>
    </row>
    <row r="7221" spans="30:30" x14ac:dyDescent="0.3">
      <c r="AD7221" s="16"/>
    </row>
    <row r="7222" spans="30:30" x14ac:dyDescent="0.3">
      <c r="AD7222" s="16"/>
    </row>
    <row r="7223" spans="30:30" x14ac:dyDescent="0.3">
      <c r="AD7223" s="16"/>
    </row>
    <row r="7224" spans="30:30" x14ac:dyDescent="0.3">
      <c r="AD7224" s="16"/>
    </row>
    <row r="7225" spans="30:30" x14ac:dyDescent="0.3">
      <c r="AD7225" s="16"/>
    </row>
    <row r="7226" spans="30:30" x14ac:dyDescent="0.3">
      <c r="AD7226" s="16"/>
    </row>
    <row r="7227" spans="30:30" x14ac:dyDescent="0.3">
      <c r="AD7227" s="16"/>
    </row>
    <row r="7228" spans="30:30" x14ac:dyDescent="0.3">
      <c r="AD7228" s="16"/>
    </row>
    <row r="7229" spans="30:30" x14ac:dyDescent="0.3">
      <c r="AD7229" s="16"/>
    </row>
    <row r="7230" spans="30:30" x14ac:dyDescent="0.3">
      <c r="AD7230" s="16"/>
    </row>
    <row r="7231" spans="30:30" x14ac:dyDescent="0.3">
      <c r="AD7231" s="16"/>
    </row>
    <row r="7232" spans="30:30" x14ac:dyDescent="0.3">
      <c r="AD7232" s="16"/>
    </row>
    <row r="7233" spans="30:30" x14ac:dyDescent="0.3">
      <c r="AD7233" s="16"/>
    </row>
    <row r="7234" spans="30:30" x14ac:dyDescent="0.3">
      <c r="AD7234" s="16"/>
    </row>
    <row r="7235" spans="30:30" x14ac:dyDescent="0.3">
      <c r="AD7235" s="16"/>
    </row>
    <row r="7236" spans="30:30" x14ac:dyDescent="0.3">
      <c r="AD7236" s="16"/>
    </row>
    <row r="7237" spans="30:30" x14ac:dyDescent="0.3">
      <c r="AD7237" s="16"/>
    </row>
    <row r="7238" spans="30:30" x14ac:dyDescent="0.3">
      <c r="AD7238" s="16"/>
    </row>
    <row r="7239" spans="30:30" x14ac:dyDescent="0.3">
      <c r="AD7239" s="16"/>
    </row>
    <row r="7240" spans="30:30" x14ac:dyDescent="0.3">
      <c r="AD7240" s="16"/>
    </row>
    <row r="7241" spans="30:30" x14ac:dyDescent="0.3">
      <c r="AD7241" s="16"/>
    </row>
    <row r="7242" spans="30:30" x14ac:dyDescent="0.3">
      <c r="AD7242" s="16"/>
    </row>
    <row r="7243" spans="30:30" x14ac:dyDescent="0.3">
      <c r="AD7243" s="16"/>
    </row>
    <row r="7244" spans="30:30" x14ac:dyDescent="0.3">
      <c r="AD7244" s="16"/>
    </row>
    <row r="7245" spans="30:30" x14ac:dyDescent="0.3">
      <c r="AD7245" s="16"/>
    </row>
    <row r="7246" spans="30:30" x14ac:dyDescent="0.3">
      <c r="AD7246" s="16"/>
    </row>
    <row r="7247" spans="30:30" x14ac:dyDescent="0.3">
      <c r="AD7247" s="16"/>
    </row>
    <row r="7248" spans="30:30" x14ac:dyDescent="0.3">
      <c r="AD7248" s="16"/>
    </row>
    <row r="7249" spans="30:30" x14ac:dyDescent="0.3">
      <c r="AD7249" s="16"/>
    </row>
    <row r="7250" spans="30:30" x14ac:dyDescent="0.3">
      <c r="AD7250" s="16"/>
    </row>
    <row r="7251" spans="30:30" x14ac:dyDescent="0.3">
      <c r="AD7251" s="16"/>
    </row>
    <row r="7252" spans="30:30" x14ac:dyDescent="0.3">
      <c r="AD7252" s="16"/>
    </row>
    <row r="7253" spans="30:30" x14ac:dyDescent="0.3">
      <c r="AD7253" s="16"/>
    </row>
    <row r="7254" spans="30:30" x14ac:dyDescent="0.3">
      <c r="AD7254" s="16"/>
    </row>
    <row r="7255" spans="30:30" x14ac:dyDescent="0.3">
      <c r="AD7255" s="16"/>
    </row>
    <row r="7256" spans="30:30" x14ac:dyDescent="0.3">
      <c r="AD7256" s="16"/>
    </row>
    <row r="7257" spans="30:30" x14ac:dyDescent="0.3">
      <c r="AD7257" s="16"/>
    </row>
    <row r="7258" spans="30:30" x14ac:dyDescent="0.3">
      <c r="AD7258" s="16"/>
    </row>
    <row r="7259" spans="30:30" x14ac:dyDescent="0.3">
      <c r="AD7259" s="16"/>
    </row>
    <row r="7260" spans="30:30" x14ac:dyDescent="0.3">
      <c r="AD7260" s="16"/>
    </row>
    <row r="7261" spans="30:30" x14ac:dyDescent="0.3">
      <c r="AD7261" s="16"/>
    </row>
    <row r="7262" spans="30:30" x14ac:dyDescent="0.3">
      <c r="AD7262" s="16"/>
    </row>
    <row r="7263" spans="30:30" x14ac:dyDescent="0.3">
      <c r="AD7263" s="16"/>
    </row>
    <row r="7264" spans="30:30" x14ac:dyDescent="0.3">
      <c r="AD7264" s="16"/>
    </row>
    <row r="7265" spans="30:30" x14ac:dyDescent="0.3">
      <c r="AD7265" s="16"/>
    </row>
    <row r="7266" spans="30:30" x14ac:dyDescent="0.3">
      <c r="AD7266" s="16"/>
    </row>
    <row r="7267" spans="30:30" x14ac:dyDescent="0.3">
      <c r="AD7267" s="16"/>
    </row>
    <row r="7268" spans="30:30" x14ac:dyDescent="0.3">
      <c r="AD7268" s="16"/>
    </row>
    <row r="7269" spans="30:30" x14ac:dyDescent="0.3">
      <c r="AD7269" s="16"/>
    </row>
    <row r="7270" spans="30:30" x14ac:dyDescent="0.3">
      <c r="AD7270" s="16"/>
    </row>
    <row r="7271" spans="30:30" x14ac:dyDescent="0.3">
      <c r="AD7271" s="16"/>
    </row>
    <row r="7272" spans="30:30" x14ac:dyDescent="0.3">
      <c r="AD7272" s="16"/>
    </row>
    <row r="7273" spans="30:30" x14ac:dyDescent="0.3">
      <c r="AD7273" s="16"/>
    </row>
    <row r="7274" spans="30:30" x14ac:dyDescent="0.3">
      <c r="AD7274" s="16"/>
    </row>
    <row r="7275" spans="30:30" x14ac:dyDescent="0.3">
      <c r="AD7275" s="16"/>
    </row>
    <row r="7276" spans="30:30" x14ac:dyDescent="0.3">
      <c r="AD7276" s="16"/>
    </row>
    <row r="7277" spans="30:30" x14ac:dyDescent="0.3">
      <c r="AD7277" s="16"/>
    </row>
    <row r="7278" spans="30:30" x14ac:dyDescent="0.3">
      <c r="AD7278" s="16"/>
    </row>
    <row r="7279" spans="30:30" x14ac:dyDescent="0.3">
      <c r="AD7279" s="16"/>
    </row>
    <row r="7280" spans="30:30" x14ac:dyDescent="0.3">
      <c r="AD7280" s="16"/>
    </row>
    <row r="7281" spans="30:30" x14ac:dyDescent="0.3">
      <c r="AD7281" s="16"/>
    </row>
    <row r="7282" spans="30:30" x14ac:dyDescent="0.3">
      <c r="AD7282" s="16"/>
    </row>
    <row r="7283" spans="30:30" x14ac:dyDescent="0.3">
      <c r="AD7283" s="16"/>
    </row>
    <row r="7284" spans="30:30" x14ac:dyDescent="0.3">
      <c r="AD7284" s="16"/>
    </row>
    <row r="7285" spans="30:30" x14ac:dyDescent="0.3">
      <c r="AD7285" s="16"/>
    </row>
    <row r="7286" spans="30:30" x14ac:dyDescent="0.3">
      <c r="AD7286" s="16"/>
    </row>
    <row r="7287" spans="30:30" x14ac:dyDescent="0.3">
      <c r="AD7287" s="16"/>
    </row>
    <row r="7288" spans="30:30" x14ac:dyDescent="0.3">
      <c r="AD7288" s="16"/>
    </row>
    <row r="7289" spans="30:30" x14ac:dyDescent="0.3">
      <c r="AD7289" s="16"/>
    </row>
    <row r="7290" spans="30:30" x14ac:dyDescent="0.3">
      <c r="AD7290" s="16"/>
    </row>
    <row r="7291" spans="30:30" x14ac:dyDescent="0.3">
      <c r="AD7291" s="16"/>
    </row>
    <row r="7292" spans="30:30" x14ac:dyDescent="0.3">
      <c r="AD7292" s="16"/>
    </row>
    <row r="7293" spans="30:30" x14ac:dyDescent="0.3">
      <c r="AD7293" s="16"/>
    </row>
    <row r="7294" spans="30:30" x14ac:dyDescent="0.3">
      <c r="AD7294" s="16"/>
    </row>
    <row r="7295" spans="30:30" x14ac:dyDescent="0.3">
      <c r="AD7295" s="16"/>
    </row>
    <row r="7296" spans="30:30" x14ac:dyDescent="0.3">
      <c r="AD7296" s="16"/>
    </row>
    <row r="7297" spans="30:30" x14ac:dyDescent="0.3">
      <c r="AD7297" s="16"/>
    </row>
    <row r="7298" spans="30:30" x14ac:dyDescent="0.3">
      <c r="AD7298" s="16"/>
    </row>
    <row r="7299" spans="30:30" x14ac:dyDescent="0.3">
      <c r="AD7299" s="16"/>
    </row>
    <row r="7300" spans="30:30" x14ac:dyDescent="0.3">
      <c r="AD7300" s="16"/>
    </row>
    <row r="7301" spans="30:30" x14ac:dyDescent="0.3">
      <c r="AD7301" s="16"/>
    </row>
    <row r="7302" spans="30:30" x14ac:dyDescent="0.3">
      <c r="AD7302" s="16"/>
    </row>
    <row r="7303" spans="30:30" x14ac:dyDescent="0.3">
      <c r="AD7303" s="16"/>
    </row>
    <row r="7304" spans="30:30" x14ac:dyDescent="0.3">
      <c r="AD7304" s="16"/>
    </row>
    <row r="7305" spans="30:30" x14ac:dyDescent="0.3">
      <c r="AD7305" s="16"/>
    </row>
    <row r="7306" spans="30:30" x14ac:dyDescent="0.3">
      <c r="AD7306" s="16"/>
    </row>
    <row r="7307" spans="30:30" x14ac:dyDescent="0.3">
      <c r="AD7307" s="16"/>
    </row>
    <row r="7308" spans="30:30" x14ac:dyDescent="0.3">
      <c r="AD7308" s="16"/>
    </row>
    <row r="7309" spans="30:30" x14ac:dyDescent="0.3">
      <c r="AD7309" s="16"/>
    </row>
    <row r="7310" spans="30:30" x14ac:dyDescent="0.3">
      <c r="AD7310" s="16"/>
    </row>
    <row r="7311" spans="30:30" x14ac:dyDescent="0.3">
      <c r="AD7311" s="16"/>
    </row>
    <row r="7312" spans="30:30" x14ac:dyDescent="0.3">
      <c r="AD7312" s="16"/>
    </row>
    <row r="7313" spans="30:30" x14ac:dyDescent="0.3">
      <c r="AD7313" s="16"/>
    </row>
    <row r="7314" spans="30:30" x14ac:dyDescent="0.3">
      <c r="AD7314" s="16"/>
    </row>
    <row r="7315" spans="30:30" x14ac:dyDescent="0.3">
      <c r="AD7315" s="16"/>
    </row>
    <row r="7316" spans="30:30" x14ac:dyDescent="0.3">
      <c r="AD7316" s="16"/>
    </row>
    <row r="7317" spans="30:30" x14ac:dyDescent="0.3">
      <c r="AD7317" s="16"/>
    </row>
    <row r="7318" spans="30:30" x14ac:dyDescent="0.3">
      <c r="AD7318" s="16"/>
    </row>
    <row r="7319" spans="30:30" x14ac:dyDescent="0.3">
      <c r="AD7319" s="16"/>
    </row>
    <row r="7320" spans="30:30" x14ac:dyDescent="0.3">
      <c r="AD7320" s="16"/>
    </row>
    <row r="7321" spans="30:30" x14ac:dyDescent="0.3">
      <c r="AD7321" s="16"/>
    </row>
    <row r="7322" spans="30:30" x14ac:dyDescent="0.3">
      <c r="AD7322" s="16"/>
    </row>
    <row r="7323" spans="30:30" x14ac:dyDescent="0.3">
      <c r="AD7323" s="16"/>
    </row>
    <row r="7324" spans="30:30" x14ac:dyDescent="0.3">
      <c r="AD7324" s="16"/>
    </row>
    <row r="7325" spans="30:30" x14ac:dyDescent="0.3">
      <c r="AD7325" s="16"/>
    </row>
    <row r="7326" spans="30:30" x14ac:dyDescent="0.3">
      <c r="AD7326" s="16"/>
    </row>
    <row r="7327" spans="30:30" x14ac:dyDescent="0.3">
      <c r="AD7327" s="16"/>
    </row>
    <row r="7328" spans="30:30" x14ac:dyDescent="0.3">
      <c r="AD7328" s="16"/>
    </row>
    <row r="7329" spans="30:30" x14ac:dyDescent="0.3">
      <c r="AD7329" s="16"/>
    </row>
    <row r="7330" spans="30:30" x14ac:dyDescent="0.3">
      <c r="AD7330" s="16"/>
    </row>
    <row r="7331" spans="30:30" x14ac:dyDescent="0.3">
      <c r="AD7331" s="16"/>
    </row>
    <row r="7332" spans="30:30" x14ac:dyDescent="0.3">
      <c r="AD7332" s="16"/>
    </row>
    <row r="7333" spans="30:30" x14ac:dyDescent="0.3">
      <c r="AD7333" s="16"/>
    </row>
    <row r="7334" spans="30:30" x14ac:dyDescent="0.3">
      <c r="AD7334" s="16"/>
    </row>
    <row r="7335" spans="30:30" x14ac:dyDescent="0.3">
      <c r="AD7335" s="16"/>
    </row>
    <row r="7336" spans="30:30" x14ac:dyDescent="0.3">
      <c r="AD7336" s="16"/>
    </row>
    <row r="7337" spans="30:30" x14ac:dyDescent="0.3">
      <c r="AD7337" s="16"/>
    </row>
    <row r="7338" spans="30:30" x14ac:dyDescent="0.3">
      <c r="AD7338" s="16"/>
    </row>
    <row r="7339" spans="30:30" x14ac:dyDescent="0.3">
      <c r="AD7339" s="16"/>
    </row>
    <row r="7340" spans="30:30" x14ac:dyDescent="0.3">
      <c r="AD7340" s="16"/>
    </row>
    <row r="7341" spans="30:30" x14ac:dyDescent="0.3">
      <c r="AD7341" s="16"/>
    </row>
    <row r="7342" spans="30:30" x14ac:dyDescent="0.3">
      <c r="AD7342" s="16"/>
    </row>
    <row r="7343" spans="30:30" x14ac:dyDescent="0.3">
      <c r="AD7343" s="16"/>
    </row>
    <row r="7344" spans="30:30" x14ac:dyDescent="0.3">
      <c r="AD7344" s="16"/>
    </row>
    <row r="7345" spans="30:30" x14ac:dyDescent="0.3">
      <c r="AD7345" s="16"/>
    </row>
    <row r="7346" spans="30:30" x14ac:dyDescent="0.3">
      <c r="AD7346" s="16"/>
    </row>
    <row r="7347" spans="30:30" x14ac:dyDescent="0.3">
      <c r="AD7347" s="16"/>
    </row>
    <row r="7348" spans="30:30" x14ac:dyDescent="0.3">
      <c r="AD7348" s="16"/>
    </row>
    <row r="7349" spans="30:30" x14ac:dyDescent="0.3">
      <c r="AD7349" s="16"/>
    </row>
    <row r="7350" spans="30:30" x14ac:dyDescent="0.3">
      <c r="AD7350" s="16"/>
    </row>
    <row r="7351" spans="30:30" x14ac:dyDescent="0.3">
      <c r="AD7351" s="16"/>
    </row>
    <row r="7352" spans="30:30" x14ac:dyDescent="0.3">
      <c r="AD7352" s="16"/>
    </row>
    <row r="7353" spans="30:30" x14ac:dyDescent="0.3">
      <c r="AD7353" s="16"/>
    </row>
    <row r="7354" spans="30:30" x14ac:dyDescent="0.3">
      <c r="AD7354" s="16"/>
    </row>
    <row r="7355" spans="30:30" x14ac:dyDescent="0.3">
      <c r="AD7355" s="16"/>
    </row>
    <row r="7356" spans="30:30" x14ac:dyDescent="0.3">
      <c r="AD7356" s="16"/>
    </row>
    <row r="7357" spans="30:30" x14ac:dyDescent="0.3">
      <c r="AD7357" s="16"/>
    </row>
    <row r="7358" spans="30:30" x14ac:dyDescent="0.3">
      <c r="AD7358" s="16"/>
    </row>
    <row r="7359" spans="30:30" x14ac:dyDescent="0.3">
      <c r="AD7359" s="16"/>
    </row>
    <row r="7360" spans="30:30" x14ac:dyDescent="0.3">
      <c r="AD7360" s="16"/>
    </row>
    <row r="7361" spans="30:30" x14ac:dyDescent="0.3">
      <c r="AD7361" s="16"/>
    </row>
    <row r="7362" spans="30:30" x14ac:dyDescent="0.3">
      <c r="AD7362" s="16"/>
    </row>
    <row r="7363" spans="30:30" x14ac:dyDescent="0.3">
      <c r="AD7363" s="16"/>
    </row>
    <row r="7364" spans="30:30" x14ac:dyDescent="0.3">
      <c r="AD7364" s="16"/>
    </row>
    <row r="7365" spans="30:30" x14ac:dyDescent="0.3">
      <c r="AD7365" s="16"/>
    </row>
    <row r="7366" spans="30:30" x14ac:dyDescent="0.3">
      <c r="AD7366" s="16"/>
    </row>
    <row r="7367" spans="30:30" x14ac:dyDescent="0.3">
      <c r="AD7367" s="16"/>
    </row>
    <row r="7368" spans="30:30" x14ac:dyDescent="0.3">
      <c r="AD7368" s="16"/>
    </row>
    <row r="7369" spans="30:30" x14ac:dyDescent="0.3">
      <c r="AD7369" s="16"/>
    </row>
    <row r="7370" spans="30:30" x14ac:dyDescent="0.3">
      <c r="AD7370" s="16"/>
    </row>
    <row r="7371" spans="30:30" x14ac:dyDescent="0.3">
      <c r="AD7371" s="16"/>
    </row>
    <row r="7372" spans="30:30" x14ac:dyDescent="0.3">
      <c r="AD7372" s="16"/>
    </row>
    <row r="7373" spans="30:30" x14ac:dyDescent="0.3">
      <c r="AD7373" s="16"/>
    </row>
    <row r="7374" spans="30:30" x14ac:dyDescent="0.3">
      <c r="AD7374" s="16"/>
    </row>
    <row r="7375" spans="30:30" x14ac:dyDescent="0.3">
      <c r="AD7375" s="16"/>
    </row>
    <row r="7376" spans="30:30" x14ac:dyDescent="0.3">
      <c r="AD7376" s="16"/>
    </row>
    <row r="7377" spans="30:30" x14ac:dyDescent="0.3">
      <c r="AD7377" s="16"/>
    </row>
    <row r="7378" spans="30:30" x14ac:dyDescent="0.3">
      <c r="AD7378" s="16"/>
    </row>
    <row r="7379" spans="30:30" x14ac:dyDescent="0.3">
      <c r="AD7379" s="16"/>
    </row>
    <row r="7380" spans="30:30" x14ac:dyDescent="0.3">
      <c r="AD7380" s="16"/>
    </row>
    <row r="7381" spans="30:30" x14ac:dyDescent="0.3">
      <c r="AD7381" s="16"/>
    </row>
    <row r="7382" spans="30:30" x14ac:dyDescent="0.3">
      <c r="AD7382" s="16"/>
    </row>
    <row r="7383" spans="30:30" x14ac:dyDescent="0.3">
      <c r="AD7383" s="16"/>
    </row>
    <row r="7384" spans="30:30" x14ac:dyDescent="0.3">
      <c r="AD7384" s="16"/>
    </row>
    <row r="7385" spans="30:30" x14ac:dyDescent="0.3">
      <c r="AD7385" s="16"/>
    </row>
    <row r="7386" spans="30:30" x14ac:dyDescent="0.3">
      <c r="AD7386" s="16"/>
    </row>
    <row r="7387" spans="30:30" x14ac:dyDescent="0.3">
      <c r="AD7387" s="16"/>
    </row>
    <row r="7388" spans="30:30" x14ac:dyDescent="0.3">
      <c r="AD7388" s="16"/>
    </row>
    <row r="7389" spans="30:30" x14ac:dyDescent="0.3">
      <c r="AD7389" s="16"/>
    </row>
    <row r="7390" spans="30:30" x14ac:dyDescent="0.3">
      <c r="AD7390" s="16"/>
    </row>
    <row r="7391" spans="30:30" x14ac:dyDescent="0.3">
      <c r="AD7391" s="16"/>
    </row>
    <row r="7392" spans="30:30" x14ac:dyDescent="0.3">
      <c r="AD7392" s="16"/>
    </row>
    <row r="7393" spans="30:30" x14ac:dyDescent="0.3">
      <c r="AD7393" s="16"/>
    </row>
    <row r="7394" spans="30:30" x14ac:dyDescent="0.3">
      <c r="AD7394" s="16"/>
    </row>
    <row r="7395" spans="30:30" x14ac:dyDescent="0.3">
      <c r="AD7395" s="16"/>
    </row>
    <row r="7396" spans="30:30" x14ac:dyDescent="0.3">
      <c r="AD7396" s="16"/>
    </row>
    <row r="7397" spans="30:30" x14ac:dyDescent="0.3">
      <c r="AD7397" s="16"/>
    </row>
    <row r="7398" spans="30:30" x14ac:dyDescent="0.3">
      <c r="AD7398" s="16"/>
    </row>
    <row r="7399" spans="30:30" x14ac:dyDescent="0.3">
      <c r="AD7399" s="16"/>
    </row>
    <row r="7400" spans="30:30" x14ac:dyDescent="0.3">
      <c r="AD7400" s="16"/>
    </row>
    <row r="7401" spans="30:30" x14ac:dyDescent="0.3">
      <c r="AD7401" s="16"/>
    </row>
    <row r="7402" spans="30:30" x14ac:dyDescent="0.3">
      <c r="AD7402" s="16"/>
    </row>
    <row r="7403" spans="30:30" x14ac:dyDescent="0.3">
      <c r="AD7403" s="16"/>
    </row>
    <row r="7404" spans="30:30" x14ac:dyDescent="0.3">
      <c r="AD7404" s="16"/>
    </row>
    <row r="7405" spans="30:30" x14ac:dyDescent="0.3">
      <c r="AD7405" s="16"/>
    </row>
    <row r="7406" spans="30:30" x14ac:dyDescent="0.3">
      <c r="AD7406" s="16"/>
    </row>
    <row r="7407" spans="30:30" x14ac:dyDescent="0.3">
      <c r="AD7407" s="16"/>
    </row>
    <row r="7408" spans="30:30" x14ac:dyDescent="0.3">
      <c r="AD7408" s="16"/>
    </row>
    <row r="7409" spans="30:30" x14ac:dyDescent="0.3">
      <c r="AD7409" s="16"/>
    </row>
    <row r="7410" spans="30:30" x14ac:dyDescent="0.3">
      <c r="AD7410" s="16"/>
    </row>
    <row r="7411" spans="30:30" x14ac:dyDescent="0.3">
      <c r="AD7411" s="16"/>
    </row>
    <row r="7412" spans="30:30" x14ac:dyDescent="0.3">
      <c r="AD7412" s="16"/>
    </row>
    <row r="7413" spans="30:30" x14ac:dyDescent="0.3">
      <c r="AD7413" s="16"/>
    </row>
    <row r="7414" spans="30:30" x14ac:dyDescent="0.3">
      <c r="AD7414" s="16"/>
    </row>
    <row r="7415" spans="30:30" x14ac:dyDescent="0.3">
      <c r="AD7415" s="16"/>
    </row>
    <row r="7416" spans="30:30" x14ac:dyDescent="0.3">
      <c r="AD7416" s="16"/>
    </row>
    <row r="7417" spans="30:30" x14ac:dyDescent="0.3">
      <c r="AD7417" s="16"/>
    </row>
    <row r="7418" spans="30:30" x14ac:dyDescent="0.3">
      <c r="AD7418" s="16"/>
    </row>
    <row r="7419" spans="30:30" x14ac:dyDescent="0.3">
      <c r="AD7419" s="16"/>
    </row>
    <row r="7420" spans="30:30" x14ac:dyDescent="0.3">
      <c r="AD7420" s="16"/>
    </row>
    <row r="7421" spans="30:30" x14ac:dyDescent="0.3">
      <c r="AD7421" s="16"/>
    </row>
    <row r="7422" spans="30:30" x14ac:dyDescent="0.3">
      <c r="AD7422" s="16"/>
    </row>
    <row r="7423" spans="30:30" x14ac:dyDescent="0.3">
      <c r="AD7423" s="16"/>
    </row>
    <row r="7424" spans="30:30" x14ac:dyDescent="0.3">
      <c r="AD7424" s="16"/>
    </row>
    <row r="7425" spans="30:30" x14ac:dyDescent="0.3">
      <c r="AD7425" s="16"/>
    </row>
    <row r="7426" spans="30:30" x14ac:dyDescent="0.3">
      <c r="AD7426" s="16"/>
    </row>
    <row r="7427" spans="30:30" x14ac:dyDescent="0.3">
      <c r="AD7427" s="16"/>
    </row>
    <row r="7428" spans="30:30" x14ac:dyDescent="0.3">
      <c r="AD7428" s="16"/>
    </row>
    <row r="7429" spans="30:30" x14ac:dyDescent="0.3">
      <c r="AD7429" s="16"/>
    </row>
    <row r="7430" spans="30:30" x14ac:dyDescent="0.3">
      <c r="AD7430" s="16"/>
    </row>
    <row r="7431" spans="30:30" x14ac:dyDescent="0.3">
      <c r="AD7431" s="16"/>
    </row>
    <row r="7432" spans="30:30" x14ac:dyDescent="0.3">
      <c r="AD7432" s="16"/>
    </row>
    <row r="7433" spans="30:30" x14ac:dyDescent="0.3">
      <c r="AD7433" s="16"/>
    </row>
    <row r="7434" spans="30:30" x14ac:dyDescent="0.3">
      <c r="AD7434" s="16"/>
    </row>
    <row r="7435" spans="30:30" x14ac:dyDescent="0.3">
      <c r="AD7435" s="16"/>
    </row>
    <row r="7436" spans="30:30" x14ac:dyDescent="0.3">
      <c r="AD7436" s="16"/>
    </row>
    <row r="7437" spans="30:30" x14ac:dyDescent="0.3">
      <c r="AD7437" s="16"/>
    </row>
    <row r="7438" spans="30:30" x14ac:dyDescent="0.3">
      <c r="AD7438" s="16"/>
    </row>
    <row r="7439" spans="30:30" x14ac:dyDescent="0.3">
      <c r="AD7439" s="16"/>
    </row>
    <row r="7440" spans="30:30" x14ac:dyDescent="0.3">
      <c r="AD7440" s="16"/>
    </row>
    <row r="7441" spans="30:30" x14ac:dyDescent="0.3">
      <c r="AD7441" s="16"/>
    </row>
    <row r="7442" spans="30:30" x14ac:dyDescent="0.3">
      <c r="AD7442" s="16"/>
    </row>
    <row r="7443" spans="30:30" x14ac:dyDescent="0.3">
      <c r="AD7443" s="16"/>
    </row>
    <row r="7444" spans="30:30" x14ac:dyDescent="0.3">
      <c r="AD7444" s="16"/>
    </row>
    <row r="7445" spans="30:30" x14ac:dyDescent="0.3">
      <c r="AD7445" s="16"/>
    </row>
    <row r="7446" spans="30:30" x14ac:dyDescent="0.3">
      <c r="AD7446" s="16"/>
    </row>
    <row r="7447" spans="30:30" x14ac:dyDescent="0.3">
      <c r="AD7447" s="16"/>
    </row>
    <row r="7448" spans="30:30" x14ac:dyDescent="0.3">
      <c r="AD7448" s="16"/>
    </row>
    <row r="7449" spans="30:30" x14ac:dyDescent="0.3">
      <c r="AD7449" s="16"/>
    </row>
    <row r="7450" spans="30:30" x14ac:dyDescent="0.3">
      <c r="AD7450" s="16"/>
    </row>
    <row r="7451" spans="30:30" x14ac:dyDescent="0.3">
      <c r="AD7451" s="16"/>
    </row>
    <row r="7452" spans="30:30" x14ac:dyDescent="0.3">
      <c r="AD7452" s="16"/>
    </row>
    <row r="7453" spans="30:30" x14ac:dyDescent="0.3">
      <c r="AD7453" s="16"/>
    </row>
    <row r="7454" spans="30:30" x14ac:dyDescent="0.3">
      <c r="AD7454" s="16"/>
    </row>
    <row r="7455" spans="30:30" x14ac:dyDescent="0.3">
      <c r="AD7455" s="16"/>
    </row>
    <row r="7456" spans="30:30" x14ac:dyDescent="0.3">
      <c r="AD7456" s="16"/>
    </row>
    <row r="7457" spans="30:30" x14ac:dyDescent="0.3">
      <c r="AD7457" s="16"/>
    </row>
    <row r="7458" spans="30:30" x14ac:dyDescent="0.3">
      <c r="AD7458" s="16"/>
    </row>
    <row r="7459" spans="30:30" x14ac:dyDescent="0.3">
      <c r="AD7459" s="16"/>
    </row>
    <row r="7460" spans="30:30" x14ac:dyDescent="0.3">
      <c r="AD7460" s="16"/>
    </row>
    <row r="7461" spans="30:30" x14ac:dyDescent="0.3">
      <c r="AD7461" s="16"/>
    </row>
    <row r="7462" spans="30:30" x14ac:dyDescent="0.3">
      <c r="AD7462" s="16"/>
    </row>
    <row r="7463" spans="30:30" x14ac:dyDescent="0.3">
      <c r="AD7463" s="16"/>
    </row>
    <row r="7464" spans="30:30" x14ac:dyDescent="0.3">
      <c r="AD7464" s="16"/>
    </row>
    <row r="7465" spans="30:30" x14ac:dyDescent="0.3">
      <c r="AD7465" s="16"/>
    </row>
    <row r="7466" spans="30:30" x14ac:dyDescent="0.3">
      <c r="AD7466" s="16"/>
    </row>
    <row r="7467" spans="30:30" x14ac:dyDescent="0.3">
      <c r="AD7467" s="16"/>
    </row>
    <row r="7468" spans="30:30" x14ac:dyDescent="0.3">
      <c r="AD7468" s="16"/>
    </row>
    <row r="7469" spans="30:30" x14ac:dyDescent="0.3">
      <c r="AD7469" s="16"/>
    </row>
    <row r="7470" spans="30:30" x14ac:dyDescent="0.3">
      <c r="AD7470" s="16"/>
    </row>
    <row r="7471" spans="30:30" x14ac:dyDescent="0.3">
      <c r="AD7471" s="16"/>
    </row>
    <row r="7472" spans="30:30" x14ac:dyDescent="0.3">
      <c r="AD7472" s="16"/>
    </row>
    <row r="7473" spans="30:30" x14ac:dyDescent="0.3">
      <c r="AD7473" s="16"/>
    </row>
    <row r="7474" spans="30:30" x14ac:dyDescent="0.3">
      <c r="AD7474" s="16"/>
    </row>
    <row r="7475" spans="30:30" x14ac:dyDescent="0.3">
      <c r="AD7475" s="16"/>
    </row>
    <row r="7476" spans="30:30" x14ac:dyDescent="0.3">
      <c r="AD7476" s="16"/>
    </row>
    <row r="7477" spans="30:30" x14ac:dyDescent="0.3">
      <c r="AD7477" s="16"/>
    </row>
    <row r="7478" spans="30:30" x14ac:dyDescent="0.3">
      <c r="AD7478" s="16"/>
    </row>
    <row r="7479" spans="30:30" x14ac:dyDescent="0.3">
      <c r="AD7479" s="16"/>
    </row>
    <row r="7480" spans="30:30" x14ac:dyDescent="0.3">
      <c r="AD7480" s="16"/>
    </row>
    <row r="7481" spans="30:30" x14ac:dyDescent="0.3">
      <c r="AD7481" s="16"/>
    </row>
    <row r="7482" spans="30:30" x14ac:dyDescent="0.3">
      <c r="AD7482" s="16"/>
    </row>
    <row r="7483" spans="30:30" x14ac:dyDescent="0.3">
      <c r="AD7483" s="16"/>
    </row>
    <row r="7484" spans="30:30" x14ac:dyDescent="0.3">
      <c r="AD7484" s="16"/>
    </row>
    <row r="7485" spans="30:30" x14ac:dyDescent="0.3">
      <c r="AD7485" s="16"/>
    </row>
    <row r="7486" spans="30:30" x14ac:dyDescent="0.3">
      <c r="AD7486" s="16"/>
    </row>
    <row r="7487" spans="30:30" x14ac:dyDescent="0.3">
      <c r="AD7487" s="16"/>
    </row>
    <row r="7488" spans="30:30" x14ac:dyDescent="0.3">
      <c r="AD7488" s="16"/>
    </row>
    <row r="7489" spans="30:30" x14ac:dyDescent="0.3">
      <c r="AD7489" s="16"/>
    </row>
    <row r="7490" spans="30:30" x14ac:dyDescent="0.3">
      <c r="AD7490" s="16"/>
    </row>
    <row r="7491" spans="30:30" x14ac:dyDescent="0.3">
      <c r="AD7491" s="16"/>
    </row>
    <row r="7492" spans="30:30" x14ac:dyDescent="0.3">
      <c r="AD7492" s="16"/>
    </row>
    <row r="7493" spans="30:30" x14ac:dyDescent="0.3">
      <c r="AD7493" s="16"/>
    </row>
    <row r="7494" spans="30:30" x14ac:dyDescent="0.3">
      <c r="AD7494" s="16"/>
    </row>
    <row r="7495" spans="30:30" x14ac:dyDescent="0.3">
      <c r="AD7495" s="16"/>
    </row>
    <row r="7496" spans="30:30" x14ac:dyDescent="0.3">
      <c r="AD7496" s="16"/>
    </row>
    <row r="7497" spans="30:30" x14ac:dyDescent="0.3">
      <c r="AD7497" s="16"/>
    </row>
    <row r="7498" spans="30:30" x14ac:dyDescent="0.3">
      <c r="AD7498" s="16"/>
    </row>
    <row r="7499" spans="30:30" x14ac:dyDescent="0.3">
      <c r="AD7499" s="16"/>
    </row>
    <row r="7500" spans="30:30" x14ac:dyDescent="0.3">
      <c r="AD7500" s="16"/>
    </row>
    <row r="7501" spans="30:30" x14ac:dyDescent="0.3">
      <c r="AD7501" s="16"/>
    </row>
    <row r="7502" spans="30:30" x14ac:dyDescent="0.3">
      <c r="AD7502" s="16"/>
    </row>
    <row r="7503" spans="30:30" x14ac:dyDescent="0.3">
      <c r="AD7503" s="16"/>
    </row>
    <row r="7504" spans="30:30" x14ac:dyDescent="0.3">
      <c r="AD7504" s="16"/>
    </row>
    <row r="7505" spans="30:30" x14ac:dyDescent="0.3">
      <c r="AD7505" s="16"/>
    </row>
    <row r="7506" spans="30:30" x14ac:dyDescent="0.3">
      <c r="AD7506" s="16"/>
    </row>
    <row r="7507" spans="30:30" x14ac:dyDescent="0.3">
      <c r="AD7507" s="16"/>
    </row>
    <row r="7508" spans="30:30" x14ac:dyDescent="0.3">
      <c r="AD7508" s="16"/>
    </row>
    <row r="7509" spans="30:30" x14ac:dyDescent="0.3">
      <c r="AD7509" s="16"/>
    </row>
    <row r="7510" spans="30:30" x14ac:dyDescent="0.3">
      <c r="AD7510" s="16"/>
    </row>
    <row r="7511" spans="30:30" x14ac:dyDescent="0.3">
      <c r="AD7511" s="16"/>
    </row>
    <row r="7512" spans="30:30" x14ac:dyDescent="0.3">
      <c r="AD7512" s="16"/>
    </row>
    <row r="7513" spans="30:30" x14ac:dyDescent="0.3">
      <c r="AD7513" s="16"/>
    </row>
    <row r="7514" spans="30:30" x14ac:dyDescent="0.3">
      <c r="AD7514" s="16"/>
    </row>
    <row r="7515" spans="30:30" x14ac:dyDescent="0.3">
      <c r="AD7515" s="16"/>
    </row>
    <row r="7516" spans="30:30" x14ac:dyDescent="0.3">
      <c r="AD7516" s="16"/>
    </row>
    <row r="7517" spans="30:30" x14ac:dyDescent="0.3">
      <c r="AD7517" s="16"/>
    </row>
    <row r="7518" spans="30:30" x14ac:dyDescent="0.3">
      <c r="AD7518" s="16"/>
    </row>
    <row r="7519" spans="30:30" x14ac:dyDescent="0.3">
      <c r="AD7519" s="16"/>
    </row>
    <row r="7520" spans="30:30" x14ac:dyDescent="0.3">
      <c r="AD7520" s="16"/>
    </row>
    <row r="7521" spans="30:30" x14ac:dyDescent="0.3">
      <c r="AD7521" s="16"/>
    </row>
    <row r="7522" spans="30:30" x14ac:dyDescent="0.3">
      <c r="AD7522" s="16"/>
    </row>
    <row r="7523" spans="30:30" x14ac:dyDescent="0.3">
      <c r="AD7523" s="16"/>
    </row>
    <row r="7524" spans="30:30" x14ac:dyDescent="0.3">
      <c r="AD7524" s="16"/>
    </row>
    <row r="7525" spans="30:30" x14ac:dyDescent="0.3">
      <c r="AD7525" s="16"/>
    </row>
    <row r="7526" spans="30:30" x14ac:dyDescent="0.3">
      <c r="AD7526" s="16"/>
    </row>
    <row r="7527" spans="30:30" x14ac:dyDescent="0.3">
      <c r="AD7527" s="16"/>
    </row>
    <row r="7528" spans="30:30" x14ac:dyDescent="0.3">
      <c r="AD7528" s="16"/>
    </row>
    <row r="7529" spans="30:30" x14ac:dyDescent="0.3">
      <c r="AD7529" s="16"/>
    </row>
    <row r="7530" spans="30:30" x14ac:dyDescent="0.3">
      <c r="AD7530" s="16"/>
    </row>
    <row r="7531" spans="30:30" x14ac:dyDescent="0.3">
      <c r="AD7531" s="16"/>
    </row>
    <row r="7532" spans="30:30" x14ac:dyDescent="0.3">
      <c r="AD7532" s="16"/>
    </row>
    <row r="7533" spans="30:30" x14ac:dyDescent="0.3">
      <c r="AD7533" s="16"/>
    </row>
    <row r="7534" spans="30:30" x14ac:dyDescent="0.3">
      <c r="AD7534" s="16"/>
    </row>
    <row r="7535" spans="30:30" x14ac:dyDescent="0.3">
      <c r="AD7535" s="16"/>
    </row>
    <row r="7536" spans="30:30" x14ac:dyDescent="0.3">
      <c r="AD7536" s="16"/>
    </row>
    <row r="7537" spans="30:30" x14ac:dyDescent="0.3">
      <c r="AD7537" s="16"/>
    </row>
    <row r="7538" spans="30:30" x14ac:dyDescent="0.3">
      <c r="AD7538" s="16"/>
    </row>
    <row r="7539" spans="30:30" x14ac:dyDescent="0.3">
      <c r="AD7539" s="16"/>
    </row>
    <row r="7540" spans="30:30" x14ac:dyDescent="0.3">
      <c r="AD7540" s="16"/>
    </row>
    <row r="7541" spans="30:30" x14ac:dyDescent="0.3">
      <c r="AD7541" s="16"/>
    </row>
    <row r="7542" spans="30:30" x14ac:dyDescent="0.3">
      <c r="AD7542" s="16"/>
    </row>
    <row r="7543" spans="30:30" x14ac:dyDescent="0.3">
      <c r="AD7543" s="16"/>
    </row>
    <row r="7544" spans="30:30" x14ac:dyDescent="0.3">
      <c r="AD7544" s="16"/>
    </row>
    <row r="7545" spans="30:30" x14ac:dyDescent="0.3">
      <c r="AD7545" s="16"/>
    </row>
    <row r="7546" spans="30:30" x14ac:dyDescent="0.3">
      <c r="AD7546" s="16"/>
    </row>
    <row r="7547" spans="30:30" x14ac:dyDescent="0.3">
      <c r="AD7547" s="16"/>
    </row>
    <row r="7548" spans="30:30" x14ac:dyDescent="0.3">
      <c r="AD7548" s="16"/>
    </row>
    <row r="7549" spans="30:30" x14ac:dyDescent="0.3">
      <c r="AD7549" s="16"/>
    </row>
    <row r="7550" spans="30:30" x14ac:dyDescent="0.3">
      <c r="AD7550" s="16"/>
    </row>
    <row r="7551" spans="30:30" x14ac:dyDescent="0.3">
      <c r="AD7551" s="16"/>
    </row>
    <row r="7552" spans="30:30" x14ac:dyDescent="0.3">
      <c r="AD7552" s="16"/>
    </row>
    <row r="7553" spans="30:30" x14ac:dyDescent="0.3">
      <c r="AD7553" s="16"/>
    </row>
    <row r="7554" spans="30:30" x14ac:dyDescent="0.3">
      <c r="AD7554" s="16"/>
    </row>
    <row r="7555" spans="30:30" x14ac:dyDescent="0.3">
      <c r="AD7555" s="16"/>
    </row>
    <row r="7556" spans="30:30" x14ac:dyDescent="0.3">
      <c r="AD7556" s="16"/>
    </row>
    <row r="7557" spans="30:30" x14ac:dyDescent="0.3">
      <c r="AD7557" s="16"/>
    </row>
    <row r="7558" spans="30:30" x14ac:dyDescent="0.3">
      <c r="AD7558" s="16"/>
    </row>
    <row r="7559" spans="30:30" x14ac:dyDescent="0.3">
      <c r="AD7559" s="16"/>
    </row>
    <row r="7560" spans="30:30" x14ac:dyDescent="0.3">
      <c r="AD7560" s="16"/>
    </row>
    <row r="7561" spans="30:30" x14ac:dyDescent="0.3">
      <c r="AD7561" s="16"/>
    </row>
    <row r="7562" spans="30:30" x14ac:dyDescent="0.3">
      <c r="AD7562" s="16"/>
    </row>
    <row r="7563" spans="30:30" x14ac:dyDescent="0.3">
      <c r="AD7563" s="16"/>
    </row>
    <row r="7564" spans="30:30" x14ac:dyDescent="0.3">
      <c r="AD7564" s="16"/>
    </row>
    <row r="7565" spans="30:30" x14ac:dyDescent="0.3">
      <c r="AD7565" s="16"/>
    </row>
    <row r="7566" spans="30:30" x14ac:dyDescent="0.3">
      <c r="AD7566" s="16"/>
    </row>
    <row r="7567" spans="30:30" x14ac:dyDescent="0.3">
      <c r="AD7567" s="16"/>
    </row>
    <row r="7568" spans="30:30" x14ac:dyDescent="0.3">
      <c r="AD7568" s="16"/>
    </row>
    <row r="7569" spans="30:30" x14ac:dyDescent="0.3">
      <c r="AD7569" s="16"/>
    </row>
    <row r="7570" spans="30:30" x14ac:dyDescent="0.3">
      <c r="AD7570" s="16"/>
    </row>
    <row r="7571" spans="30:30" x14ac:dyDescent="0.3">
      <c r="AD7571" s="16"/>
    </row>
    <row r="7572" spans="30:30" x14ac:dyDescent="0.3">
      <c r="AD7572" s="16"/>
    </row>
    <row r="7573" spans="30:30" x14ac:dyDescent="0.3">
      <c r="AD7573" s="16"/>
    </row>
    <row r="7574" spans="30:30" x14ac:dyDescent="0.3">
      <c r="AD7574" s="16"/>
    </row>
    <row r="7575" spans="30:30" x14ac:dyDescent="0.3">
      <c r="AD7575" s="16"/>
    </row>
    <row r="7576" spans="30:30" x14ac:dyDescent="0.3">
      <c r="AD7576" s="16"/>
    </row>
    <row r="7577" spans="30:30" x14ac:dyDescent="0.3">
      <c r="AD7577" s="16"/>
    </row>
    <row r="7578" spans="30:30" x14ac:dyDescent="0.3">
      <c r="AD7578" s="16"/>
    </row>
    <row r="7579" spans="30:30" x14ac:dyDescent="0.3">
      <c r="AD7579" s="16"/>
    </row>
    <row r="7580" spans="30:30" x14ac:dyDescent="0.3">
      <c r="AD7580" s="16"/>
    </row>
    <row r="7581" spans="30:30" x14ac:dyDescent="0.3">
      <c r="AD7581" s="16"/>
    </row>
    <row r="7582" spans="30:30" x14ac:dyDescent="0.3">
      <c r="AD7582" s="16"/>
    </row>
    <row r="7583" spans="30:30" x14ac:dyDescent="0.3">
      <c r="AD7583" s="16"/>
    </row>
    <row r="7584" spans="30:30" x14ac:dyDescent="0.3">
      <c r="AD7584" s="16"/>
    </row>
    <row r="7585" spans="30:30" x14ac:dyDescent="0.3">
      <c r="AD7585" s="16"/>
    </row>
    <row r="7586" spans="30:30" x14ac:dyDescent="0.3">
      <c r="AD7586" s="16"/>
    </row>
    <row r="7587" spans="30:30" x14ac:dyDescent="0.3">
      <c r="AD7587" s="16"/>
    </row>
    <row r="7588" spans="30:30" x14ac:dyDescent="0.3">
      <c r="AD7588" s="16"/>
    </row>
    <row r="7589" spans="30:30" x14ac:dyDescent="0.3">
      <c r="AD7589" s="16"/>
    </row>
    <row r="7590" spans="30:30" x14ac:dyDescent="0.3">
      <c r="AD7590" s="16"/>
    </row>
    <row r="7591" spans="30:30" x14ac:dyDescent="0.3">
      <c r="AD7591" s="16"/>
    </row>
    <row r="7592" spans="30:30" x14ac:dyDescent="0.3">
      <c r="AD7592" s="16"/>
    </row>
    <row r="7593" spans="30:30" x14ac:dyDescent="0.3">
      <c r="AD7593" s="16"/>
    </row>
    <row r="7594" spans="30:30" x14ac:dyDescent="0.3">
      <c r="AD7594" s="16"/>
    </row>
    <row r="7595" spans="30:30" x14ac:dyDescent="0.3">
      <c r="AD7595" s="16"/>
    </row>
    <row r="7596" spans="30:30" x14ac:dyDescent="0.3">
      <c r="AD7596" s="16"/>
    </row>
    <row r="7597" spans="30:30" x14ac:dyDescent="0.3">
      <c r="AD7597" s="16"/>
    </row>
    <row r="7598" spans="30:30" x14ac:dyDescent="0.3">
      <c r="AD7598" s="16"/>
    </row>
    <row r="7599" spans="30:30" x14ac:dyDescent="0.3">
      <c r="AD7599" s="16"/>
    </row>
    <row r="7600" spans="30:30" x14ac:dyDescent="0.3">
      <c r="AD7600" s="16"/>
    </row>
    <row r="7601" spans="30:30" x14ac:dyDescent="0.3">
      <c r="AD7601" s="16"/>
    </row>
    <row r="7602" spans="30:30" x14ac:dyDescent="0.3">
      <c r="AD7602" s="16"/>
    </row>
    <row r="7603" spans="30:30" x14ac:dyDescent="0.3">
      <c r="AD7603" s="16"/>
    </row>
    <row r="7604" spans="30:30" x14ac:dyDescent="0.3">
      <c r="AD7604" s="16"/>
    </row>
    <row r="7605" spans="30:30" x14ac:dyDescent="0.3">
      <c r="AD7605" s="16"/>
    </row>
    <row r="7606" spans="30:30" x14ac:dyDescent="0.3">
      <c r="AD7606" s="16"/>
    </row>
    <row r="7607" spans="30:30" x14ac:dyDescent="0.3">
      <c r="AD7607" s="16"/>
    </row>
    <row r="7608" spans="30:30" x14ac:dyDescent="0.3">
      <c r="AD7608" s="16"/>
    </row>
    <row r="7609" spans="30:30" x14ac:dyDescent="0.3">
      <c r="AD7609" s="16"/>
    </row>
    <row r="7610" spans="30:30" x14ac:dyDescent="0.3">
      <c r="AD7610" s="16"/>
    </row>
    <row r="7611" spans="30:30" x14ac:dyDescent="0.3">
      <c r="AD7611" s="16"/>
    </row>
    <row r="7612" spans="30:30" x14ac:dyDescent="0.3">
      <c r="AD7612" s="16"/>
    </row>
    <row r="7613" spans="30:30" x14ac:dyDescent="0.3">
      <c r="AD7613" s="16"/>
    </row>
    <row r="7614" spans="30:30" x14ac:dyDescent="0.3">
      <c r="AD7614" s="16"/>
    </row>
    <row r="7615" spans="30:30" x14ac:dyDescent="0.3">
      <c r="AD7615" s="16"/>
    </row>
    <row r="7616" spans="30:30" x14ac:dyDescent="0.3">
      <c r="AD7616" s="16"/>
    </row>
    <row r="7617" spans="30:30" x14ac:dyDescent="0.3">
      <c r="AD7617" s="16"/>
    </row>
    <row r="7618" spans="30:30" x14ac:dyDescent="0.3">
      <c r="AD7618" s="16"/>
    </row>
    <row r="7619" spans="30:30" x14ac:dyDescent="0.3">
      <c r="AD7619" s="16"/>
    </row>
    <row r="7620" spans="30:30" x14ac:dyDescent="0.3">
      <c r="AD7620" s="16"/>
    </row>
    <row r="7621" spans="30:30" x14ac:dyDescent="0.3">
      <c r="AD7621" s="16"/>
    </row>
    <row r="7622" spans="30:30" x14ac:dyDescent="0.3">
      <c r="AD7622" s="16"/>
    </row>
    <row r="7623" spans="30:30" x14ac:dyDescent="0.3">
      <c r="AD7623" s="16"/>
    </row>
    <row r="7624" spans="30:30" x14ac:dyDescent="0.3">
      <c r="AD7624" s="16"/>
    </row>
    <row r="7625" spans="30:30" x14ac:dyDescent="0.3">
      <c r="AD7625" s="16"/>
    </row>
    <row r="7626" spans="30:30" x14ac:dyDescent="0.3">
      <c r="AD7626" s="16"/>
    </row>
    <row r="7627" spans="30:30" x14ac:dyDescent="0.3">
      <c r="AD7627" s="16"/>
    </row>
    <row r="7628" spans="30:30" x14ac:dyDescent="0.3">
      <c r="AD7628" s="16"/>
    </row>
    <row r="7629" spans="30:30" x14ac:dyDescent="0.3">
      <c r="AD7629" s="16"/>
    </row>
    <row r="7630" spans="30:30" x14ac:dyDescent="0.3">
      <c r="AD7630" s="16"/>
    </row>
    <row r="7631" spans="30:30" x14ac:dyDescent="0.3">
      <c r="AD7631" s="16"/>
    </row>
    <row r="7632" spans="30:30" x14ac:dyDescent="0.3">
      <c r="AD7632" s="16"/>
    </row>
    <row r="7633" spans="30:30" x14ac:dyDescent="0.3">
      <c r="AD7633" s="16"/>
    </row>
    <row r="7634" spans="30:30" x14ac:dyDescent="0.3">
      <c r="AD7634" s="16"/>
    </row>
    <row r="7635" spans="30:30" x14ac:dyDescent="0.3">
      <c r="AD7635" s="16"/>
    </row>
    <row r="7636" spans="30:30" x14ac:dyDescent="0.3">
      <c r="AD7636" s="16"/>
    </row>
    <row r="7637" spans="30:30" x14ac:dyDescent="0.3">
      <c r="AD7637" s="16"/>
    </row>
    <row r="7638" spans="30:30" x14ac:dyDescent="0.3">
      <c r="AD7638" s="16"/>
    </row>
    <row r="7639" spans="30:30" x14ac:dyDescent="0.3">
      <c r="AD7639" s="16"/>
    </row>
    <row r="7640" spans="30:30" x14ac:dyDescent="0.3">
      <c r="AD7640" s="16"/>
    </row>
    <row r="7641" spans="30:30" x14ac:dyDescent="0.3">
      <c r="AD7641" s="16"/>
    </row>
    <row r="7642" spans="30:30" x14ac:dyDescent="0.3">
      <c r="AD7642" s="16"/>
    </row>
    <row r="7643" spans="30:30" x14ac:dyDescent="0.3">
      <c r="AD7643" s="16"/>
    </row>
    <row r="7644" spans="30:30" x14ac:dyDescent="0.3">
      <c r="AD7644" s="16"/>
    </row>
    <row r="7645" spans="30:30" x14ac:dyDescent="0.3">
      <c r="AD7645" s="16"/>
    </row>
    <row r="7646" spans="30:30" x14ac:dyDescent="0.3">
      <c r="AD7646" s="16"/>
    </row>
    <row r="7647" spans="30:30" x14ac:dyDescent="0.3">
      <c r="AD7647" s="16"/>
    </row>
    <row r="7648" spans="30:30" x14ac:dyDescent="0.3">
      <c r="AD7648" s="16"/>
    </row>
    <row r="7649" spans="30:30" x14ac:dyDescent="0.3">
      <c r="AD7649" s="16"/>
    </row>
    <row r="7650" spans="30:30" x14ac:dyDescent="0.3">
      <c r="AD7650" s="16"/>
    </row>
    <row r="7651" spans="30:30" x14ac:dyDescent="0.3">
      <c r="AD7651" s="16"/>
    </row>
    <row r="7652" spans="30:30" x14ac:dyDescent="0.3">
      <c r="AD7652" s="16"/>
    </row>
    <row r="7653" spans="30:30" x14ac:dyDescent="0.3">
      <c r="AD7653" s="16"/>
    </row>
    <row r="7654" spans="30:30" x14ac:dyDescent="0.3">
      <c r="AD7654" s="16"/>
    </row>
    <row r="7655" spans="30:30" x14ac:dyDescent="0.3">
      <c r="AD7655" s="16"/>
    </row>
    <row r="7656" spans="30:30" x14ac:dyDescent="0.3">
      <c r="AD7656" s="16"/>
    </row>
    <row r="7657" spans="30:30" x14ac:dyDescent="0.3">
      <c r="AD7657" s="16"/>
    </row>
    <row r="7658" spans="30:30" x14ac:dyDescent="0.3">
      <c r="AD7658" s="16"/>
    </row>
    <row r="7659" spans="30:30" x14ac:dyDescent="0.3">
      <c r="AD7659" s="16"/>
    </row>
    <row r="7660" spans="30:30" x14ac:dyDescent="0.3">
      <c r="AD7660" s="16"/>
    </row>
    <row r="7661" spans="30:30" x14ac:dyDescent="0.3">
      <c r="AD7661" s="16"/>
    </row>
    <row r="7662" spans="30:30" x14ac:dyDescent="0.3">
      <c r="AD7662" s="16"/>
    </row>
    <row r="7663" spans="30:30" x14ac:dyDescent="0.3">
      <c r="AD7663" s="16"/>
    </row>
    <row r="7664" spans="30:30" x14ac:dyDescent="0.3">
      <c r="AD7664" s="16"/>
    </row>
    <row r="7665" spans="30:30" x14ac:dyDescent="0.3">
      <c r="AD7665" s="16"/>
    </row>
    <row r="7666" spans="30:30" x14ac:dyDescent="0.3">
      <c r="AD7666" s="16"/>
    </row>
    <row r="7667" spans="30:30" x14ac:dyDescent="0.3">
      <c r="AD7667" s="16"/>
    </row>
    <row r="7668" spans="30:30" x14ac:dyDescent="0.3">
      <c r="AD7668" s="16"/>
    </row>
    <row r="7669" spans="30:30" x14ac:dyDescent="0.3">
      <c r="AD7669" s="16"/>
    </row>
    <row r="7670" spans="30:30" x14ac:dyDescent="0.3">
      <c r="AD7670" s="16"/>
    </row>
    <row r="7671" spans="30:30" x14ac:dyDescent="0.3">
      <c r="AD7671" s="16"/>
    </row>
    <row r="7672" spans="30:30" x14ac:dyDescent="0.3">
      <c r="AD7672" s="16"/>
    </row>
    <row r="7673" spans="30:30" x14ac:dyDescent="0.3">
      <c r="AD7673" s="16"/>
    </row>
    <row r="7674" spans="30:30" x14ac:dyDescent="0.3">
      <c r="AD7674" s="16"/>
    </row>
    <row r="7675" spans="30:30" x14ac:dyDescent="0.3">
      <c r="AD7675" s="16"/>
    </row>
    <row r="7676" spans="30:30" x14ac:dyDescent="0.3">
      <c r="AD7676" s="16"/>
    </row>
    <row r="7677" spans="30:30" x14ac:dyDescent="0.3">
      <c r="AD7677" s="16"/>
    </row>
    <row r="7678" spans="30:30" x14ac:dyDescent="0.3">
      <c r="AD7678" s="16"/>
    </row>
    <row r="7679" spans="30:30" x14ac:dyDescent="0.3">
      <c r="AD7679" s="16"/>
    </row>
    <row r="7680" spans="30:30" x14ac:dyDescent="0.3">
      <c r="AD7680" s="16"/>
    </row>
    <row r="7681" spans="30:30" x14ac:dyDescent="0.3">
      <c r="AD7681" s="16"/>
    </row>
    <row r="7682" spans="30:30" x14ac:dyDescent="0.3">
      <c r="AD7682" s="16"/>
    </row>
    <row r="7683" spans="30:30" x14ac:dyDescent="0.3">
      <c r="AD7683" s="16"/>
    </row>
    <row r="7684" spans="30:30" x14ac:dyDescent="0.3">
      <c r="AD7684" s="16"/>
    </row>
    <row r="7685" spans="30:30" x14ac:dyDescent="0.3">
      <c r="AD7685" s="16"/>
    </row>
    <row r="7686" spans="30:30" x14ac:dyDescent="0.3">
      <c r="AD7686" s="16"/>
    </row>
    <row r="7687" spans="30:30" x14ac:dyDescent="0.3">
      <c r="AD7687" s="16"/>
    </row>
    <row r="7688" spans="30:30" x14ac:dyDescent="0.3">
      <c r="AD7688" s="16"/>
    </row>
    <row r="7689" spans="30:30" x14ac:dyDescent="0.3">
      <c r="AD7689" s="16"/>
    </row>
    <row r="7690" spans="30:30" x14ac:dyDescent="0.3">
      <c r="AD7690" s="16"/>
    </row>
    <row r="7691" spans="30:30" x14ac:dyDescent="0.3">
      <c r="AD7691" s="16"/>
    </row>
    <row r="7692" spans="30:30" x14ac:dyDescent="0.3">
      <c r="AD7692" s="16"/>
    </row>
    <row r="7693" spans="30:30" x14ac:dyDescent="0.3">
      <c r="AD7693" s="16"/>
    </row>
    <row r="7694" spans="30:30" x14ac:dyDescent="0.3">
      <c r="AD7694" s="16"/>
    </row>
    <row r="7695" spans="30:30" x14ac:dyDescent="0.3">
      <c r="AD7695" s="16"/>
    </row>
    <row r="7696" spans="30:30" x14ac:dyDescent="0.3">
      <c r="AD7696" s="16"/>
    </row>
    <row r="7697" spans="30:30" x14ac:dyDescent="0.3">
      <c r="AD7697" s="16"/>
    </row>
    <row r="7698" spans="30:30" x14ac:dyDescent="0.3">
      <c r="AD7698" s="16"/>
    </row>
    <row r="7699" spans="30:30" x14ac:dyDescent="0.3">
      <c r="AD7699" s="16"/>
    </row>
    <row r="7700" spans="30:30" x14ac:dyDescent="0.3">
      <c r="AD7700" s="16"/>
    </row>
    <row r="7701" spans="30:30" x14ac:dyDescent="0.3">
      <c r="AD7701" s="16"/>
    </row>
    <row r="7702" spans="30:30" x14ac:dyDescent="0.3">
      <c r="AD7702" s="16"/>
    </row>
    <row r="7703" spans="30:30" x14ac:dyDescent="0.3">
      <c r="AD7703" s="16"/>
    </row>
    <row r="7704" spans="30:30" x14ac:dyDescent="0.3">
      <c r="AD7704" s="16"/>
    </row>
    <row r="7705" spans="30:30" x14ac:dyDescent="0.3">
      <c r="AD7705" s="16"/>
    </row>
    <row r="7706" spans="30:30" x14ac:dyDescent="0.3">
      <c r="AD7706" s="16"/>
    </row>
    <row r="7707" spans="30:30" x14ac:dyDescent="0.3">
      <c r="AD7707" s="16"/>
    </row>
    <row r="7708" spans="30:30" x14ac:dyDescent="0.3">
      <c r="AD7708" s="16"/>
    </row>
    <row r="7709" spans="30:30" x14ac:dyDescent="0.3">
      <c r="AD7709" s="16"/>
    </row>
    <row r="7710" spans="30:30" x14ac:dyDescent="0.3">
      <c r="AD7710" s="16"/>
    </row>
    <row r="7711" spans="30:30" x14ac:dyDescent="0.3">
      <c r="AD7711" s="16"/>
    </row>
    <row r="7712" spans="30:30" x14ac:dyDescent="0.3">
      <c r="AD7712" s="16"/>
    </row>
    <row r="7713" spans="30:30" x14ac:dyDescent="0.3">
      <c r="AD7713" s="16"/>
    </row>
    <row r="7714" spans="30:30" x14ac:dyDescent="0.3">
      <c r="AD7714" s="16"/>
    </row>
    <row r="7715" spans="30:30" x14ac:dyDescent="0.3">
      <c r="AD7715" s="16"/>
    </row>
    <row r="7716" spans="30:30" x14ac:dyDescent="0.3">
      <c r="AD7716" s="16"/>
    </row>
    <row r="7717" spans="30:30" x14ac:dyDescent="0.3">
      <c r="AD7717" s="16"/>
    </row>
    <row r="7718" spans="30:30" x14ac:dyDescent="0.3">
      <c r="AD7718" s="16"/>
    </row>
    <row r="7719" spans="30:30" x14ac:dyDescent="0.3">
      <c r="AD7719" s="16"/>
    </row>
    <row r="7720" spans="30:30" x14ac:dyDescent="0.3">
      <c r="AD7720" s="16"/>
    </row>
    <row r="7721" spans="30:30" x14ac:dyDescent="0.3">
      <c r="AD7721" s="16"/>
    </row>
    <row r="7722" spans="30:30" x14ac:dyDescent="0.3">
      <c r="AD7722" s="16"/>
    </row>
    <row r="7723" spans="30:30" x14ac:dyDescent="0.3">
      <c r="AD7723" s="16"/>
    </row>
    <row r="7724" spans="30:30" x14ac:dyDescent="0.3">
      <c r="AD7724" s="16"/>
    </row>
    <row r="7725" spans="30:30" x14ac:dyDescent="0.3">
      <c r="AD7725" s="16"/>
    </row>
    <row r="7726" spans="30:30" x14ac:dyDescent="0.3">
      <c r="AD7726" s="16"/>
    </row>
    <row r="7727" spans="30:30" x14ac:dyDescent="0.3">
      <c r="AD7727" s="16"/>
    </row>
    <row r="7728" spans="30:30" x14ac:dyDescent="0.3">
      <c r="AD7728" s="16"/>
    </row>
    <row r="7729" spans="30:30" x14ac:dyDescent="0.3">
      <c r="AD7729" s="16"/>
    </row>
    <row r="7730" spans="30:30" x14ac:dyDescent="0.3">
      <c r="AD7730" s="16"/>
    </row>
    <row r="7731" spans="30:30" x14ac:dyDescent="0.3">
      <c r="AD7731" s="16"/>
    </row>
    <row r="7732" spans="30:30" x14ac:dyDescent="0.3">
      <c r="AD7732" s="16"/>
    </row>
    <row r="7733" spans="30:30" x14ac:dyDescent="0.3">
      <c r="AD7733" s="16"/>
    </row>
    <row r="7734" spans="30:30" x14ac:dyDescent="0.3">
      <c r="AD7734" s="16"/>
    </row>
    <row r="7735" spans="30:30" x14ac:dyDescent="0.3">
      <c r="AD7735" s="16"/>
    </row>
    <row r="7736" spans="30:30" x14ac:dyDescent="0.3">
      <c r="AD7736" s="16"/>
    </row>
    <row r="7737" spans="30:30" x14ac:dyDescent="0.3">
      <c r="AD7737" s="16"/>
    </row>
    <row r="7738" spans="30:30" x14ac:dyDescent="0.3">
      <c r="AD7738" s="16"/>
    </row>
    <row r="7739" spans="30:30" x14ac:dyDescent="0.3">
      <c r="AD7739" s="16"/>
    </row>
    <row r="7740" spans="30:30" x14ac:dyDescent="0.3">
      <c r="AD7740" s="16"/>
    </row>
    <row r="7741" spans="30:30" x14ac:dyDescent="0.3">
      <c r="AD7741" s="16"/>
    </row>
    <row r="7742" spans="30:30" x14ac:dyDescent="0.3">
      <c r="AD7742" s="16"/>
    </row>
    <row r="7743" spans="30:30" x14ac:dyDescent="0.3">
      <c r="AD7743" s="16"/>
    </row>
    <row r="7744" spans="30:30" x14ac:dyDescent="0.3">
      <c r="AD7744" s="16"/>
    </row>
    <row r="7745" spans="30:30" x14ac:dyDescent="0.3">
      <c r="AD7745" s="16"/>
    </row>
    <row r="7746" spans="30:30" x14ac:dyDescent="0.3">
      <c r="AD7746" s="16"/>
    </row>
    <row r="7747" spans="30:30" x14ac:dyDescent="0.3">
      <c r="AD7747" s="16"/>
    </row>
    <row r="7748" spans="30:30" x14ac:dyDescent="0.3">
      <c r="AD7748" s="16"/>
    </row>
    <row r="7749" spans="30:30" x14ac:dyDescent="0.3">
      <c r="AD7749" s="16"/>
    </row>
    <row r="7750" spans="30:30" x14ac:dyDescent="0.3">
      <c r="AD7750" s="16"/>
    </row>
    <row r="7751" spans="30:30" x14ac:dyDescent="0.3">
      <c r="AD7751" s="16"/>
    </row>
    <row r="7752" spans="30:30" x14ac:dyDescent="0.3">
      <c r="AD7752" s="16"/>
    </row>
    <row r="7753" spans="30:30" x14ac:dyDescent="0.3">
      <c r="AD7753" s="16"/>
    </row>
    <row r="7754" spans="30:30" x14ac:dyDescent="0.3">
      <c r="AD7754" s="16"/>
    </row>
    <row r="7755" spans="30:30" x14ac:dyDescent="0.3">
      <c r="AD7755" s="16"/>
    </row>
    <row r="7756" spans="30:30" x14ac:dyDescent="0.3">
      <c r="AD7756" s="16"/>
    </row>
    <row r="7757" spans="30:30" x14ac:dyDescent="0.3">
      <c r="AD7757" s="16"/>
    </row>
    <row r="7758" spans="30:30" x14ac:dyDescent="0.3">
      <c r="AD7758" s="16"/>
    </row>
    <row r="7759" spans="30:30" x14ac:dyDescent="0.3">
      <c r="AD7759" s="16"/>
    </row>
    <row r="7760" spans="30:30" x14ac:dyDescent="0.3">
      <c r="AD7760" s="16"/>
    </row>
    <row r="7761" spans="30:30" x14ac:dyDescent="0.3">
      <c r="AD7761" s="16"/>
    </row>
    <row r="7762" spans="30:30" x14ac:dyDescent="0.3">
      <c r="AD7762" s="16"/>
    </row>
    <row r="7763" spans="30:30" x14ac:dyDescent="0.3">
      <c r="AD7763" s="16"/>
    </row>
    <row r="7764" spans="30:30" x14ac:dyDescent="0.3">
      <c r="AD7764" s="16"/>
    </row>
    <row r="7765" spans="30:30" x14ac:dyDescent="0.3">
      <c r="AD7765" s="16"/>
    </row>
    <row r="7766" spans="30:30" x14ac:dyDescent="0.3">
      <c r="AD7766" s="16"/>
    </row>
    <row r="7767" spans="30:30" x14ac:dyDescent="0.3">
      <c r="AD7767" s="16"/>
    </row>
    <row r="7768" spans="30:30" x14ac:dyDescent="0.3">
      <c r="AD7768" s="16"/>
    </row>
    <row r="7769" spans="30:30" x14ac:dyDescent="0.3">
      <c r="AD7769" s="16"/>
    </row>
    <row r="7770" spans="30:30" x14ac:dyDescent="0.3">
      <c r="AD7770" s="16"/>
    </row>
    <row r="7771" spans="30:30" x14ac:dyDescent="0.3">
      <c r="AD7771" s="16"/>
    </row>
    <row r="7772" spans="30:30" x14ac:dyDescent="0.3">
      <c r="AD7772" s="16"/>
    </row>
    <row r="7773" spans="30:30" x14ac:dyDescent="0.3">
      <c r="AD7773" s="16"/>
    </row>
    <row r="7774" spans="30:30" x14ac:dyDescent="0.3">
      <c r="AD7774" s="16"/>
    </row>
    <row r="7775" spans="30:30" x14ac:dyDescent="0.3">
      <c r="AD7775" s="16"/>
    </row>
    <row r="7776" spans="30:30" x14ac:dyDescent="0.3">
      <c r="AD7776" s="16"/>
    </row>
    <row r="7777" spans="30:30" x14ac:dyDescent="0.3">
      <c r="AD7777" s="16"/>
    </row>
    <row r="7778" spans="30:30" x14ac:dyDescent="0.3">
      <c r="AD7778" s="16"/>
    </row>
    <row r="7779" spans="30:30" x14ac:dyDescent="0.3">
      <c r="AD7779" s="16"/>
    </row>
    <row r="7780" spans="30:30" x14ac:dyDescent="0.3">
      <c r="AD7780" s="16"/>
    </row>
    <row r="7781" spans="30:30" x14ac:dyDescent="0.3">
      <c r="AD7781" s="16"/>
    </row>
    <row r="7782" spans="30:30" x14ac:dyDescent="0.3">
      <c r="AD7782" s="16"/>
    </row>
    <row r="7783" spans="30:30" x14ac:dyDescent="0.3">
      <c r="AD7783" s="16"/>
    </row>
    <row r="7784" spans="30:30" x14ac:dyDescent="0.3">
      <c r="AD7784" s="16"/>
    </row>
    <row r="7785" spans="30:30" x14ac:dyDescent="0.3">
      <c r="AD7785" s="16"/>
    </row>
    <row r="7786" spans="30:30" x14ac:dyDescent="0.3">
      <c r="AD7786" s="16"/>
    </row>
    <row r="7787" spans="30:30" x14ac:dyDescent="0.3">
      <c r="AD7787" s="16"/>
    </row>
    <row r="7788" spans="30:30" x14ac:dyDescent="0.3">
      <c r="AD7788" s="16"/>
    </row>
    <row r="7789" spans="30:30" x14ac:dyDescent="0.3">
      <c r="AD7789" s="16"/>
    </row>
    <row r="7790" spans="30:30" x14ac:dyDescent="0.3">
      <c r="AD7790" s="16"/>
    </row>
    <row r="7791" spans="30:30" x14ac:dyDescent="0.3">
      <c r="AD7791" s="16"/>
    </row>
    <row r="7792" spans="30:30" x14ac:dyDescent="0.3">
      <c r="AD7792" s="16"/>
    </row>
    <row r="7793" spans="30:30" x14ac:dyDescent="0.3">
      <c r="AD7793" s="16"/>
    </row>
    <row r="7794" spans="30:30" x14ac:dyDescent="0.3">
      <c r="AD7794" s="16"/>
    </row>
    <row r="7795" spans="30:30" x14ac:dyDescent="0.3">
      <c r="AD7795" s="16"/>
    </row>
    <row r="7796" spans="30:30" x14ac:dyDescent="0.3">
      <c r="AD7796" s="16"/>
    </row>
    <row r="7797" spans="30:30" x14ac:dyDescent="0.3">
      <c r="AD7797" s="16"/>
    </row>
    <row r="7798" spans="30:30" x14ac:dyDescent="0.3">
      <c r="AD7798" s="16"/>
    </row>
    <row r="7799" spans="30:30" x14ac:dyDescent="0.3">
      <c r="AD7799" s="16"/>
    </row>
    <row r="7800" spans="30:30" x14ac:dyDescent="0.3">
      <c r="AD7800" s="16"/>
    </row>
    <row r="7801" spans="30:30" x14ac:dyDescent="0.3">
      <c r="AD7801" s="16"/>
    </row>
    <row r="7802" spans="30:30" x14ac:dyDescent="0.3">
      <c r="AD7802" s="16"/>
    </row>
    <row r="7803" spans="30:30" x14ac:dyDescent="0.3">
      <c r="AD7803" s="16"/>
    </row>
    <row r="7804" spans="30:30" x14ac:dyDescent="0.3">
      <c r="AD7804" s="16"/>
    </row>
    <row r="7805" spans="30:30" x14ac:dyDescent="0.3">
      <c r="AD7805" s="16"/>
    </row>
    <row r="7806" spans="30:30" x14ac:dyDescent="0.3">
      <c r="AD7806" s="16"/>
    </row>
    <row r="7807" spans="30:30" x14ac:dyDescent="0.3">
      <c r="AD7807" s="16"/>
    </row>
    <row r="7808" spans="30:30" x14ac:dyDescent="0.3">
      <c r="AD7808" s="16"/>
    </row>
    <row r="7809" spans="30:30" x14ac:dyDescent="0.3">
      <c r="AD7809" s="16"/>
    </row>
    <row r="7810" spans="30:30" x14ac:dyDescent="0.3">
      <c r="AD7810" s="16"/>
    </row>
    <row r="7811" spans="30:30" x14ac:dyDescent="0.3">
      <c r="AD7811" s="16"/>
    </row>
    <row r="7812" spans="30:30" x14ac:dyDescent="0.3">
      <c r="AD7812" s="16"/>
    </row>
    <row r="7813" spans="30:30" x14ac:dyDescent="0.3">
      <c r="AD7813" s="16"/>
    </row>
    <row r="7814" spans="30:30" x14ac:dyDescent="0.3">
      <c r="AD7814" s="16"/>
    </row>
    <row r="7815" spans="30:30" x14ac:dyDescent="0.3">
      <c r="AD7815" s="16"/>
    </row>
    <row r="7816" spans="30:30" x14ac:dyDescent="0.3">
      <c r="AD7816" s="16"/>
    </row>
    <row r="7817" spans="30:30" x14ac:dyDescent="0.3">
      <c r="AD7817" s="16"/>
    </row>
    <row r="7818" spans="30:30" x14ac:dyDescent="0.3">
      <c r="AD7818" s="16"/>
    </row>
    <row r="7819" spans="30:30" x14ac:dyDescent="0.3">
      <c r="AD7819" s="16"/>
    </row>
    <row r="7820" spans="30:30" x14ac:dyDescent="0.3">
      <c r="AD7820" s="16"/>
    </row>
    <row r="7821" spans="30:30" x14ac:dyDescent="0.3">
      <c r="AD7821" s="16"/>
    </row>
    <row r="7822" spans="30:30" x14ac:dyDescent="0.3">
      <c r="AD7822" s="16"/>
    </row>
    <row r="7823" spans="30:30" x14ac:dyDescent="0.3">
      <c r="AD7823" s="16"/>
    </row>
    <row r="7824" spans="30:30" x14ac:dyDescent="0.3">
      <c r="AD7824" s="16"/>
    </row>
    <row r="7825" spans="30:30" x14ac:dyDescent="0.3">
      <c r="AD7825" s="16"/>
    </row>
    <row r="7826" spans="30:30" x14ac:dyDescent="0.3">
      <c r="AD7826" s="16"/>
    </row>
    <row r="7827" spans="30:30" x14ac:dyDescent="0.3">
      <c r="AD7827" s="16"/>
    </row>
    <row r="7828" spans="30:30" x14ac:dyDescent="0.3">
      <c r="AD7828" s="16"/>
    </row>
    <row r="7829" spans="30:30" x14ac:dyDescent="0.3">
      <c r="AD7829" s="16"/>
    </row>
    <row r="7830" spans="30:30" x14ac:dyDescent="0.3">
      <c r="AD7830" s="16"/>
    </row>
    <row r="7831" spans="30:30" x14ac:dyDescent="0.3">
      <c r="AD7831" s="16"/>
    </row>
    <row r="7832" spans="30:30" x14ac:dyDescent="0.3">
      <c r="AD7832" s="16"/>
    </row>
    <row r="7833" spans="30:30" x14ac:dyDescent="0.3">
      <c r="AD7833" s="16"/>
    </row>
    <row r="7834" spans="30:30" x14ac:dyDescent="0.3">
      <c r="AD7834" s="16"/>
    </row>
    <row r="7835" spans="30:30" x14ac:dyDescent="0.3">
      <c r="AD7835" s="16"/>
    </row>
    <row r="7836" spans="30:30" x14ac:dyDescent="0.3">
      <c r="AD7836" s="16"/>
    </row>
    <row r="7837" spans="30:30" x14ac:dyDescent="0.3">
      <c r="AD7837" s="16"/>
    </row>
    <row r="7838" spans="30:30" x14ac:dyDescent="0.3">
      <c r="AD7838" s="16"/>
    </row>
    <row r="7839" spans="30:30" x14ac:dyDescent="0.3">
      <c r="AD7839" s="16"/>
    </row>
    <row r="7840" spans="30:30" x14ac:dyDescent="0.3">
      <c r="AD7840" s="16"/>
    </row>
    <row r="7841" spans="30:30" x14ac:dyDescent="0.3">
      <c r="AD7841" s="16"/>
    </row>
    <row r="7842" spans="30:30" x14ac:dyDescent="0.3">
      <c r="AD7842" s="16"/>
    </row>
    <row r="7843" spans="30:30" x14ac:dyDescent="0.3">
      <c r="AD7843" s="16"/>
    </row>
    <row r="7844" spans="30:30" x14ac:dyDescent="0.3">
      <c r="AD7844" s="16"/>
    </row>
    <row r="7845" spans="30:30" x14ac:dyDescent="0.3">
      <c r="AD7845" s="16"/>
    </row>
    <row r="7846" spans="30:30" x14ac:dyDescent="0.3">
      <c r="AD7846" s="16"/>
    </row>
    <row r="7847" spans="30:30" x14ac:dyDescent="0.3">
      <c r="AD7847" s="16"/>
    </row>
    <row r="7848" spans="30:30" x14ac:dyDescent="0.3">
      <c r="AD7848" s="16"/>
    </row>
    <row r="7849" spans="30:30" x14ac:dyDescent="0.3">
      <c r="AD7849" s="16"/>
    </row>
    <row r="7850" spans="30:30" x14ac:dyDescent="0.3">
      <c r="AD7850" s="16"/>
    </row>
    <row r="7851" spans="30:30" x14ac:dyDescent="0.3">
      <c r="AD7851" s="16"/>
    </row>
    <row r="7852" spans="30:30" x14ac:dyDescent="0.3">
      <c r="AD7852" s="16"/>
    </row>
    <row r="7853" spans="30:30" x14ac:dyDescent="0.3">
      <c r="AD7853" s="16"/>
    </row>
    <row r="7854" spans="30:30" x14ac:dyDescent="0.3">
      <c r="AD7854" s="16"/>
    </row>
    <row r="7855" spans="30:30" x14ac:dyDescent="0.3">
      <c r="AD7855" s="16"/>
    </row>
    <row r="7856" spans="30:30" x14ac:dyDescent="0.3">
      <c r="AD7856" s="16"/>
    </row>
    <row r="7857" spans="30:30" x14ac:dyDescent="0.3">
      <c r="AD7857" s="16"/>
    </row>
    <row r="7858" spans="30:30" x14ac:dyDescent="0.3">
      <c r="AD7858" s="16"/>
    </row>
    <row r="7859" spans="30:30" x14ac:dyDescent="0.3">
      <c r="AD7859" s="16"/>
    </row>
    <row r="7860" spans="30:30" x14ac:dyDescent="0.3">
      <c r="AD7860" s="16"/>
    </row>
    <row r="7861" spans="30:30" x14ac:dyDescent="0.3">
      <c r="AD7861" s="16"/>
    </row>
    <row r="7862" spans="30:30" x14ac:dyDescent="0.3">
      <c r="AD7862" s="16"/>
    </row>
    <row r="7863" spans="30:30" x14ac:dyDescent="0.3">
      <c r="AD7863" s="16"/>
    </row>
    <row r="7864" spans="30:30" x14ac:dyDescent="0.3">
      <c r="AD7864" s="16"/>
    </row>
    <row r="7865" spans="30:30" x14ac:dyDescent="0.3">
      <c r="AD7865" s="16"/>
    </row>
    <row r="7866" spans="30:30" x14ac:dyDescent="0.3">
      <c r="AD7866" s="16"/>
    </row>
    <row r="7867" spans="30:30" x14ac:dyDescent="0.3">
      <c r="AD7867" s="16"/>
    </row>
    <row r="7868" spans="30:30" x14ac:dyDescent="0.3">
      <c r="AD7868" s="16"/>
    </row>
    <row r="7869" spans="30:30" x14ac:dyDescent="0.3">
      <c r="AD7869" s="16"/>
    </row>
    <row r="7870" spans="30:30" x14ac:dyDescent="0.3">
      <c r="AD7870" s="16"/>
    </row>
    <row r="7871" spans="30:30" x14ac:dyDescent="0.3">
      <c r="AD7871" s="16"/>
    </row>
    <row r="7872" spans="30:30" x14ac:dyDescent="0.3">
      <c r="AD7872" s="16"/>
    </row>
    <row r="7873" spans="30:30" x14ac:dyDescent="0.3">
      <c r="AD7873" s="16"/>
    </row>
    <row r="7874" spans="30:30" x14ac:dyDescent="0.3">
      <c r="AD7874" s="16"/>
    </row>
    <row r="7875" spans="30:30" x14ac:dyDescent="0.3">
      <c r="AD7875" s="16"/>
    </row>
    <row r="7876" spans="30:30" x14ac:dyDescent="0.3">
      <c r="AD7876" s="16"/>
    </row>
    <row r="7877" spans="30:30" x14ac:dyDescent="0.3">
      <c r="AD7877" s="16"/>
    </row>
    <row r="7878" spans="30:30" x14ac:dyDescent="0.3">
      <c r="AD7878" s="16"/>
    </row>
    <row r="7879" spans="30:30" x14ac:dyDescent="0.3">
      <c r="AD7879" s="16"/>
    </row>
    <row r="7880" spans="30:30" x14ac:dyDescent="0.3">
      <c r="AD7880" s="16"/>
    </row>
    <row r="7881" spans="30:30" x14ac:dyDescent="0.3">
      <c r="AD7881" s="16"/>
    </row>
    <row r="7882" spans="30:30" x14ac:dyDescent="0.3">
      <c r="AD7882" s="16"/>
    </row>
    <row r="7883" spans="30:30" x14ac:dyDescent="0.3">
      <c r="AD7883" s="16"/>
    </row>
    <row r="7884" spans="30:30" x14ac:dyDescent="0.3">
      <c r="AD7884" s="16"/>
    </row>
    <row r="7885" spans="30:30" x14ac:dyDescent="0.3">
      <c r="AD7885" s="16"/>
    </row>
    <row r="7886" spans="30:30" x14ac:dyDescent="0.3">
      <c r="AD7886" s="16"/>
    </row>
    <row r="7887" spans="30:30" x14ac:dyDescent="0.3">
      <c r="AD7887" s="16"/>
    </row>
    <row r="7888" spans="30:30" x14ac:dyDescent="0.3">
      <c r="AD7888" s="16"/>
    </row>
    <row r="7889" spans="30:30" x14ac:dyDescent="0.3">
      <c r="AD7889" s="16"/>
    </row>
    <row r="7890" spans="30:30" x14ac:dyDescent="0.3">
      <c r="AD7890" s="16"/>
    </row>
    <row r="7891" spans="30:30" x14ac:dyDescent="0.3">
      <c r="AD7891" s="16"/>
    </row>
    <row r="7892" spans="30:30" x14ac:dyDescent="0.3">
      <c r="AD7892" s="16"/>
    </row>
    <row r="7893" spans="30:30" x14ac:dyDescent="0.3">
      <c r="AD7893" s="16"/>
    </row>
    <row r="7894" spans="30:30" x14ac:dyDescent="0.3">
      <c r="AD7894" s="16"/>
    </row>
    <row r="7895" spans="30:30" x14ac:dyDescent="0.3">
      <c r="AD7895" s="16"/>
    </row>
    <row r="7896" spans="30:30" x14ac:dyDescent="0.3">
      <c r="AD7896" s="16"/>
    </row>
    <row r="7897" spans="30:30" x14ac:dyDescent="0.3">
      <c r="AD7897" s="16"/>
    </row>
    <row r="7898" spans="30:30" x14ac:dyDescent="0.3">
      <c r="AD7898" s="16"/>
    </row>
    <row r="7899" spans="30:30" x14ac:dyDescent="0.3">
      <c r="AD7899" s="16"/>
    </row>
    <row r="7900" spans="30:30" x14ac:dyDescent="0.3">
      <c r="AD7900" s="16"/>
    </row>
    <row r="7901" spans="30:30" x14ac:dyDescent="0.3">
      <c r="AD7901" s="16"/>
    </row>
    <row r="7902" spans="30:30" x14ac:dyDescent="0.3">
      <c r="AD7902" s="16"/>
    </row>
    <row r="7903" spans="30:30" x14ac:dyDescent="0.3">
      <c r="AD7903" s="16"/>
    </row>
    <row r="7904" spans="30:30" x14ac:dyDescent="0.3">
      <c r="AD7904" s="16"/>
    </row>
    <row r="7905" spans="30:30" x14ac:dyDescent="0.3">
      <c r="AD7905" s="16"/>
    </row>
    <row r="7906" spans="30:30" x14ac:dyDescent="0.3">
      <c r="AD7906" s="16"/>
    </row>
    <row r="7907" spans="30:30" x14ac:dyDescent="0.3">
      <c r="AD7907" s="16"/>
    </row>
    <row r="7908" spans="30:30" x14ac:dyDescent="0.3">
      <c r="AD7908" s="16"/>
    </row>
    <row r="7909" spans="30:30" x14ac:dyDescent="0.3">
      <c r="AD7909" s="16"/>
    </row>
    <row r="7910" spans="30:30" x14ac:dyDescent="0.3">
      <c r="AD7910" s="16"/>
    </row>
    <row r="7911" spans="30:30" x14ac:dyDescent="0.3">
      <c r="AD7911" s="16"/>
    </row>
    <row r="7912" spans="30:30" x14ac:dyDescent="0.3">
      <c r="AD7912" s="16"/>
    </row>
    <row r="7913" spans="30:30" x14ac:dyDescent="0.3">
      <c r="AD7913" s="16"/>
    </row>
    <row r="7914" spans="30:30" x14ac:dyDescent="0.3">
      <c r="AD7914" s="16"/>
    </row>
    <row r="7915" spans="30:30" x14ac:dyDescent="0.3">
      <c r="AD7915" s="16"/>
    </row>
    <row r="7916" spans="30:30" x14ac:dyDescent="0.3">
      <c r="AD7916" s="16"/>
    </row>
    <row r="7917" spans="30:30" x14ac:dyDescent="0.3">
      <c r="AD7917" s="16"/>
    </row>
    <row r="7918" spans="30:30" x14ac:dyDescent="0.3">
      <c r="AD7918" s="16"/>
    </row>
    <row r="7919" spans="30:30" x14ac:dyDescent="0.3">
      <c r="AD7919" s="16"/>
    </row>
    <row r="7920" spans="30:30" x14ac:dyDescent="0.3">
      <c r="AD7920" s="16"/>
    </row>
    <row r="7921" spans="30:30" x14ac:dyDescent="0.3">
      <c r="AD7921" s="16"/>
    </row>
    <row r="7922" spans="30:30" x14ac:dyDescent="0.3">
      <c r="AD7922" s="16"/>
    </row>
    <row r="7923" spans="30:30" x14ac:dyDescent="0.3">
      <c r="AD7923" s="16"/>
    </row>
    <row r="7924" spans="30:30" x14ac:dyDescent="0.3">
      <c r="AD7924" s="16"/>
    </row>
    <row r="7925" spans="30:30" x14ac:dyDescent="0.3">
      <c r="AD7925" s="16"/>
    </row>
    <row r="7926" spans="30:30" x14ac:dyDescent="0.3">
      <c r="AD7926" s="16"/>
    </row>
    <row r="7927" spans="30:30" x14ac:dyDescent="0.3">
      <c r="AD7927" s="16"/>
    </row>
    <row r="7928" spans="30:30" x14ac:dyDescent="0.3">
      <c r="AD7928" s="16"/>
    </row>
    <row r="7929" spans="30:30" x14ac:dyDescent="0.3">
      <c r="AD7929" s="16"/>
    </row>
    <row r="7930" spans="30:30" x14ac:dyDescent="0.3">
      <c r="AD7930" s="16"/>
    </row>
    <row r="7931" spans="30:30" x14ac:dyDescent="0.3">
      <c r="AD7931" s="16"/>
    </row>
    <row r="7932" spans="30:30" x14ac:dyDescent="0.3">
      <c r="AD7932" s="16"/>
    </row>
    <row r="7933" spans="30:30" x14ac:dyDescent="0.3">
      <c r="AD7933" s="16"/>
    </row>
    <row r="7934" spans="30:30" x14ac:dyDescent="0.3">
      <c r="AD7934" s="16"/>
    </row>
    <row r="7935" spans="30:30" x14ac:dyDescent="0.3">
      <c r="AD7935" s="16"/>
    </row>
    <row r="7936" spans="30:30" x14ac:dyDescent="0.3">
      <c r="AD7936" s="16"/>
    </row>
    <row r="7937" spans="30:30" x14ac:dyDescent="0.3">
      <c r="AD7937" s="16"/>
    </row>
    <row r="7938" spans="30:30" x14ac:dyDescent="0.3">
      <c r="AD7938" s="16"/>
    </row>
    <row r="7939" spans="30:30" x14ac:dyDescent="0.3">
      <c r="AD7939" s="16"/>
    </row>
    <row r="7940" spans="30:30" x14ac:dyDescent="0.3">
      <c r="AD7940" s="16"/>
    </row>
    <row r="7941" spans="30:30" x14ac:dyDescent="0.3">
      <c r="AD7941" s="16"/>
    </row>
    <row r="7942" spans="30:30" x14ac:dyDescent="0.3">
      <c r="AD7942" s="16"/>
    </row>
    <row r="7943" spans="30:30" x14ac:dyDescent="0.3">
      <c r="AD7943" s="16"/>
    </row>
    <row r="7944" spans="30:30" x14ac:dyDescent="0.3">
      <c r="AD7944" s="16"/>
    </row>
    <row r="7945" spans="30:30" x14ac:dyDescent="0.3">
      <c r="AD7945" s="16"/>
    </row>
    <row r="7946" spans="30:30" x14ac:dyDescent="0.3">
      <c r="AD7946" s="16"/>
    </row>
    <row r="7947" spans="30:30" x14ac:dyDescent="0.3">
      <c r="AD7947" s="16"/>
    </row>
    <row r="7948" spans="30:30" x14ac:dyDescent="0.3">
      <c r="AD7948" s="16"/>
    </row>
    <row r="7949" spans="30:30" x14ac:dyDescent="0.3">
      <c r="AD7949" s="16"/>
    </row>
    <row r="7950" spans="30:30" x14ac:dyDescent="0.3">
      <c r="AD7950" s="16"/>
    </row>
    <row r="7951" spans="30:30" x14ac:dyDescent="0.3">
      <c r="AD7951" s="16"/>
    </row>
    <row r="7952" spans="30:30" x14ac:dyDescent="0.3">
      <c r="AD7952" s="16"/>
    </row>
    <row r="7953" spans="30:30" x14ac:dyDescent="0.3">
      <c r="AD7953" s="16"/>
    </row>
    <row r="7954" spans="30:30" x14ac:dyDescent="0.3">
      <c r="AD7954" s="16"/>
    </row>
    <row r="7955" spans="30:30" x14ac:dyDescent="0.3">
      <c r="AD7955" s="16"/>
    </row>
    <row r="7956" spans="30:30" x14ac:dyDescent="0.3">
      <c r="AD7956" s="16"/>
    </row>
    <row r="7957" spans="30:30" x14ac:dyDescent="0.3">
      <c r="AD7957" s="16"/>
    </row>
    <row r="7958" spans="30:30" x14ac:dyDescent="0.3">
      <c r="AD7958" s="16"/>
    </row>
    <row r="7959" spans="30:30" x14ac:dyDescent="0.3">
      <c r="AD7959" s="16"/>
    </row>
    <row r="7960" spans="30:30" x14ac:dyDescent="0.3">
      <c r="AD7960" s="16"/>
    </row>
    <row r="7961" spans="30:30" x14ac:dyDescent="0.3">
      <c r="AD7961" s="16"/>
    </row>
    <row r="7962" spans="30:30" x14ac:dyDescent="0.3">
      <c r="AD7962" s="16"/>
    </row>
    <row r="7963" spans="30:30" x14ac:dyDescent="0.3">
      <c r="AD7963" s="16"/>
    </row>
    <row r="7964" spans="30:30" x14ac:dyDescent="0.3">
      <c r="AD7964" s="16"/>
    </row>
    <row r="7965" spans="30:30" x14ac:dyDescent="0.3">
      <c r="AD7965" s="16"/>
    </row>
    <row r="7966" spans="30:30" x14ac:dyDescent="0.3">
      <c r="AD7966" s="16"/>
    </row>
    <row r="7967" spans="30:30" x14ac:dyDescent="0.3">
      <c r="AD7967" s="16"/>
    </row>
    <row r="7968" spans="30:30" x14ac:dyDescent="0.3">
      <c r="AD7968" s="16"/>
    </row>
    <row r="7969" spans="30:30" x14ac:dyDescent="0.3">
      <c r="AD7969" s="16"/>
    </row>
    <row r="7970" spans="30:30" x14ac:dyDescent="0.3">
      <c r="AD7970" s="16"/>
    </row>
    <row r="7971" spans="30:30" x14ac:dyDescent="0.3">
      <c r="AD7971" s="16"/>
    </row>
    <row r="7972" spans="30:30" x14ac:dyDescent="0.3">
      <c r="AD7972" s="16"/>
    </row>
    <row r="7973" spans="30:30" x14ac:dyDescent="0.3">
      <c r="AD7973" s="16"/>
    </row>
    <row r="7974" spans="30:30" x14ac:dyDescent="0.3">
      <c r="AD7974" s="16"/>
    </row>
    <row r="7975" spans="30:30" x14ac:dyDescent="0.3">
      <c r="AD7975" s="16"/>
    </row>
    <row r="7976" spans="30:30" x14ac:dyDescent="0.3">
      <c r="AD7976" s="16"/>
    </row>
    <row r="7977" spans="30:30" x14ac:dyDescent="0.3">
      <c r="AD7977" s="16"/>
    </row>
    <row r="7978" spans="30:30" x14ac:dyDescent="0.3">
      <c r="AD7978" s="16"/>
    </row>
    <row r="7979" spans="30:30" x14ac:dyDescent="0.3">
      <c r="AD7979" s="16"/>
    </row>
    <row r="7980" spans="30:30" x14ac:dyDescent="0.3">
      <c r="AD7980" s="16"/>
    </row>
    <row r="7981" spans="30:30" x14ac:dyDescent="0.3">
      <c r="AD7981" s="16"/>
    </row>
    <row r="7982" spans="30:30" x14ac:dyDescent="0.3">
      <c r="AD7982" s="16"/>
    </row>
    <row r="7983" spans="30:30" x14ac:dyDescent="0.3">
      <c r="AD7983" s="16"/>
    </row>
    <row r="7984" spans="30:30" x14ac:dyDescent="0.3">
      <c r="AD7984" s="16"/>
    </row>
    <row r="7985" spans="30:30" x14ac:dyDescent="0.3">
      <c r="AD7985" s="16"/>
    </row>
    <row r="7986" spans="30:30" x14ac:dyDescent="0.3">
      <c r="AD7986" s="16"/>
    </row>
    <row r="7987" spans="30:30" x14ac:dyDescent="0.3">
      <c r="AD7987" s="16"/>
    </row>
    <row r="7988" spans="30:30" x14ac:dyDescent="0.3">
      <c r="AD7988" s="16"/>
    </row>
    <row r="7989" spans="30:30" x14ac:dyDescent="0.3">
      <c r="AD7989" s="16"/>
    </row>
    <row r="7990" spans="30:30" x14ac:dyDescent="0.3">
      <c r="AD7990" s="16"/>
    </row>
    <row r="7991" spans="30:30" x14ac:dyDescent="0.3">
      <c r="AD7991" s="16"/>
    </row>
    <row r="7992" spans="30:30" x14ac:dyDescent="0.3">
      <c r="AD7992" s="16"/>
    </row>
    <row r="7993" spans="30:30" x14ac:dyDescent="0.3">
      <c r="AD7993" s="16"/>
    </row>
    <row r="7994" spans="30:30" x14ac:dyDescent="0.3">
      <c r="AD7994" s="16"/>
    </row>
    <row r="7995" spans="30:30" x14ac:dyDescent="0.3">
      <c r="AD7995" s="16"/>
    </row>
    <row r="7996" spans="30:30" x14ac:dyDescent="0.3">
      <c r="AD7996" s="16"/>
    </row>
    <row r="7997" spans="30:30" x14ac:dyDescent="0.3">
      <c r="AD7997" s="16"/>
    </row>
    <row r="7998" spans="30:30" x14ac:dyDescent="0.3">
      <c r="AD7998" s="16"/>
    </row>
    <row r="7999" spans="30:30" x14ac:dyDescent="0.3">
      <c r="AD7999" s="16"/>
    </row>
    <row r="8000" spans="30:30" x14ac:dyDescent="0.3">
      <c r="AD8000" s="16"/>
    </row>
    <row r="8001" spans="30:30" x14ac:dyDescent="0.3">
      <c r="AD8001" s="16"/>
    </row>
    <row r="8002" spans="30:30" x14ac:dyDescent="0.3">
      <c r="AD8002" s="16"/>
    </row>
    <row r="8003" spans="30:30" x14ac:dyDescent="0.3">
      <c r="AD8003" s="16"/>
    </row>
    <row r="8004" spans="30:30" x14ac:dyDescent="0.3">
      <c r="AD8004" s="16"/>
    </row>
    <row r="8005" spans="30:30" x14ac:dyDescent="0.3">
      <c r="AD8005" s="16"/>
    </row>
    <row r="8006" spans="30:30" x14ac:dyDescent="0.3">
      <c r="AD8006" s="16"/>
    </row>
    <row r="8007" spans="30:30" x14ac:dyDescent="0.3">
      <c r="AD8007" s="16"/>
    </row>
    <row r="8008" spans="30:30" x14ac:dyDescent="0.3">
      <c r="AD8008" s="16"/>
    </row>
    <row r="8009" spans="30:30" x14ac:dyDescent="0.3">
      <c r="AD8009" s="16"/>
    </row>
    <row r="8010" spans="30:30" x14ac:dyDescent="0.3">
      <c r="AD8010" s="16"/>
    </row>
    <row r="8011" spans="30:30" x14ac:dyDescent="0.3">
      <c r="AD8011" s="16"/>
    </row>
    <row r="8012" spans="30:30" x14ac:dyDescent="0.3">
      <c r="AD8012" s="16"/>
    </row>
    <row r="8013" spans="30:30" x14ac:dyDescent="0.3">
      <c r="AD8013" s="16"/>
    </row>
    <row r="8014" spans="30:30" x14ac:dyDescent="0.3">
      <c r="AD8014" s="16"/>
    </row>
    <row r="8015" spans="30:30" x14ac:dyDescent="0.3">
      <c r="AD8015" s="16"/>
    </row>
    <row r="8016" spans="30:30" x14ac:dyDescent="0.3">
      <c r="AD8016" s="16"/>
    </row>
    <row r="8017" spans="30:30" x14ac:dyDescent="0.3">
      <c r="AD8017" s="16"/>
    </row>
    <row r="8018" spans="30:30" x14ac:dyDescent="0.3">
      <c r="AD8018" s="16"/>
    </row>
    <row r="8019" spans="30:30" x14ac:dyDescent="0.3">
      <c r="AD8019" s="16"/>
    </row>
    <row r="8020" spans="30:30" x14ac:dyDescent="0.3">
      <c r="AD8020" s="16"/>
    </row>
    <row r="8021" spans="30:30" x14ac:dyDescent="0.3">
      <c r="AD8021" s="16"/>
    </row>
    <row r="8022" spans="30:30" x14ac:dyDescent="0.3">
      <c r="AD8022" s="16"/>
    </row>
    <row r="8023" spans="30:30" x14ac:dyDescent="0.3">
      <c r="AD8023" s="16"/>
    </row>
    <row r="8024" spans="30:30" x14ac:dyDescent="0.3">
      <c r="AD8024" s="16"/>
    </row>
    <row r="8025" spans="30:30" x14ac:dyDescent="0.3">
      <c r="AD8025" s="16"/>
    </row>
    <row r="8026" spans="30:30" x14ac:dyDescent="0.3">
      <c r="AD8026" s="16"/>
    </row>
    <row r="8027" spans="30:30" x14ac:dyDescent="0.3">
      <c r="AD8027" s="16"/>
    </row>
    <row r="8028" spans="30:30" x14ac:dyDescent="0.3">
      <c r="AD8028" s="16"/>
    </row>
    <row r="8029" spans="30:30" x14ac:dyDescent="0.3">
      <c r="AD8029" s="16"/>
    </row>
    <row r="8030" spans="30:30" x14ac:dyDescent="0.3">
      <c r="AD8030" s="16"/>
    </row>
    <row r="8031" spans="30:30" x14ac:dyDescent="0.3">
      <c r="AD8031" s="16"/>
    </row>
    <row r="8032" spans="30:30" x14ac:dyDescent="0.3">
      <c r="AD8032" s="16"/>
    </row>
    <row r="8033" spans="30:30" x14ac:dyDescent="0.3">
      <c r="AD8033" s="16"/>
    </row>
    <row r="8034" spans="30:30" x14ac:dyDescent="0.3">
      <c r="AD8034" s="16"/>
    </row>
    <row r="8035" spans="30:30" x14ac:dyDescent="0.3">
      <c r="AD8035" s="16"/>
    </row>
    <row r="8036" spans="30:30" x14ac:dyDescent="0.3">
      <c r="AD8036" s="16"/>
    </row>
    <row r="8037" spans="30:30" x14ac:dyDescent="0.3">
      <c r="AD8037" s="16"/>
    </row>
    <row r="8038" spans="30:30" x14ac:dyDescent="0.3">
      <c r="AD8038" s="16"/>
    </row>
    <row r="8039" spans="30:30" x14ac:dyDescent="0.3">
      <c r="AD8039" s="16"/>
    </row>
    <row r="8040" spans="30:30" x14ac:dyDescent="0.3">
      <c r="AD8040" s="16"/>
    </row>
    <row r="8041" spans="30:30" x14ac:dyDescent="0.3">
      <c r="AD8041" s="16"/>
    </row>
    <row r="8042" spans="30:30" x14ac:dyDescent="0.3">
      <c r="AD8042" s="16"/>
    </row>
    <row r="8043" spans="30:30" x14ac:dyDescent="0.3">
      <c r="AD8043" s="16"/>
    </row>
    <row r="8044" spans="30:30" x14ac:dyDescent="0.3">
      <c r="AD8044" s="16"/>
    </row>
    <row r="8045" spans="30:30" x14ac:dyDescent="0.3">
      <c r="AD8045" s="16"/>
    </row>
    <row r="8046" spans="30:30" x14ac:dyDescent="0.3">
      <c r="AD8046" s="16"/>
    </row>
    <row r="8047" spans="30:30" x14ac:dyDescent="0.3">
      <c r="AD8047" s="16"/>
    </row>
    <row r="8048" spans="30:30" x14ac:dyDescent="0.3">
      <c r="AD8048" s="16"/>
    </row>
    <row r="8049" spans="30:30" x14ac:dyDescent="0.3">
      <c r="AD8049" s="16"/>
    </row>
    <row r="8050" spans="30:30" x14ac:dyDescent="0.3">
      <c r="AD8050" s="16"/>
    </row>
    <row r="8051" spans="30:30" x14ac:dyDescent="0.3">
      <c r="AD8051" s="16"/>
    </row>
    <row r="8052" spans="30:30" x14ac:dyDescent="0.3">
      <c r="AD8052" s="16"/>
    </row>
    <row r="8053" spans="30:30" x14ac:dyDescent="0.3">
      <c r="AD8053" s="16"/>
    </row>
    <row r="8054" spans="30:30" x14ac:dyDescent="0.3">
      <c r="AD8054" s="16"/>
    </row>
    <row r="8055" spans="30:30" x14ac:dyDescent="0.3">
      <c r="AD8055" s="16"/>
    </row>
    <row r="8056" spans="30:30" x14ac:dyDescent="0.3">
      <c r="AD8056" s="16"/>
    </row>
    <row r="8057" spans="30:30" x14ac:dyDescent="0.3">
      <c r="AD8057" s="16"/>
    </row>
    <row r="8058" spans="30:30" x14ac:dyDescent="0.3">
      <c r="AD8058" s="16"/>
    </row>
    <row r="8059" spans="30:30" x14ac:dyDescent="0.3">
      <c r="AD8059" s="16"/>
    </row>
    <row r="8060" spans="30:30" x14ac:dyDescent="0.3">
      <c r="AD8060" s="16"/>
    </row>
    <row r="8061" spans="30:30" x14ac:dyDescent="0.3">
      <c r="AD8061" s="16"/>
    </row>
    <row r="8062" spans="30:30" x14ac:dyDescent="0.3">
      <c r="AD8062" s="16"/>
    </row>
    <row r="8063" spans="30:30" x14ac:dyDescent="0.3">
      <c r="AD8063" s="16"/>
    </row>
    <row r="8064" spans="30:30" x14ac:dyDescent="0.3">
      <c r="AD8064" s="16"/>
    </row>
    <row r="8065" spans="30:30" x14ac:dyDescent="0.3">
      <c r="AD8065" s="16"/>
    </row>
    <row r="8066" spans="30:30" x14ac:dyDescent="0.3">
      <c r="AD8066" s="16"/>
    </row>
    <row r="8067" spans="30:30" x14ac:dyDescent="0.3">
      <c r="AD8067" s="16"/>
    </row>
    <row r="8068" spans="30:30" x14ac:dyDescent="0.3">
      <c r="AD8068" s="16"/>
    </row>
    <row r="8069" spans="30:30" x14ac:dyDescent="0.3">
      <c r="AD8069" s="16"/>
    </row>
    <row r="8070" spans="30:30" x14ac:dyDescent="0.3">
      <c r="AD8070" s="16"/>
    </row>
    <row r="8071" spans="30:30" x14ac:dyDescent="0.3">
      <c r="AD8071" s="16"/>
    </row>
    <row r="8072" spans="30:30" x14ac:dyDescent="0.3">
      <c r="AD8072" s="16"/>
    </row>
    <row r="8073" spans="30:30" x14ac:dyDescent="0.3">
      <c r="AD8073" s="16"/>
    </row>
    <row r="8074" spans="30:30" x14ac:dyDescent="0.3">
      <c r="AD8074" s="16"/>
    </row>
    <row r="8075" spans="30:30" x14ac:dyDescent="0.3">
      <c r="AD8075" s="16"/>
    </row>
    <row r="8076" spans="30:30" x14ac:dyDescent="0.3">
      <c r="AD8076" s="16"/>
    </row>
    <row r="8077" spans="30:30" x14ac:dyDescent="0.3">
      <c r="AD8077" s="16"/>
    </row>
    <row r="8078" spans="30:30" x14ac:dyDescent="0.3">
      <c r="AD8078" s="16"/>
    </row>
    <row r="8079" spans="30:30" x14ac:dyDescent="0.3">
      <c r="AD8079" s="16"/>
    </row>
    <row r="8080" spans="30:30" x14ac:dyDescent="0.3">
      <c r="AD8080" s="16"/>
    </row>
    <row r="8081" spans="30:30" x14ac:dyDescent="0.3">
      <c r="AD8081" s="16"/>
    </row>
    <row r="8082" spans="30:30" x14ac:dyDescent="0.3">
      <c r="AD8082" s="16"/>
    </row>
    <row r="8083" spans="30:30" x14ac:dyDescent="0.3">
      <c r="AD8083" s="16"/>
    </row>
    <row r="8084" spans="30:30" x14ac:dyDescent="0.3">
      <c r="AD8084" s="16"/>
    </row>
    <row r="8085" spans="30:30" x14ac:dyDescent="0.3">
      <c r="AD8085" s="16"/>
    </row>
    <row r="8086" spans="30:30" x14ac:dyDescent="0.3">
      <c r="AD8086" s="16"/>
    </row>
    <row r="8087" spans="30:30" x14ac:dyDescent="0.3">
      <c r="AD8087" s="16"/>
    </row>
    <row r="8088" spans="30:30" x14ac:dyDescent="0.3">
      <c r="AD8088" s="16"/>
    </row>
    <row r="8089" spans="30:30" x14ac:dyDescent="0.3">
      <c r="AD8089" s="16"/>
    </row>
    <row r="8090" spans="30:30" x14ac:dyDescent="0.3">
      <c r="AD8090" s="16"/>
    </row>
    <row r="8091" spans="30:30" x14ac:dyDescent="0.3">
      <c r="AD8091" s="16"/>
    </row>
    <row r="8092" spans="30:30" x14ac:dyDescent="0.3">
      <c r="AD8092" s="16"/>
    </row>
    <row r="8093" spans="30:30" x14ac:dyDescent="0.3">
      <c r="AD8093" s="16"/>
    </row>
    <row r="8094" spans="30:30" x14ac:dyDescent="0.3">
      <c r="AD8094" s="16"/>
    </row>
    <row r="8095" spans="30:30" x14ac:dyDescent="0.3">
      <c r="AD8095" s="16"/>
    </row>
    <row r="8096" spans="30:30" x14ac:dyDescent="0.3">
      <c r="AD8096" s="16"/>
    </row>
    <row r="8097" spans="30:30" x14ac:dyDescent="0.3">
      <c r="AD8097" s="16"/>
    </row>
    <row r="8098" spans="30:30" x14ac:dyDescent="0.3">
      <c r="AD8098" s="16"/>
    </row>
    <row r="8099" spans="30:30" x14ac:dyDescent="0.3">
      <c r="AD8099" s="16"/>
    </row>
    <row r="8100" spans="30:30" x14ac:dyDescent="0.3">
      <c r="AD8100" s="16"/>
    </row>
    <row r="8101" spans="30:30" x14ac:dyDescent="0.3">
      <c r="AD8101" s="16"/>
    </row>
    <row r="8102" spans="30:30" x14ac:dyDescent="0.3">
      <c r="AD8102" s="16"/>
    </row>
    <row r="8103" spans="30:30" x14ac:dyDescent="0.3">
      <c r="AD8103" s="16"/>
    </row>
    <row r="8104" spans="30:30" x14ac:dyDescent="0.3">
      <c r="AD8104" s="16"/>
    </row>
    <row r="8105" spans="30:30" x14ac:dyDescent="0.3">
      <c r="AD8105" s="16"/>
    </row>
    <row r="8106" spans="30:30" x14ac:dyDescent="0.3">
      <c r="AD8106" s="16"/>
    </row>
    <row r="8107" spans="30:30" x14ac:dyDescent="0.3">
      <c r="AD8107" s="16"/>
    </row>
    <row r="8108" spans="30:30" x14ac:dyDescent="0.3">
      <c r="AD8108" s="16"/>
    </row>
    <row r="8109" spans="30:30" x14ac:dyDescent="0.3">
      <c r="AD8109" s="16"/>
    </row>
    <row r="8110" spans="30:30" x14ac:dyDescent="0.3">
      <c r="AD8110" s="16"/>
    </row>
    <row r="8111" spans="30:30" x14ac:dyDescent="0.3">
      <c r="AD8111" s="16"/>
    </row>
    <row r="8112" spans="30:30" x14ac:dyDescent="0.3">
      <c r="AD8112" s="16"/>
    </row>
    <row r="8113" spans="30:30" x14ac:dyDescent="0.3">
      <c r="AD8113" s="16"/>
    </row>
    <row r="8114" spans="30:30" x14ac:dyDescent="0.3">
      <c r="AD8114" s="16"/>
    </row>
    <row r="8115" spans="30:30" x14ac:dyDescent="0.3">
      <c r="AD8115" s="16"/>
    </row>
    <row r="8116" spans="30:30" x14ac:dyDescent="0.3">
      <c r="AD8116" s="16"/>
    </row>
    <row r="8117" spans="30:30" x14ac:dyDescent="0.3">
      <c r="AD8117" s="16"/>
    </row>
    <row r="8118" spans="30:30" x14ac:dyDescent="0.3">
      <c r="AD8118" s="16"/>
    </row>
    <row r="8119" spans="30:30" x14ac:dyDescent="0.3">
      <c r="AD8119" s="16"/>
    </row>
    <row r="8120" spans="30:30" x14ac:dyDescent="0.3">
      <c r="AD8120" s="16"/>
    </row>
    <row r="8121" spans="30:30" x14ac:dyDescent="0.3">
      <c r="AD8121" s="16"/>
    </row>
    <row r="8122" spans="30:30" x14ac:dyDescent="0.3">
      <c r="AD8122" s="16"/>
    </row>
    <row r="8123" spans="30:30" x14ac:dyDescent="0.3">
      <c r="AD8123" s="16"/>
    </row>
    <row r="8124" spans="30:30" x14ac:dyDescent="0.3">
      <c r="AD8124" s="16"/>
    </row>
    <row r="8125" spans="30:30" x14ac:dyDescent="0.3">
      <c r="AD8125" s="16"/>
    </row>
    <row r="8126" spans="30:30" x14ac:dyDescent="0.3">
      <c r="AD8126" s="16"/>
    </row>
    <row r="8127" spans="30:30" x14ac:dyDescent="0.3">
      <c r="AD8127" s="16"/>
    </row>
    <row r="8128" spans="30:30" x14ac:dyDescent="0.3">
      <c r="AD8128" s="16"/>
    </row>
    <row r="8129" spans="30:30" x14ac:dyDescent="0.3">
      <c r="AD8129" s="16"/>
    </row>
    <row r="8130" spans="30:30" x14ac:dyDescent="0.3">
      <c r="AD8130" s="16"/>
    </row>
    <row r="8131" spans="30:30" x14ac:dyDescent="0.3">
      <c r="AD8131" s="16"/>
    </row>
    <row r="8132" spans="30:30" x14ac:dyDescent="0.3">
      <c r="AD8132" s="16"/>
    </row>
    <row r="8133" spans="30:30" x14ac:dyDescent="0.3">
      <c r="AD8133" s="16"/>
    </row>
    <row r="8134" spans="30:30" x14ac:dyDescent="0.3">
      <c r="AD8134" s="16"/>
    </row>
    <row r="8135" spans="30:30" x14ac:dyDescent="0.3">
      <c r="AD8135" s="16"/>
    </row>
    <row r="8136" spans="30:30" x14ac:dyDescent="0.3">
      <c r="AD8136" s="16"/>
    </row>
    <row r="8137" spans="30:30" x14ac:dyDescent="0.3">
      <c r="AD8137" s="16"/>
    </row>
    <row r="8138" spans="30:30" x14ac:dyDescent="0.3">
      <c r="AD8138" s="16"/>
    </row>
    <row r="8139" spans="30:30" x14ac:dyDescent="0.3">
      <c r="AD8139" s="16"/>
    </row>
    <row r="8140" spans="30:30" x14ac:dyDescent="0.3">
      <c r="AD8140" s="16"/>
    </row>
    <row r="8141" spans="30:30" x14ac:dyDescent="0.3">
      <c r="AD8141" s="16"/>
    </row>
    <row r="8142" spans="30:30" x14ac:dyDescent="0.3">
      <c r="AD8142" s="16"/>
    </row>
    <row r="8143" spans="30:30" x14ac:dyDescent="0.3">
      <c r="AD8143" s="16"/>
    </row>
    <row r="8144" spans="30:30" x14ac:dyDescent="0.3">
      <c r="AD8144" s="16"/>
    </row>
    <row r="8145" spans="30:30" x14ac:dyDescent="0.3">
      <c r="AD8145" s="16"/>
    </row>
    <row r="8146" spans="30:30" x14ac:dyDescent="0.3">
      <c r="AD8146" s="16"/>
    </row>
    <row r="8147" spans="30:30" x14ac:dyDescent="0.3">
      <c r="AD8147" s="16"/>
    </row>
    <row r="8148" spans="30:30" x14ac:dyDescent="0.3">
      <c r="AD8148" s="16"/>
    </row>
    <row r="8149" spans="30:30" x14ac:dyDescent="0.3">
      <c r="AD8149" s="16"/>
    </row>
    <row r="8150" spans="30:30" x14ac:dyDescent="0.3">
      <c r="AD8150" s="16"/>
    </row>
    <row r="8151" spans="30:30" x14ac:dyDescent="0.3">
      <c r="AD8151" s="16"/>
    </row>
    <row r="8152" spans="30:30" x14ac:dyDescent="0.3">
      <c r="AD8152" s="16"/>
    </row>
    <row r="8153" spans="30:30" x14ac:dyDescent="0.3">
      <c r="AD8153" s="16"/>
    </row>
    <row r="8154" spans="30:30" x14ac:dyDescent="0.3">
      <c r="AD8154" s="16"/>
    </row>
    <row r="8155" spans="30:30" x14ac:dyDescent="0.3">
      <c r="AD8155" s="16"/>
    </row>
    <row r="8156" spans="30:30" x14ac:dyDescent="0.3">
      <c r="AD8156" s="16"/>
    </row>
    <row r="8157" spans="30:30" x14ac:dyDescent="0.3">
      <c r="AD8157" s="16"/>
    </row>
    <row r="8158" spans="30:30" x14ac:dyDescent="0.3">
      <c r="AD8158" s="16"/>
    </row>
    <row r="8159" spans="30:30" x14ac:dyDescent="0.3">
      <c r="AD8159" s="16"/>
    </row>
    <row r="8160" spans="30:30" x14ac:dyDescent="0.3">
      <c r="AD8160" s="16"/>
    </row>
    <row r="8161" spans="30:30" x14ac:dyDescent="0.3">
      <c r="AD8161" s="16"/>
    </row>
    <row r="8162" spans="30:30" x14ac:dyDescent="0.3">
      <c r="AD8162" s="16"/>
    </row>
    <row r="8163" spans="30:30" x14ac:dyDescent="0.3">
      <c r="AD8163" s="16"/>
    </row>
    <row r="8164" spans="30:30" x14ac:dyDescent="0.3">
      <c r="AD8164" s="16"/>
    </row>
    <row r="8165" spans="30:30" x14ac:dyDescent="0.3">
      <c r="AD8165" s="16"/>
    </row>
    <row r="8166" spans="30:30" x14ac:dyDescent="0.3">
      <c r="AD8166" s="16"/>
    </row>
    <row r="8167" spans="30:30" x14ac:dyDescent="0.3">
      <c r="AD8167" s="16"/>
    </row>
    <row r="8168" spans="30:30" x14ac:dyDescent="0.3">
      <c r="AD8168" s="16"/>
    </row>
    <row r="8169" spans="30:30" x14ac:dyDescent="0.3">
      <c r="AD8169" s="16"/>
    </row>
    <row r="8170" spans="30:30" x14ac:dyDescent="0.3">
      <c r="AD8170" s="16"/>
    </row>
    <row r="8171" spans="30:30" x14ac:dyDescent="0.3">
      <c r="AD8171" s="16"/>
    </row>
    <row r="8172" spans="30:30" x14ac:dyDescent="0.3">
      <c r="AD8172" s="16"/>
    </row>
    <row r="8173" spans="30:30" x14ac:dyDescent="0.3">
      <c r="AD8173" s="16"/>
    </row>
    <row r="8174" spans="30:30" x14ac:dyDescent="0.3">
      <c r="AD8174" s="16"/>
    </row>
    <row r="8175" spans="30:30" x14ac:dyDescent="0.3">
      <c r="AD8175" s="16"/>
    </row>
    <row r="8176" spans="30:30" x14ac:dyDescent="0.3">
      <c r="AD8176" s="16"/>
    </row>
    <row r="8177" spans="30:30" x14ac:dyDescent="0.3">
      <c r="AD8177" s="16"/>
    </row>
    <row r="8178" spans="30:30" x14ac:dyDescent="0.3">
      <c r="AD8178" s="16"/>
    </row>
    <row r="8179" spans="30:30" x14ac:dyDescent="0.3">
      <c r="AD8179" s="16"/>
    </row>
    <row r="8180" spans="30:30" x14ac:dyDescent="0.3">
      <c r="AD8180" s="16"/>
    </row>
    <row r="8181" spans="30:30" x14ac:dyDescent="0.3">
      <c r="AD8181" s="16"/>
    </row>
    <row r="8182" spans="30:30" x14ac:dyDescent="0.3">
      <c r="AD8182" s="16"/>
    </row>
    <row r="8183" spans="30:30" x14ac:dyDescent="0.3">
      <c r="AD8183" s="16"/>
    </row>
    <row r="8184" spans="30:30" x14ac:dyDescent="0.3">
      <c r="AD8184" s="16"/>
    </row>
    <row r="8185" spans="30:30" x14ac:dyDescent="0.3">
      <c r="AD8185" s="16"/>
    </row>
    <row r="8186" spans="30:30" x14ac:dyDescent="0.3">
      <c r="AD8186" s="16"/>
    </row>
    <row r="8187" spans="30:30" x14ac:dyDescent="0.3">
      <c r="AD8187" s="16"/>
    </row>
    <row r="8188" spans="30:30" x14ac:dyDescent="0.3">
      <c r="AD8188" s="16"/>
    </row>
    <row r="8189" spans="30:30" x14ac:dyDescent="0.3">
      <c r="AD8189" s="16"/>
    </row>
    <row r="8190" spans="30:30" x14ac:dyDescent="0.3">
      <c r="AD8190" s="16"/>
    </row>
    <row r="8191" spans="30:30" x14ac:dyDescent="0.3">
      <c r="AD8191" s="16"/>
    </row>
    <row r="8192" spans="30:30" x14ac:dyDescent="0.3">
      <c r="AD8192" s="16"/>
    </row>
    <row r="8193" spans="30:30" x14ac:dyDescent="0.3">
      <c r="AD8193" s="16"/>
    </row>
    <row r="8194" spans="30:30" x14ac:dyDescent="0.3">
      <c r="AD8194" s="16"/>
    </row>
    <row r="8195" spans="30:30" x14ac:dyDescent="0.3">
      <c r="AD8195" s="16"/>
    </row>
    <row r="8196" spans="30:30" x14ac:dyDescent="0.3">
      <c r="AD8196" s="16"/>
    </row>
    <row r="8197" spans="30:30" x14ac:dyDescent="0.3">
      <c r="AD8197" s="16"/>
    </row>
    <row r="8198" spans="30:30" x14ac:dyDescent="0.3">
      <c r="AD8198" s="16"/>
    </row>
    <row r="8199" spans="30:30" x14ac:dyDescent="0.3">
      <c r="AD8199" s="16"/>
    </row>
    <row r="8200" spans="30:30" x14ac:dyDescent="0.3">
      <c r="AD8200" s="16"/>
    </row>
    <row r="8201" spans="30:30" x14ac:dyDescent="0.3">
      <c r="AD8201" s="16"/>
    </row>
    <row r="8202" spans="30:30" x14ac:dyDescent="0.3">
      <c r="AD8202" s="16"/>
    </row>
    <row r="8203" spans="30:30" x14ac:dyDescent="0.3">
      <c r="AD8203" s="16"/>
    </row>
    <row r="8204" spans="30:30" x14ac:dyDescent="0.3">
      <c r="AD8204" s="16"/>
    </row>
    <row r="8205" spans="30:30" x14ac:dyDescent="0.3">
      <c r="AD8205" s="16"/>
    </row>
    <row r="8206" spans="30:30" x14ac:dyDescent="0.3">
      <c r="AD8206" s="16"/>
    </row>
    <row r="8207" spans="30:30" x14ac:dyDescent="0.3">
      <c r="AD8207" s="16"/>
    </row>
    <row r="8208" spans="30:30" x14ac:dyDescent="0.3">
      <c r="AD8208" s="16"/>
    </row>
    <row r="8209" spans="30:30" x14ac:dyDescent="0.3">
      <c r="AD8209" s="16"/>
    </row>
    <row r="8210" spans="30:30" x14ac:dyDescent="0.3">
      <c r="AD8210" s="16"/>
    </row>
    <row r="8211" spans="30:30" x14ac:dyDescent="0.3">
      <c r="AD8211" s="16"/>
    </row>
    <row r="8212" spans="30:30" x14ac:dyDescent="0.3">
      <c r="AD8212" s="16"/>
    </row>
    <row r="8213" spans="30:30" x14ac:dyDescent="0.3">
      <c r="AD8213" s="16"/>
    </row>
    <row r="8214" spans="30:30" x14ac:dyDescent="0.3">
      <c r="AD8214" s="16"/>
    </row>
    <row r="8215" spans="30:30" x14ac:dyDescent="0.3">
      <c r="AD8215" s="16"/>
    </row>
    <row r="8216" spans="30:30" x14ac:dyDescent="0.3">
      <c r="AD8216" s="16"/>
    </row>
    <row r="8217" spans="30:30" x14ac:dyDescent="0.3">
      <c r="AD8217" s="16"/>
    </row>
    <row r="8218" spans="30:30" x14ac:dyDescent="0.3">
      <c r="AD8218" s="16"/>
    </row>
    <row r="8219" spans="30:30" x14ac:dyDescent="0.3">
      <c r="AD8219" s="16"/>
    </row>
    <row r="8220" spans="30:30" x14ac:dyDescent="0.3">
      <c r="AD8220" s="16"/>
    </row>
    <row r="8221" spans="30:30" x14ac:dyDescent="0.3">
      <c r="AD8221" s="16"/>
    </row>
    <row r="8222" spans="30:30" x14ac:dyDescent="0.3">
      <c r="AD8222" s="16"/>
    </row>
    <row r="8223" spans="30:30" x14ac:dyDescent="0.3">
      <c r="AD8223" s="16"/>
    </row>
    <row r="8224" spans="30:30" x14ac:dyDescent="0.3">
      <c r="AD8224" s="16"/>
    </row>
    <row r="8225" spans="30:30" x14ac:dyDescent="0.3">
      <c r="AD8225" s="16"/>
    </row>
    <row r="8226" spans="30:30" x14ac:dyDescent="0.3">
      <c r="AD8226" s="16"/>
    </row>
    <row r="8227" spans="30:30" x14ac:dyDescent="0.3">
      <c r="AD8227" s="16"/>
    </row>
    <row r="8228" spans="30:30" x14ac:dyDescent="0.3">
      <c r="AD8228" s="16"/>
    </row>
    <row r="8229" spans="30:30" x14ac:dyDescent="0.3">
      <c r="AD8229" s="16"/>
    </row>
    <row r="8230" spans="30:30" x14ac:dyDescent="0.3">
      <c r="AD8230" s="16"/>
    </row>
    <row r="8231" spans="30:30" x14ac:dyDescent="0.3">
      <c r="AD8231" s="16"/>
    </row>
    <row r="8232" spans="30:30" x14ac:dyDescent="0.3">
      <c r="AD8232" s="16"/>
    </row>
    <row r="8233" spans="30:30" x14ac:dyDescent="0.3">
      <c r="AD8233" s="16"/>
    </row>
    <row r="8234" spans="30:30" x14ac:dyDescent="0.3">
      <c r="AD8234" s="16"/>
    </row>
    <row r="8235" spans="30:30" x14ac:dyDescent="0.3">
      <c r="AD8235" s="16"/>
    </row>
    <row r="8236" spans="30:30" x14ac:dyDescent="0.3">
      <c r="AD8236" s="16"/>
    </row>
    <row r="8237" spans="30:30" x14ac:dyDescent="0.3">
      <c r="AD8237" s="16"/>
    </row>
    <row r="8238" spans="30:30" x14ac:dyDescent="0.3">
      <c r="AD8238" s="16"/>
    </row>
    <row r="8239" spans="30:30" x14ac:dyDescent="0.3">
      <c r="AD8239" s="16"/>
    </row>
    <row r="8240" spans="30:30" x14ac:dyDescent="0.3">
      <c r="AD8240" s="16"/>
    </row>
    <row r="8241" spans="30:30" x14ac:dyDescent="0.3">
      <c r="AD8241" s="16"/>
    </row>
    <row r="8242" spans="30:30" x14ac:dyDescent="0.3">
      <c r="AD8242" s="16"/>
    </row>
    <row r="8243" spans="30:30" x14ac:dyDescent="0.3">
      <c r="AD8243" s="16"/>
    </row>
    <row r="8244" spans="30:30" x14ac:dyDescent="0.3">
      <c r="AD8244" s="16"/>
    </row>
    <row r="8245" spans="30:30" x14ac:dyDescent="0.3">
      <c r="AD8245" s="16"/>
    </row>
    <row r="8246" spans="30:30" x14ac:dyDescent="0.3">
      <c r="AD8246" s="16"/>
    </row>
    <row r="8247" spans="30:30" x14ac:dyDescent="0.3">
      <c r="AD8247" s="16"/>
    </row>
    <row r="8248" spans="30:30" x14ac:dyDescent="0.3">
      <c r="AD8248" s="16"/>
    </row>
    <row r="8249" spans="30:30" x14ac:dyDescent="0.3">
      <c r="AD8249" s="16"/>
    </row>
    <row r="8250" spans="30:30" x14ac:dyDescent="0.3">
      <c r="AD8250" s="16"/>
    </row>
    <row r="8251" spans="30:30" x14ac:dyDescent="0.3">
      <c r="AD8251" s="16"/>
    </row>
    <row r="8252" spans="30:30" x14ac:dyDescent="0.3">
      <c r="AD8252" s="16"/>
    </row>
    <row r="8253" spans="30:30" x14ac:dyDescent="0.3">
      <c r="AD8253" s="16"/>
    </row>
    <row r="8254" spans="30:30" x14ac:dyDescent="0.3">
      <c r="AD8254" s="16"/>
    </row>
    <row r="8255" spans="30:30" x14ac:dyDescent="0.3">
      <c r="AD8255" s="16"/>
    </row>
    <row r="8256" spans="30:30" x14ac:dyDescent="0.3">
      <c r="AD8256" s="16"/>
    </row>
    <row r="8257" spans="30:30" x14ac:dyDescent="0.3">
      <c r="AD8257" s="16"/>
    </row>
    <row r="8258" spans="30:30" x14ac:dyDescent="0.3">
      <c r="AD8258" s="16"/>
    </row>
    <row r="8259" spans="30:30" x14ac:dyDescent="0.3">
      <c r="AD8259" s="16"/>
    </row>
    <row r="8260" spans="30:30" x14ac:dyDescent="0.3">
      <c r="AD8260" s="16"/>
    </row>
    <row r="8261" spans="30:30" x14ac:dyDescent="0.3">
      <c r="AD8261" s="16"/>
    </row>
    <row r="8262" spans="30:30" x14ac:dyDescent="0.3">
      <c r="AD8262" s="16"/>
    </row>
    <row r="8263" spans="30:30" x14ac:dyDescent="0.3">
      <c r="AD8263" s="16"/>
    </row>
    <row r="8264" spans="30:30" x14ac:dyDescent="0.3">
      <c r="AD8264" s="16"/>
    </row>
    <row r="8265" spans="30:30" x14ac:dyDescent="0.3">
      <c r="AD8265" s="16"/>
    </row>
    <row r="8266" spans="30:30" x14ac:dyDescent="0.3">
      <c r="AD8266" s="16"/>
    </row>
    <row r="8267" spans="30:30" x14ac:dyDescent="0.3">
      <c r="AD8267" s="16"/>
    </row>
    <row r="8268" spans="30:30" x14ac:dyDescent="0.3">
      <c r="AD8268" s="16"/>
    </row>
    <row r="8269" spans="30:30" x14ac:dyDescent="0.3">
      <c r="AD8269" s="16"/>
    </row>
    <row r="8270" spans="30:30" x14ac:dyDescent="0.3">
      <c r="AD8270" s="16"/>
    </row>
    <row r="8271" spans="30:30" x14ac:dyDescent="0.3">
      <c r="AD8271" s="16"/>
    </row>
    <row r="8272" spans="30:30" x14ac:dyDescent="0.3">
      <c r="AD8272" s="16"/>
    </row>
    <row r="8273" spans="30:30" x14ac:dyDescent="0.3">
      <c r="AD8273" s="16"/>
    </row>
    <row r="8274" spans="30:30" x14ac:dyDescent="0.3">
      <c r="AD8274" s="16"/>
    </row>
    <row r="8275" spans="30:30" x14ac:dyDescent="0.3">
      <c r="AD8275" s="16"/>
    </row>
    <row r="8276" spans="30:30" x14ac:dyDescent="0.3">
      <c r="AD8276" s="16"/>
    </row>
    <row r="8277" spans="30:30" x14ac:dyDescent="0.3">
      <c r="AD8277" s="16"/>
    </row>
    <row r="8278" spans="30:30" x14ac:dyDescent="0.3">
      <c r="AD8278" s="16"/>
    </row>
    <row r="8279" spans="30:30" x14ac:dyDescent="0.3">
      <c r="AD8279" s="16"/>
    </row>
    <row r="8280" spans="30:30" x14ac:dyDescent="0.3">
      <c r="AD8280" s="16"/>
    </row>
    <row r="8281" spans="30:30" x14ac:dyDescent="0.3">
      <c r="AD8281" s="16"/>
    </row>
    <row r="8282" spans="30:30" x14ac:dyDescent="0.3">
      <c r="AD8282" s="16"/>
    </row>
    <row r="8283" spans="30:30" x14ac:dyDescent="0.3">
      <c r="AD8283" s="16"/>
    </row>
    <row r="8284" spans="30:30" x14ac:dyDescent="0.3">
      <c r="AD8284" s="16"/>
    </row>
    <row r="8285" spans="30:30" x14ac:dyDescent="0.3">
      <c r="AD8285" s="16"/>
    </row>
    <row r="8286" spans="30:30" x14ac:dyDescent="0.3">
      <c r="AD8286" s="16"/>
    </row>
    <row r="8287" spans="30:30" x14ac:dyDescent="0.3">
      <c r="AD8287" s="16"/>
    </row>
    <row r="8288" spans="30:30" x14ac:dyDescent="0.3">
      <c r="AD8288" s="16"/>
    </row>
    <row r="8289" spans="30:30" x14ac:dyDescent="0.3">
      <c r="AD8289" s="16"/>
    </row>
    <row r="8290" spans="30:30" x14ac:dyDescent="0.3">
      <c r="AD8290" s="16"/>
    </row>
    <row r="8291" spans="30:30" x14ac:dyDescent="0.3">
      <c r="AD8291" s="16"/>
    </row>
    <row r="8292" spans="30:30" x14ac:dyDescent="0.3">
      <c r="AD8292" s="16"/>
    </row>
    <row r="8293" spans="30:30" x14ac:dyDescent="0.3">
      <c r="AD8293" s="16"/>
    </row>
    <row r="8294" spans="30:30" x14ac:dyDescent="0.3">
      <c r="AD8294" s="16"/>
    </row>
    <row r="8295" spans="30:30" x14ac:dyDescent="0.3">
      <c r="AD8295" s="16"/>
    </row>
    <row r="8296" spans="30:30" x14ac:dyDescent="0.3">
      <c r="AD8296" s="16"/>
    </row>
    <row r="8297" spans="30:30" x14ac:dyDescent="0.3">
      <c r="AD8297" s="16"/>
    </row>
    <row r="8298" spans="30:30" x14ac:dyDescent="0.3">
      <c r="AD8298" s="16"/>
    </row>
    <row r="8299" spans="30:30" x14ac:dyDescent="0.3">
      <c r="AD8299" s="16"/>
    </row>
    <row r="8300" spans="30:30" x14ac:dyDescent="0.3">
      <c r="AD8300" s="16"/>
    </row>
    <row r="8301" spans="30:30" x14ac:dyDescent="0.3">
      <c r="AD8301" s="16"/>
    </row>
    <row r="8302" spans="30:30" x14ac:dyDescent="0.3">
      <c r="AD8302" s="16"/>
    </row>
    <row r="8303" spans="30:30" x14ac:dyDescent="0.3">
      <c r="AD8303" s="16"/>
    </row>
    <row r="8304" spans="30:30" x14ac:dyDescent="0.3">
      <c r="AD8304" s="16"/>
    </row>
    <row r="8305" spans="30:30" x14ac:dyDescent="0.3">
      <c r="AD8305" s="16"/>
    </row>
    <row r="8306" spans="30:30" x14ac:dyDescent="0.3">
      <c r="AD8306" s="16"/>
    </row>
    <row r="8307" spans="30:30" x14ac:dyDescent="0.3">
      <c r="AD8307" s="16"/>
    </row>
    <row r="8308" spans="30:30" x14ac:dyDescent="0.3">
      <c r="AD8308" s="16"/>
    </row>
    <row r="8309" spans="30:30" x14ac:dyDescent="0.3">
      <c r="AD8309" s="16"/>
    </row>
    <row r="8310" spans="30:30" x14ac:dyDescent="0.3">
      <c r="AD8310" s="16"/>
    </row>
    <row r="8311" spans="30:30" x14ac:dyDescent="0.3">
      <c r="AD8311" s="16"/>
    </row>
    <row r="8312" spans="30:30" x14ac:dyDescent="0.3">
      <c r="AD8312" s="16"/>
    </row>
    <row r="8313" spans="30:30" x14ac:dyDescent="0.3">
      <c r="AD8313" s="16"/>
    </row>
    <row r="8314" spans="30:30" x14ac:dyDescent="0.3">
      <c r="AD8314" s="16"/>
    </row>
    <row r="8315" spans="30:30" x14ac:dyDescent="0.3">
      <c r="AD8315" s="16"/>
    </row>
    <row r="8316" spans="30:30" x14ac:dyDescent="0.3">
      <c r="AD8316" s="16"/>
    </row>
    <row r="8317" spans="30:30" x14ac:dyDescent="0.3">
      <c r="AD8317" s="16"/>
    </row>
    <row r="8318" spans="30:30" x14ac:dyDescent="0.3">
      <c r="AD8318" s="16"/>
    </row>
    <row r="8319" spans="30:30" x14ac:dyDescent="0.3">
      <c r="AD8319" s="16"/>
    </row>
    <row r="8320" spans="30:30" x14ac:dyDescent="0.3">
      <c r="AD8320" s="16"/>
    </row>
    <row r="8321" spans="30:30" x14ac:dyDescent="0.3">
      <c r="AD8321" s="16"/>
    </row>
    <row r="8322" spans="30:30" x14ac:dyDescent="0.3">
      <c r="AD8322" s="16"/>
    </row>
    <row r="8323" spans="30:30" x14ac:dyDescent="0.3">
      <c r="AD8323" s="16"/>
    </row>
    <row r="8324" spans="30:30" x14ac:dyDescent="0.3">
      <c r="AD8324" s="16"/>
    </row>
    <row r="8325" spans="30:30" x14ac:dyDescent="0.3">
      <c r="AD8325" s="16"/>
    </row>
    <row r="8326" spans="30:30" x14ac:dyDescent="0.3">
      <c r="AD8326" s="16"/>
    </row>
    <row r="8327" spans="30:30" x14ac:dyDescent="0.3">
      <c r="AD8327" s="16"/>
    </row>
    <row r="8328" spans="30:30" x14ac:dyDescent="0.3">
      <c r="AD8328" s="16"/>
    </row>
    <row r="8329" spans="30:30" x14ac:dyDescent="0.3">
      <c r="AD8329" s="16"/>
    </row>
    <row r="8330" spans="30:30" x14ac:dyDescent="0.3">
      <c r="AD8330" s="16"/>
    </row>
    <row r="8331" spans="30:30" x14ac:dyDescent="0.3">
      <c r="AD8331" s="16"/>
    </row>
    <row r="8332" spans="30:30" x14ac:dyDescent="0.3">
      <c r="AD8332" s="16"/>
    </row>
    <row r="8333" spans="30:30" x14ac:dyDescent="0.3">
      <c r="AD8333" s="16"/>
    </row>
    <row r="8334" spans="30:30" x14ac:dyDescent="0.3">
      <c r="AD8334" s="16"/>
    </row>
    <row r="8335" spans="30:30" x14ac:dyDescent="0.3">
      <c r="AD8335" s="16"/>
    </row>
    <row r="8336" spans="30:30" x14ac:dyDescent="0.3">
      <c r="AD8336" s="16"/>
    </row>
    <row r="8337" spans="30:30" x14ac:dyDescent="0.3">
      <c r="AD8337" s="16"/>
    </row>
    <row r="8338" spans="30:30" x14ac:dyDescent="0.3">
      <c r="AD8338" s="16"/>
    </row>
    <row r="8339" spans="30:30" x14ac:dyDescent="0.3">
      <c r="AD8339" s="16"/>
    </row>
    <row r="8340" spans="30:30" x14ac:dyDescent="0.3">
      <c r="AD8340" s="16"/>
    </row>
    <row r="8341" spans="30:30" x14ac:dyDescent="0.3">
      <c r="AD8341" s="16"/>
    </row>
    <row r="8342" spans="30:30" x14ac:dyDescent="0.3">
      <c r="AD8342" s="16"/>
    </row>
    <row r="8343" spans="30:30" x14ac:dyDescent="0.3">
      <c r="AD8343" s="16"/>
    </row>
    <row r="8344" spans="30:30" x14ac:dyDescent="0.3">
      <c r="AD8344" s="16"/>
    </row>
    <row r="8345" spans="30:30" x14ac:dyDescent="0.3">
      <c r="AD8345" s="16"/>
    </row>
    <row r="8346" spans="30:30" x14ac:dyDescent="0.3">
      <c r="AD8346" s="16"/>
    </row>
    <row r="8347" spans="30:30" x14ac:dyDescent="0.3">
      <c r="AD8347" s="16"/>
    </row>
    <row r="8348" spans="30:30" x14ac:dyDescent="0.3">
      <c r="AD8348" s="16"/>
    </row>
    <row r="8349" spans="30:30" x14ac:dyDescent="0.3">
      <c r="AD8349" s="16"/>
    </row>
    <row r="8350" spans="30:30" x14ac:dyDescent="0.3">
      <c r="AD8350" s="16"/>
    </row>
    <row r="8351" spans="30:30" x14ac:dyDescent="0.3">
      <c r="AD8351" s="16"/>
    </row>
    <row r="8352" spans="30:30" x14ac:dyDescent="0.3">
      <c r="AD8352" s="16"/>
    </row>
    <row r="8353" spans="30:30" x14ac:dyDescent="0.3">
      <c r="AD8353" s="16"/>
    </row>
    <row r="8354" spans="30:30" x14ac:dyDescent="0.3">
      <c r="AD8354" s="16"/>
    </row>
    <row r="8355" spans="30:30" x14ac:dyDescent="0.3">
      <c r="AD8355" s="16"/>
    </row>
    <row r="8356" spans="30:30" x14ac:dyDescent="0.3">
      <c r="AD8356" s="16"/>
    </row>
    <row r="8357" spans="30:30" x14ac:dyDescent="0.3">
      <c r="AD8357" s="16"/>
    </row>
    <row r="8358" spans="30:30" x14ac:dyDescent="0.3">
      <c r="AD8358" s="16"/>
    </row>
    <row r="8359" spans="30:30" x14ac:dyDescent="0.3">
      <c r="AD8359" s="16"/>
    </row>
    <row r="8360" spans="30:30" x14ac:dyDescent="0.3">
      <c r="AD8360" s="16"/>
    </row>
    <row r="8361" spans="30:30" x14ac:dyDescent="0.3">
      <c r="AD8361" s="16"/>
    </row>
    <row r="8362" spans="30:30" x14ac:dyDescent="0.3">
      <c r="AD8362" s="16"/>
    </row>
    <row r="8363" spans="30:30" x14ac:dyDescent="0.3">
      <c r="AD8363" s="16"/>
    </row>
    <row r="8364" spans="30:30" x14ac:dyDescent="0.3">
      <c r="AD8364" s="16"/>
    </row>
    <row r="8365" spans="30:30" x14ac:dyDescent="0.3">
      <c r="AD8365" s="16"/>
    </row>
    <row r="8366" spans="30:30" x14ac:dyDescent="0.3">
      <c r="AD8366" s="16"/>
    </row>
    <row r="8367" spans="30:30" x14ac:dyDescent="0.3">
      <c r="AD8367" s="16"/>
    </row>
    <row r="8368" spans="30:30" x14ac:dyDescent="0.3">
      <c r="AD8368" s="16"/>
    </row>
    <row r="8369" spans="30:30" x14ac:dyDescent="0.3">
      <c r="AD8369" s="16"/>
    </row>
    <row r="8370" spans="30:30" x14ac:dyDescent="0.3">
      <c r="AD8370" s="16"/>
    </row>
    <row r="8371" spans="30:30" x14ac:dyDescent="0.3">
      <c r="AD8371" s="16"/>
    </row>
    <row r="8372" spans="30:30" x14ac:dyDescent="0.3">
      <c r="AD8372" s="16"/>
    </row>
    <row r="8373" spans="30:30" x14ac:dyDescent="0.3">
      <c r="AD8373" s="16"/>
    </row>
    <row r="8374" spans="30:30" x14ac:dyDescent="0.3">
      <c r="AD8374" s="16"/>
    </row>
    <row r="8375" spans="30:30" x14ac:dyDescent="0.3">
      <c r="AD8375" s="16"/>
    </row>
    <row r="8376" spans="30:30" x14ac:dyDescent="0.3">
      <c r="AD8376" s="16"/>
    </row>
    <row r="8377" spans="30:30" x14ac:dyDescent="0.3">
      <c r="AD8377" s="16"/>
    </row>
    <row r="8378" spans="30:30" x14ac:dyDescent="0.3">
      <c r="AD8378" s="16"/>
    </row>
    <row r="8379" spans="30:30" x14ac:dyDescent="0.3">
      <c r="AD8379" s="16"/>
    </row>
    <row r="8380" spans="30:30" x14ac:dyDescent="0.3">
      <c r="AD8380" s="16"/>
    </row>
    <row r="8381" spans="30:30" x14ac:dyDescent="0.3">
      <c r="AD8381" s="16"/>
    </row>
    <row r="8382" spans="30:30" x14ac:dyDescent="0.3">
      <c r="AD8382" s="16"/>
    </row>
    <row r="8383" spans="30:30" x14ac:dyDescent="0.3">
      <c r="AD8383" s="16"/>
    </row>
    <row r="8384" spans="30:30" x14ac:dyDescent="0.3">
      <c r="AD8384" s="16"/>
    </row>
    <row r="8385" spans="30:30" x14ac:dyDescent="0.3">
      <c r="AD8385" s="16"/>
    </row>
    <row r="8386" spans="30:30" x14ac:dyDescent="0.3">
      <c r="AD8386" s="16"/>
    </row>
    <row r="8387" spans="30:30" x14ac:dyDescent="0.3">
      <c r="AD8387" s="16"/>
    </row>
    <row r="8388" spans="30:30" x14ac:dyDescent="0.3">
      <c r="AD8388" s="16"/>
    </row>
    <row r="8389" spans="30:30" x14ac:dyDescent="0.3">
      <c r="AD8389" s="16"/>
    </row>
    <row r="8390" spans="30:30" x14ac:dyDescent="0.3">
      <c r="AD8390" s="16"/>
    </row>
    <row r="8391" spans="30:30" x14ac:dyDescent="0.3">
      <c r="AD8391" s="16"/>
    </row>
    <row r="8392" spans="30:30" x14ac:dyDescent="0.3">
      <c r="AD8392" s="16"/>
    </row>
    <row r="8393" spans="30:30" x14ac:dyDescent="0.3">
      <c r="AD8393" s="16"/>
    </row>
    <row r="8394" spans="30:30" x14ac:dyDescent="0.3">
      <c r="AD8394" s="16"/>
    </row>
    <row r="8395" spans="30:30" x14ac:dyDescent="0.3">
      <c r="AD8395" s="16"/>
    </row>
    <row r="8396" spans="30:30" x14ac:dyDescent="0.3">
      <c r="AD8396" s="16"/>
    </row>
    <row r="8397" spans="30:30" x14ac:dyDescent="0.3">
      <c r="AD8397" s="16"/>
    </row>
    <row r="8398" spans="30:30" x14ac:dyDescent="0.3">
      <c r="AD8398" s="16"/>
    </row>
    <row r="8399" spans="30:30" x14ac:dyDescent="0.3">
      <c r="AD8399" s="16"/>
    </row>
    <row r="8400" spans="30:30" x14ac:dyDescent="0.3">
      <c r="AD8400" s="16"/>
    </row>
    <row r="8401" spans="30:30" x14ac:dyDescent="0.3">
      <c r="AD8401" s="16"/>
    </row>
    <row r="8402" spans="30:30" x14ac:dyDescent="0.3">
      <c r="AD8402" s="16"/>
    </row>
    <row r="8403" spans="30:30" x14ac:dyDescent="0.3">
      <c r="AD8403" s="16"/>
    </row>
    <row r="8404" spans="30:30" x14ac:dyDescent="0.3">
      <c r="AD8404" s="16"/>
    </row>
    <row r="8405" spans="30:30" x14ac:dyDescent="0.3">
      <c r="AD8405" s="16"/>
    </row>
    <row r="8406" spans="30:30" x14ac:dyDescent="0.3">
      <c r="AD8406" s="16"/>
    </row>
    <row r="8407" spans="30:30" x14ac:dyDescent="0.3">
      <c r="AD8407" s="16"/>
    </row>
    <row r="8408" spans="30:30" x14ac:dyDescent="0.3">
      <c r="AD8408" s="16"/>
    </row>
    <row r="8409" spans="30:30" x14ac:dyDescent="0.3">
      <c r="AD8409" s="16"/>
    </row>
    <row r="8410" spans="30:30" x14ac:dyDescent="0.3">
      <c r="AD8410" s="16"/>
    </row>
    <row r="8411" spans="30:30" x14ac:dyDescent="0.3">
      <c r="AD8411" s="16"/>
    </row>
    <row r="8412" spans="30:30" x14ac:dyDescent="0.3">
      <c r="AD8412" s="16"/>
    </row>
    <row r="8413" spans="30:30" x14ac:dyDescent="0.3">
      <c r="AD8413" s="16"/>
    </row>
    <row r="8414" spans="30:30" x14ac:dyDescent="0.3">
      <c r="AD8414" s="16"/>
    </row>
    <row r="8415" spans="30:30" x14ac:dyDescent="0.3">
      <c r="AD8415" s="16"/>
    </row>
    <row r="8416" spans="30:30" x14ac:dyDescent="0.3">
      <c r="AD8416" s="16"/>
    </row>
    <row r="8417" spans="30:30" x14ac:dyDescent="0.3">
      <c r="AD8417" s="16"/>
    </row>
    <row r="8418" spans="30:30" x14ac:dyDescent="0.3">
      <c r="AD8418" s="16"/>
    </row>
    <row r="8419" spans="30:30" x14ac:dyDescent="0.3">
      <c r="AD8419" s="16"/>
    </row>
    <row r="8420" spans="30:30" x14ac:dyDescent="0.3">
      <c r="AD8420" s="16"/>
    </row>
    <row r="8421" spans="30:30" x14ac:dyDescent="0.3">
      <c r="AD8421" s="16"/>
    </row>
    <row r="8422" spans="30:30" x14ac:dyDescent="0.3">
      <c r="AD8422" s="16"/>
    </row>
    <row r="8423" spans="30:30" x14ac:dyDescent="0.3">
      <c r="AD8423" s="16"/>
    </row>
    <row r="8424" spans="30:30" x14ac:dyDescent="0.3">
      <c r="AD8424" s="16"/>
    </row>
    <row r="8425" spans="30:30" x14ac:dyDescent="0.3">
      <c r="AD8425" s="16"/>
    </row>
    <row r="8426" spans="30:30" x14ac:dyDescent="0.3">
      <c r="AD8426" s="16"/>
    </row>
    <row r="8427" spans="30:30" x14ac:dyDescent="0.3">
      <c r="AD8427" s="16"/>
    </row>
    <row r="8428" spans="30:30" x14ac:dyDescent="0.3">
      <c r="AD8428" s="16"/>
    </row>
    <row r="8429" spans="30:30" x14ac:dyDescent="0.3">
      <c r="AD8429" s="16"/>
    </row>
    <row r="8430" spans="30:30" x14ac:dyDescent="0.3">
      <c r="AD8430" s="16"/>
    </row>
    <row r="8431" spans="30:30" x14ac:dyDescent="0.3">
      <c r="AD8431" s="16"/>
    </row>
    <row r="8432" spans="30:30" x14ac:dyDescent="0.3">
      <c r="AD8432" s="16"/>
    </row>
    <row r="8433" spans="30:30" x14ac:dyDescent="0.3">
      <c r="AD8433" s="16"/>
    </row>
    <row r="8434" spans="30:30" x14ac:dyDescent="0.3">
      <c r="AD8434" s="16"/>
    </row>
    <row r="8435" spans="30:30" x14ac:dyDescent="0.3">
      <c r="AD8435" s="16"/>
    </row>
    <row r="8436" spans="30:30" x14ac:dyDescent="0.3">
      <c r="AD8436" s="16"/>
    </row>
    <row r="8437" spans="30:30" x14ac:dyDescent="0.3">
      <c r="AD8437" s="16"/>
    </row>
    <row r="8438" spans="30:30" x14ac:dyDescent="0.3">
      <c r="AD8438" s="16"/>
    </row>
    <row r="8439" spans="30:30" x14ac:dyDescent="0.3">
      <c r="AD8439" s="16"/>
    </row>
    <row r="8440" spans="30:30" x14ac:dyDescent="0.3">
      <c r="AD8440" s="16"/>
    </row>
    <row r="8441" spans="30:30" x14ac:dyDescent="0.3">
      <c r="AD8441" s="16"/>
    </row>
    <row r="8442" spans="30:30" x14ac:dyDescent="0.3">
      <c r="AD8442" s="16"/>
    </row>
    <row r="8443" spans="30:30" x14ac:dyDescent="0.3">
      <c r="AD8443" s="16"/>
    </row>
    <row r="8444" spans="30:30" x14ac:dyDescent="0.3">
      <c r="AD8444" s="16"/>
    </row>
    <row r="8445" spans="30:30" x14ac:dyDescent="0.3">
      <c r="AD8445" s="16"/>
    </row>
    <row r="8446" spans="30:30" x14ac:dyDescent="0.3">
      <c r="AD8446" s="16"/>
    </row>
    <row r="8447" spans="30:30" x14ac:dyDescent="0.3">
      <c r="AD8447" s="16"/>
    </row>
    <row r="8448" spans="30:30" x14ac:dyDescent="0.3">
      <c r="AD8448" s="16"/>
    </row>
    <row r="8449" spans="30:30" x14ac:dyDescent="0.3">
      <c r="AD8449" s="16"/>
    </row>
    <row r="8450" spans="30:30" x14ac:dyDescent="0.3">
      <c r="AD8450" s="16"/>
    </row>
    <row r="8451" spans="30:30" x14ac:dyDescent="0.3">
      <c r="AD8451" s="16"/>
    </row>
    <row r="8452" spans="30:30" x14ac:dyDescent="0.3">
      <c r="AD8452" s="16"/>
    </row>
    <row r="8453" spans="30:30" x14ac:dyDescent="0.3">
      <c r="AD8453" s="16"/>
    </row>
    <row r="8454" spans="30:30" x14ac:dyDescent="0.3">
      <c r="AD8454" s="16"/>
    </row>
    <row r="8455" spans="30:30" x14ac:dyDescent="0.3">
      <c r="AD8455" s="16"/>
    </row>
    <row r="8456" spans="30:30" x14ac:dyDescent="0.3">
      <c r="AD8456" s="16"/>
    </row>
    <row r="8457" spans="30:30" x14ac:dyDescent="0.3">
      <c r="AD8457" s="16"/>
    </row>
    <row r="8458" spans="30:30" x14ac:dyDescent="0.3">
      <c r="AD8458" s="16"/>
    </row>
    <row r="8459" spans="30:30" x14ac:dyDescent="0.3">
      <c r="AD8459" s="16"/>
    </row>
    <row r="8460" spans="30:30" x14ac:dyDescent="0.3">
      <c r="AD8460" s="16"/>
    </row>
    <row r="8461" spans="30:30" x14ac:dyDescent="0.3">
      <c r="AD8461" s="16"/>
    </row>
    <row r="8462" spans="30:30" x14ac:dyDescent="0.3">
      <c r="AD8462" s="16"/>
    </row>
    <row r="8463" spans="30:30" x14ac:dyDescent="0.3">
      <c r="AD8463" s="16"/>
    </row>
    <row r="8464" spans="30:30" x14ac:dyDescent="0.3">
      <c r="AD8464" s="16"/>
    </row>
    <row r="8465" spans="30:30" x14ac:dyDescent="0.3">
      <c r="AD8465" s="16"/>
    </row>
    <row r="8466" spans="30:30" x14ac:dyDescent="0.3">
      <c r="AD8466" s="16"/>
    </row>
    <row r="8467" spans="30:30" x14ac:dyDescent="0.3">
      <c r="AD8467" s="16"/>
    </row>
    <row r="8468" spans="30:30" x14ac:dyDescent="0.3">
      <c r="AD8468" s="16"/>
    </row>
    <row r="8469" spans="30:30" x14ac:dyDescent="0.3">
      <c r="AD8469" s="16"/>
    </row>
    <row r="8470" spans="30:30" x14ac:dyDescent="0.3">
      <c r="AD8470" s="16"/>
    </row>
    <row r="8471" spans="30:30" x14ac:dyDescent="0.3">
      <c r="AD8471" s="16"/>
    </row>
    <row r="8472" spans="30:30" x14ac:dyDescent="0.3">
      <c r="AD8472" s="16"/>
    </row>
    <row r="8473" spans="30:30" x14ac:dyDescent="0.3">
      <c r="AD8473" s="16"/>
    </row>
    <row r="8474" spans="30:30" x14ac:dyDescent="0.3">
      <c r="AD8474" s="16"/>
    </row>
    <row r="8475" spans="30:30" x14ac:dyDescent="0.3">
      <c r="AD8475" s="16"/>
    </row>
    <row r="8476" spans="30:30" x14ac:dyDescent="0.3">
      <c r="AD8476" s="16"/>
    </row>
    <row r="8477" spans="30:30" x14ac:dyDescent="0.3">
      <c r="AD8477" s="16"/>
    </row>
    <row r="8478" spans="30:30" x14ac:dyDescent="0.3">
      <c r="AD8478" s="16"/>
    </row>
    <row r="8479" spans="30:30" x14ac:dyDescent="0.3">
      <c r="AD8479" s="16"/>
    </row>
    <row r="8480" spans="30:30" x14ac:dyDescent="0.3">
      <c r="AD8480" s="16"/>
    </row>
    <row r="8481" spans="30:30" x14ac:dyDescent="0.3">
      <c r="AD8481" s="16"/>
    </row>
    <row r="8482" spans="30:30" x14ac:dyDescent="0.3">
      <c r="AD8482" s="16"/>
    </row>
    <row r="8483" spans="30:30" x14ac:dyDescent="0.3">
      <c r="AD8483" s="16"/>
    </row>
    <row r="8484" spans="30:30" x14ac:dyDescent="0.3">
      <c r="AD8484" s="16"/>
    </row>
    <row r="8485" spans="30:30" x14ac:dyDescent="0.3">
      <c r="AD8485" s="16"/>
    </row>
    <row r="8486" spans="30:30" x14ac:dyDescent="0.3">
      <c r="AD8486" s="16"/>
    </row>
    <row r="8487" spans="30:30" x14ac:dyDescent="0.3">
      <c r="AD8487" s="16"/>
    </row>
    <row r="8488" spans="30:30" x14ac:dyDescent="0.3">
      <c r="AD8488" s="16"/>
    </row>
    <row r="8489" spans="30:30" x14ac:dyDescent="0.3">
      <c r="AD8489" s="16"/>
    </row>
    <row r="8490" spans="30:30" x14ac:dyDescent="0.3">
      <c r="AD8490" s="16"/>
    </row>
    <row r="8491" spans="30:30" x14ac:dyDescent="0.3">
      <c r="AD8491" s="16"/>
    </row>
    <row r="8492" spans="30:30" x14ac:dyDescent="0.3">
      <c r="AD8492" s="16"/>
    </row>
    <row r="8493" spans="30:30" x14ac:dyDescent="0.3">
      <c r="AD8493" s="16"/>
    </row>
    <row r="8494" spans="30:30" x14ac:dyDescent="0.3">
      <c r="AD8494" s="16"/>
    </row>
    <row r="8495" spans="30:30" x14ac:dyDescent="0.3">
      <c r="AD8495" s="16"/>
    </row>
    <row r="8496" spans="30:30" x14ac:dyDescent="0.3">
      <c r="AD8496" s="16"/>
    </row>
    <row r="8497" spans="30:30" x14ac:dyDescent="0.3">
      <c r="AD8497" s="16"/>
    </row>
    <row r="8498" spans="30:30" x14ac:dyDescent="0.3">
      <c r="AD8498" s="16"/>
    </row>
    <row r="8499" spans="30:30" x14ac:dyDescent="0.3">
      <c r="AD8499" s="16"/>
    </row>
    <row r="8500" spans="30:30" x14ac:dyDescent="0.3">
      <c r="AD8500" s="16"/>
    </row>
    <row r="8501" spans="30:30" x14ac:dyDescent="0.3">
      <c r="AD8501" s="16"/>
    </row>
    <row r="8502" spans="30:30" x14ac:dyDescent="0.3">
      <c r="AD8502" s="16"/>
    </row>
    <row r="8503" spans="30:30" x14ac:dyDescent="0.3">
      <c r="AD8503" s="16"/>
    </row>
    <row r="8504" spans="30:30" x14ac:dyDescent="0.3">
      <c r="AD8504" s="16"/>
    </row>
    <row r="8505" spans="30:30" x14ac:dyDescent="0.3">
      <c r="AD8505" s="16"/>
    </row>
    <row r="8506" spans="30:30" x14ac:dyDescent="0.3">
      <c r="AD8506" s="16"/>
    </row>
    <row r="8507" spans="30:30" x14ac:dyDescent="0.3">
      <c r="AD8507" s="16"/>
    </row>
    <row r="8508" spans="30:30" x14ac:dyDescent="0.3">
      <c r="AD8508" s="16"/>
    </row>
    <row r="8509" spans="30:30" x14ac:dyDescent="0.3">
      <c r="AD8509" s="16"/>
    </row>
    <row r="8510" spans="30:30" x14ac:dyDescent="0.3">
      <c r="AD8510" s="16"/>
    </row>
    <row r="8511" spans="30:30" x14ac:dyDescent="0.3">
      <c r="AD8511" s="16"/>
    </row>
    <row r="8512" spans="30:30" x14ac:dyDescent="0.3">
      <c r="AD8512" s="16"/>
    </row>
    <row r="8513" spans="30:30" x14ac:dyDescent="0.3">
      <c r="AD8513" s="16"/>
    </row>
    <row r="8514" spans="30:30" x14ac:dyDescent="0.3">
      <c r="AD8514" s="16"/>
    </row>
    <row r="8515" spans="30:30" x14ac:dyDescent="0.3">
      <c r="AD8515" s="16"/>
    </row>
    <row r="8516" spans="30:30" x14ac:dyDescent="0.3">
      <c r="AD8516" s="16"/>
    </row>
    <row r="8517" spans="30:30" x14ac:dyDescent="0.3">
      <c r="AD8517" s="16"/>
    </row>
    <row r="8518" spans="30:30" x14ac:dyDescent="0.3">
      <c r="AD8518" s="16"/>
    </row>
    <row r="8519" spans="30:30" x14ac:dyDescent="0.3">
      <c r="AD8519" s="16"/>
    </row>
    <row r="8520" spans="30:30" x14ac:dyDescent="0.3">
      <c r="AD8520" s="16"/>
    </row>
    <row r="8521" spans="30:30" x14ac:dyDescent="0.3">
      <c r="AD8521" s="16"/>
    </row>
    <row r="8522" spans="30:30" x14ac:dyDescent="0.3">
      <c r="AD8522" s="16"/>
    </row>
    <row r="8523" spans="30:30" x14ac:dyDescent="0.3">
      <c r="AD8523" s="16"/>
    </row>
    <row r="8524" spans="30:30" x14ac:dyDescent="0.3">
      <c r="AD8524" s="16"/>
    </row>
    <row r="8525" spans="30:30" x14ac:dyDescent="0.3">
      <c r="AD8525" s="16"/>
    </row>
    <row r="8526" spans="30:30" x14ac:dyDescent="0.3">
      <c r="AD8526" s="16"/>
    </row>
    <row r="8527" spans="30:30" x14ac:dyDescent="0.3">
      <c r="AD8527" s="16"/>
    </row>
    <row r="8528" spans="30:30" x14ac:dyDescent="0.3">
      <c r="AD8528" s="16"/>
    </row>
    <row r="8529" spans="30:30" x14ac:dyDescent="0.3">
      <c r="AD8529" s="16"/>
    </row>
    <row r="8530" spans="30:30" x14ac:dyDescent="0.3">
      <c r="AD8530" s="16"/>
    </row>
    <row r="8531" spans="30:30" x14ac:dyDescent="0.3">
      <c r="AD8531" s="16"/>
    </row>
    <row r="8532" spans="30:30" x14ac:dyDescent="0.3">
      <c r="AD8532" s="16"/>
    </row>
    <row r="8533" spans="30:30" x14ac:dyDescent="0.3">
      <c r="AD8533" s="16"/>
    </row>
    <row r="8534" spans="30:30" x14ac:dyDescent="0.3">
      <c r="AD8534" s="16"/>
    </row>
    <row r="8535" spans="30:30" x14ac:dyDescent="0.3">
      <c r="AD8535" s="16"/>
    </row>
    <row r="8536" spans="30:30" x14ac:dyDescent="0.3">
      <c r="AD8536" s="16"/>
    </row>
    <row r="8537" spans="30:30" x14ac:dyDescent="0.3">
      <c r="AD8537" s="16"/>
    </row>
    <row r="8538" spans="30:30" x14ac:dyDescent="0.3">
      <c r="AD8538" s="16"/>
    </row>
    <row r="8539" spans="30:30" x14ac:dyDescent="0.3">
      <c r="AD8539" s="16"/>
    </row>
    <row r="8540" spans="30:30" x14ac:dyDescent="0.3">
      <c r="AD8540" s="16"/>
    </row>
    <row r="8541" spans="30:30" x14ac:dyDescent="0.3">
      <c r="AD8541" s="16"/>
    </row>
    <row r="8542" spans="30:30" x14ac:dyDescent="0.3">
      <c r="AD8542" s="16"/>
    </row>
    <row r="8543" spans="30:30" x14ac:dyDescent="0.3">
      <c r="AD8543" s="16"/>
    </row>
    <row r="8544" spans="30:30" x14ac:dyDescent="0.3">
      <c r="AD8544" s="16"/>
    </row>
    <row r="8545" spans="30:30" x14ac:dyDescent="0.3">
      <c r="AD8545" s="16"/>
    </row>
    <row r="8546" spans="30:30" x14ac:dyDescent="0.3">
      <c r="AD8546" s="16"/>
    </row>
    <row r="8547" spans="30:30" x14ac:dyDescent="0.3">
      <c r="AD8547" s="16"/>
    </row>
    <row r="8548" spans="30:30" x14ac:dyDescent="0.3">
      <c r="AD8548" s="16"/>
    </row>
    <row r="8549" spans="30:30" x14ac:dyDescent="0.3">
      <c r="AD8549" s="16"/>
    </row>
    <row r="8550" spans="30:30" x14ac:dyDescent="0.3">
      <c r="AD8550" s="16"/>
    </row>
    <row r="8551" spans="30:30" x14ac:dyDescent="0.3">
      <c r="AD8551" s="16"/>
    </row>
    <row r="8552" spans="30:30" x14ac:dyDescent="0.3">
      <c r="AD8552" s="16"/>
    </row>
    <row r="8553" spans="30:30" x14ac:dyDescent="0.3">
      <c r="AD8553" s="16"/>
    </row>
    <row r="8554" spans="30:30" x14ac:dyDescent="0.3">
      <c r="AD8554" s="16"/>
    </row>
    <row r="8555" spans="30:30" x14ac:dyDescent="0.3">
      <c r="AD8555" s="16"/>
    </row>
    <row r="8556" spans="30:30" x14ac:dyDescent="0.3">
      <c r="AD8556" s="16"/>
    </row>
    <row r="8557" spans="30:30" x14ac:dyDescent="0.3">
      <c r="AD8557" s="16"/>
    </row>
    <row r="8558" spans="30:30" x14ac:dyDescent="0.3">
      <c r="AD8558" s="16"/>
    </row>
    <row r="8559" spans="30:30" x14ac:dyDescent="0.3">
      <c r="AD8559" s="16"/>
    </row>
    <row r="8560" spans="30:30" x14ac:dyDescent="0.3">
      <c r="AD8560" s="16"/>
    </row>
    <row r="8561" spans="30:30" x14ac:dyDescent="0.3">
      <c r="AD8561" s="16"/>
    </row>
    <row r="8562" spans="30:30" x14ac:dyDescent="0.3">
      <c r="AD8562" s="16"/>
    </row>
    <row r="8563" spans="30:30" x14ac:dyDescent="0.3">
      <c r="AD8563" s="16"/>
    </row>
    <row r="8564" spans="30:30" x14ac:dyDescent="0.3">
      <c r="AD8564" s="16"/>
    </row>
    <row r="8565" spans="30:30" x14ac:dyDescent="0.3">
      <c r="AD8565" s="16"/>
    </row>
    <row r="8566" spans="30:30" x14ac:dyDescent="0.3">
      <c r="AD8566" s="16"/>
    </row>
    <row r="8567" spans="30:30" x14ac:dyDescent="0.3">
      <c r="AD8567" s="16"/>
    </row>
    <row r="8568" spans="30:30" x14ac:dyDescent="0.3">
      <c r="AD8568" s="16"/>
    </row>
    <row r="8569" spans="30:30" x14ac:dyDescent="0.3">
      <c r="AD8569" s="16"/>
    </row>
    <row r="8570" spans="30:30" x14ac:dyDescent="0.3">
      <c r="AD8570" s="16"/>
    </row>
    <row r="8571" spans="30:30" x14ac:dyDescent="0.3">
      <c r="AD8571" s="16"/>
    </row>
    <row r="8572" spans="30:30" x14ac:dyDescent="0.3">
      <c r="AD8572" s="16"/>
    </row>
    <row r="8573" spans="30:30" x14ac:dyDescent="0.3">
      <c r="AD8573" s="16"/>
    </row>
    <row r="8574" spans="30:30" x14ac:dyDescent="0.3">
      <c r="AD8574" s="16"/>
    </row>
    <row r="8575" spans="30:30" x14ac:dyDescent="0.3">
      <c r="AD8575" s="16"/>
    </row>
    <row r="8576" spans="30:30" x14ac:dyDescent="0.3">
      <c r="AD8576" s="16"/>
    </row>
    <row r="8577" spans="30:30" x14ac:dyDescent="0.3">
      <c r="AD8577" s="16"/>
    </row>
    <row r="8578" spans="30:30" x14ac:dyDescent="0.3">
      <c r="AD8578" s="16"/>
    </row>
    <row r="8579" spans="30:30" x14ac:dyDescent="0.3">
      <c r="AD8579" s="16"/>
    </row>
    <row r="8580" spans="30:30" x14ac:dyDescent="0.3">
      <c r="AD8580" s="16"/>
    </row>
    <row r="8581" spans="30:30" x14ac:dyDescent="0.3">
      <c r="AD8581" s="16"/>
    </row>
    <row r="8582" spans="30:30" x14ac:dyDescent="0.3">
      <c r="AD8582" s="16"/>
    </row>
    <row r="8583" spans="30:30" x14ac:dyDescent="0.3">
      <c r="AD8583" s="16"/>
    </row>
    <row r="8584" spans="30:30" x14ac:dyDescent="0.3">
      <c r="AD8584" s="16"/>
    </row>
    <row r="8585" spans="30:30" x14ac:dyDescent="0.3">
      <c r="AD8585" s="16"/>
    </row>
    <row r="8586" spans="30:30" x14ac:dyDescent="0.3">
      <c r="AD8586" s="16"/>
    </row>
    <row r="8587" spans="30:30" x14ac:dyDescent="0.3">
      <c r="AD8587" s="16"/>
    </row>
    <row r="8588" spans="30:30" x14ac:dyDescent="0.3">
      <c r="AD8588" s="16"/>
    </row>
    <row r="8589" spans="30:30" x14ac:dyDescent="0.3">
      <c r="AD8589" s="16"/>
    </row>
    <row r="8590" spans="30:30" x14ac:dyDescent="0.3">
      <c r="AD8590" s="16"/>
    </row>
    <row r="8591" spans="30:30" x14ac:dyDescent="0.3">
      <c r="AD8591" s="16"/>
    </row>
    <row r="8592" spans="30:30" x14ac:dyDescent="0.3">
      <c r="AD8592" s="16"/>
    </row>
    <row r="8593" spans="30:30" x14ac:dyDescent="0.3">
      <c r="AD8593" s="16"/>
    </row>
    <row r="8594" spans="30:30" x14ac:dyDescent="0.3">
      <c r="AD8594" s="16"/>
    </row>
    <row r="8595" spans="30:30" x14ac:dyDescent="0.3">
      <c r="AD8595" s="16"/>
    </row>
    <row r="8596" spans="30:30" x14ac:dyDescent="0.3">
      <c r="AD8596" s="16"/>
    </row>
    <row r="8597" spans="30:30" x14ac:dyDescent="0.3">
      <c r="AD8597" s="16"/>
    </row>
    <row r="8598" spans="30:30" x14ac:dyDescent="0.3">
      <c r="AD8598" s="16"/>
    </row>
    <row r="8599" spans="30:30" x14ac:dyDescent="0.3">
      <c r="AD8599" s="16"/>
    </row>
    <row r="8600" spans="30:30" x14ac:dyDescent="0.3">
      <c r="AD8600" s="16"/>
    </row>
    <row r="8601" spans="30:30" x14ac:dyDescent="0.3">
      <c r="AD8601" s="16"/>
    </row>
    <row r="8602" spans="30:30" x14ac:dyDescent="0.3">
      <c r="AD8602" s="16"/>
    </row>
    <row r="8603" spans="30:30" x14ac:dyDescent="0.3">
      <c r="AD8603" s="16"/>
    </row>
    <row r="8604" spans="30:30" x14ac:dyDescent="0.3">
      <c r="AD8604" s="16"/>
    </row>
    <row r="8605" spans="30:30" x14ac:dyDescent="0.3">
      <c r="AD8605" s="16"/>
    </row>
    <row r="8606" spans="30:30" x14ac:dyDescent="0.3">
      <c r="AD8606" s="16"/>
    </row>
    <row r="8607" spans="30:30" x14ac:dyDescent="0.3">
      <c r="AD8607" s="16"/>
    </row>
    <row r="8608" spans="30:30" x14ac:dyDescent="0.3">
      <c r="AD8608" s="16"/>
    </row>
    <row r="8609" spans="30:30" x14ac:dyDescent="0.3">
      <c r="AD8609" s="16"/>
    </row>
    <row r="8610" spans="30:30" x14ac:dyDescent="0.3">
      <c r="AD8610" s="16"/>
    </row>
    <row r="8611" spans="30:30" x14ac:dyDescent="0.3">
      <c r="AD8611" s="16"/>
    </row>
    <row r="8612" spans="30:30" x14ac:dyDescent="0.3">
      <c r="AD8612" s="16"/>
    </row>
    <row r="8613" spans="30:30" x14ac:dyDescent="0.3">
      <c r="AD8613" s="16"/>
    </row>
    <row r="8614" spans="30:30" x14ac:dyDescent="0.3">
      <c r="AD8614" s="16"/>
    </row>
    <row r="8615" spans="30:30" x14ac:dyDescent="0.3">
      <c r="AD8615" s="16"/>
    </row>
    <row r="8616" spans="30:30" x14ac:dyDescent="0.3">
      <c r="AD8616" s="16"/>
    </row>
    <row r="8617" spans="30:30" x14ac:dyDescent="0.3">
      <c r="AD8617" s="16"/>
    </row>
    <row r="8618" spans="30:30" x14ac:dyDescent="0.3">
      <c r="AD8618" s="16"/>
    </row>
    <row r="8619" spans="30:30" x14ac:dyDescent="0.3">
      <c r="AD8619" s="16"/>
    </row>
    <row r="8620" spans="30:30" x14ac:dyDescent="0.3">
      <c r="AD8620" s="16"/>
    </row>
    <row r="8621" spans="30:30" x14ac:dyDescent="0.3">
      <c r="AD8621" s="16"/>
    </row>
    <row r="8622" spans="30:30" x14ac:dyDescent="0.3">
      <c r="AD8622" s="16"/>
    </row>
    <row r="8623" spans="30:30" x14ac:dyDescent="0.3">
      <c r="AD8623" s="16"/>
    </row>
    <row r="8624" spans="30:30" x14ac:dyDescent="0.3">
      <c r="AD8624" s="16"/>
    </row>
    <row r="8625" spans="30:30" x14ac:dyDescent="0.3">
      <c r="AD8625" s="16"/>
    </row>
    <row r="8626" spans="30:30" x14ac:dyDescent="0.3">
      <c r="AD8626" s="16"/>
    </row>
    <row r="8627" spans="30:30" x14ac:dyDescent="0.3">
      <c r="AD8627" s="16"/>
    </row>
    <row r="8628" spans="30:30" x14ac:dyDescent="0.3">
      <c r="AD8628" s="16"/>
    </row>
    <row r="8629" spans="30:30" x14ac:dyDescent="0.3">
      <c r="AD8629" s="16"/>
    </row>
    <row r="8630" spans="30:30" x14ac:dyDescent="0.3">
      <c r="AD8630" s="16"/>
    </row>
    <row r="8631" spans="30:30" x14ac:dyDescent="0.3">
      <c r="AD8631" s="16"/>
    </row>
    <row r="8632" spans="30:30" x14ac:dyDescent="0.3">
      <c r="AD8632" s="16"/>
    </row>
    <row r="8633" spans="30:30" x14ac:dyDescent="0.3">
      <c r="AD8633" s="16"/>
    </row>
    <row r="8634" spans="30:30" x14ac:dyDescent="0.3">
      <c r="AD8634" s="16"/>
    </row>
    <row r="8635" spans="30:30" x14ac:dyDescent="0.3">
      <c r="AD8635" s="16"/>
    </row>
    <row r="8636" spans="30:30" x14ac:dyDescent="0.3">
      <c r="AD8636" s="16"/>
    </row>
    <row r="8637" spans="30:30" x14ac:dyDescent="0.3">
      <c r="AD8637" s="16"/>
    </row>
    <row r="8638" spans="30:30" x14ac:dyDescent="0.3">
      <c r="AD8638" s="16"/>
    </row>
    <row r="8639" spans="30:30" x14ac:dyDescent="0.3">
      <c r="AD8639" s="16"/>
    </row>
    <row r="8640" spans="30:30" x14ac:dyDescent="0.3">
      <c r="AD8640" s="16"/>
    </row>
    <row r="8641" spans="30:30" x14ac:dyDescent="0.3">
      <c r="AD8641" s="16"/>
    </row>
    <row r="8642" spans="30:30" x14ac:dyDescent="0.3">
      <c r="AD8642" s="16"/>
    </row>
    <row r="8643" spans="30:30" x14ac:dyDescent="0.3">
      <c r="AD8643" s="16"/>
    </row>
    <row r="8644" spans="30:30" x14ac:dyDescent="0.3">
      <c r="AD8644" s="16"/>
    </row>
    <row r="8645" spans="30:30" x14ac:dyDescent="0.3">
      <c r="AD8645" s="16"/>
    </row>
    <row r="8646" spans="30:30" x14ac:dyDescent="0.3">
      <c r="AD8646" s="16"/>
    </row>
    <row r="8647" spans="30:30" x14ac:dyDescent="0.3">
      <c r="AD8647" s="16"/>
    </row>
    <row r="8648" spans="30:30" x14ac:dyDescent="0.3">
      <c r="AD8648" s="16"/>
    </row>
    <row r="8649" spans="30:30" x14ac:dyDescent="0.3">
      <c r="AD8649" s="16"/>
    </row>
    <row r="8650" spans="30:30" x14ac:dyDescent="0.3">
      <c r="AD8650" s="16"/>
    </row>
    <row r="8651" spans="30:30" x14ac:dyDescent="0.3">
      <c r="AD8651" s="16"/>
    </row>
    <row r="8652" spans="30:30" x14ac:dyDescent="0.3">
      <c r="AD8652" s="16"/>
    </row>
    <row r="8653" spans="30:30" x14ac:dyDescent="0.3">
      <c r="AD8653" s="16"/>
    </row>
    <row r="8654" spans="30:30" x14ac:dyDescent="0.3">
      <c r="AD8654" s="16"/>
    </row>
    <row r="8655" spans="30:30" x14ac:dyDescent="0.3">
      <c r="AD8655" s="16"/>
    </row>
    <row r="8656" spans="30:30" x14ac:dyDescent="0.3">
      <c r="AD8656" s="16"/>
    </row>
    <row r="8657" spans="30:30" x14ac:dyDescent="0.3">
      <c r="AD8657" s="16"/>
    </row>
    <row r="8658" spans="30:30" x14ac:dyDescent="0.3">
      <c r="AD8658" s="16"/>
    </row>
    <row r="8659" spans="30:30" x14ac:dyDescent="0.3">
      <c r="AD8659" s="16"/>
    </row>
    <row r="8660" spans="30:30" x14ac:dyDescent="0.3">
      <c r="AD8660" s="16"/>
    </row>
    <row r="8661" spans="30:30" x14ac:dyDescent="0.3">
      <c r="AD8661" s="16"/>
    </row>
    <row r="8662" spans="30:30" x14ac:dyDescent="0.3">
      <c r="AD8662" s="16"/>
    </row>
    <row r="8663" spans="30:30" x14ac:dyDescent="0.3">
      <c r="AD8663" s="16"/>
    </row>
    <row r="8664" spans="30:30" x14ac:dyDescent="0.3">
      <c r="AD8664" s="16"/>
    </row>
    <row r="8665" spans="30:30" x14ac:dyDescent="0.3">
      <c r="AD8665" s="16"/>
    </row>
    <row r="8666" spans="30:30" x14ac:dyDescent="0.3">
      <c r="AD8666" s="16"/>
    </row>
    <row r="8667" spans="30:30" x14ac:dyDescent="0.3">
      <c r="AD8667" s="16"/>
    </row>
    <row r="8668" spans="30:30" x14ac:dyDescent="0.3">
      <c r="AD8668" s="16"/>
    </row>
    <row r="8669" spans="30:30" x14ac:dyDescent="0.3">
      <c r="AD8669" s="16"/>
    </row>
    <row r="8670" spans="30:30" x14ac:dyDescent="0.3">
      <c r="AD8670" s="16"/>
    </row>
    <row r="8671" spans="30:30" x14ac:dyDescent="0.3">
      <c r="AD8671" s="16"/>
    </row>
    <row r="8672" spans="30:30" x14ac:dyDescent="0.3">
      <c r="AD8672" s="16"/>
    </row>
    <row r="8673" spans="30:30" x14ac:dyDescent="0.3">
      <c r="AD8673" s="16"/>
    </row>
    <row r="8674" spans="30:30" x14ac:dyDescent="0.3">
      <c r="AD8674" s="16"/>
    </row>
    <row r="8675" spans="30:30" x14ac:dyDescent="0.3">
      <c r="AD8675" s="16"/>
    </row>
    <row r="8676" spans="30:30" x14ac:dyDescent="0.3">
      <c r="AD8676" s="16"/>
    </row>
    <row r="8677" spans="30:30" x14ac:dyDescent="0.3">
      <c r="AD8677" s="16"/>
    </row>
    <row r="8678" spans="30:30" x14ac:dyDescent="0.3">
      <c r="AD8678" s="16"/>
    </row>
    <row r="8679" spans="30:30" x14ac:dyDescent="0.3">
      <c r="AD8679" s="16"/>
    </row>
    <row r="8680" spans="30:30" x14ac:dyDescent="0.3">
      <c r="AD8680" s="16"/>
    </row>
    <row r="8681" spans="30:30" x14ac:dyDescent="0.3">
      <c r="AD8681" s="16"/>
    </row>
    <row r="8682" spans="30:30" x14ac:dyDescent="0.3">
      <c r="AD8682" s="16"/>
    </row>
    <row r="8683" spans="30:30" x14ac:dyDescent="0.3">
      <c r="AD8683" s="16"/>
    </row>
    <row r="8684" spans="30:30" x14ac:dyDescent="0.3">
      <c r="AD8684" s="16"/>
    </row>
    <row r="8685" spans="30:30" x14ac:dyDescent="0.3">
      <c r="AD8685" s="16"/>
    </row>
    <row r="8686" spans="30:30" x14ac:dyDescent="0.3">
      <c r="AD8686" s="16"/>
    </row>
    <row r="8687" spans="30:30" x14ac:dyDescent="0.3">
      <c r="AD8687" s="16"/>
    </row>
    <row r="8688" spans="30:30" x14ac:dyDescent="0.3">
      <c r="AD8688" s="16"/>
    </row>
    <row r="8689" spans="30:30" x14ac:dyDescent="0.3">
      <c r="AD8689" s="16"/>
    </row>
    <row r="8690" spans="30:30" x14ac:dyDescent="0.3">
      <c r="AD8690" s="16"/>
    </row>
    <row r="8691" spans="30:30" x14ac:dyDescent="0.3">
      <c r="AD8691" s="16"/>
    </row>
    <row r="8692" spans="30:30" x14ac:dyDescent="0.3">
      <c r="AD8692" s="16"/>
    </row>
    <row r="8693" spans="30:30" x14ac:dyDescent="0.3">
      <c r="AD8693" s="16"/>
    </row>
    <row r="8694" spans="30:30" x14ac:dyDescent="0.3">
      <c r="AD8694" s="16"/>
    </row>
    <row r="8695" spans="30:30" x14ac:dyDescent="0.3">
      <c r="AD8695" s="16"/>
    </row>
    <row r="8696" spans="30:30" x14ac:dyDescent="0.3">
      <c r="AD8696" s="16"/>
    </row>
    <row r="8697" spans="30:30" x14ac:dyDescent="0.3">
      <c r="AD8697" s="16"/>
    </row>
    <row r="8698" spans="30:30" x14ac:dyDescent="0.3">
      <c r="AD8698" s="16"/>
    </row>
    <row r="8699" spans="30:30" x14ac:dyDescent="0.3">
      <c r="AD8699" s="16"/>
    </row>
    <row r="8700" spans="30:30" x14ac:dyDescent="0.3">
      <c r="AD8700" s="16"/>
    </row>
    <row r="8701" spans="30:30" x14ac:dyDescent="0.3">
      <c r="AD8701" s="16"/>
    </row>
    <row r="8702" spans="30:30" x14ac:dyDescent="0.3">
      <c r="AD8702" s="16"/>
    </row>
    <row r="8703" spans="30:30" x14ac:dyDescent="0.3">
      <c r="AD8703" s="16"/>
    </row>
    <row r="8704" spans="30:30" x14ac:dyDescent="0.3">
      <c r="AD8704" s="16"/>
    </row>
    <row r="8705" spans="30:30" x14ac:dyDescent="0.3">
      <c r="AD8705" s="16"/>
    </row>
    <row r="8706" spans="30:30" x14ac:dyDescent="0.3">
      <c r="AD8706" s="16"/>
    </row>
    <row r="8707" spans="30:30" x14ac:dyDescent="0.3">
      <c r="AD8707" s="16"/>
    </row>
    <row r="8708" spans="30:30" x14ac:dyDescent="0.3">
      <c r="AD8708" s="16"/>
    </row>
    <row r="8709" spans="30:30" x14ac:dyDescent="0.3">
      <c r="AD8709" s="16"/>
    </row>
    <row r="8710" spans="30:30" x14ac:dyDescent="0.3">
      <c r="AD8710" s="16"/>
    </row>
    <row r="8711" spans="30:30" x14ac:dyDescent="0.3">
      <c r="AD8711" s="16"/>
    </row>
    <row r="8712" spans="30:30" x14ac:dyDescent="0.3">
      <c r="AD8712" s="16"/>
    </row>
    <row r="8713" spans="30:30" x14ac:dyDescent="0.3">
      <c r="AD8713" s="16"/>
    </row>
    <row r="8714" spans="30:30" x14ac:dyDescent="0.3">
      <c r="AD8714" s="16"/>
    </row>
    <row r="8715" spans="30:30" x14ac:dyDescent="0.3">
      <c r="AD8715" s="16"/>
    </row>
    <row r="8716" spans="30:30" x14ac:dyDescent="0.3">
      <c r="AD8716" s="16"/>
    </row>
    <row r="8717" spans="30:30" x14ac:dyDescent="0.3">
      <c r="AD8717" s="16"/>
    </row>
    <row r="8718" spans="30:30" x14ac:dyDescent="0.3">
      <c r="AD8718" s="16"/>
    </row>
    <row r="8719" spans="30:30" x14ac:dyDescent="0.3">
      <c r="AD8719" s="16"/>
    </row>
    <row r="8720" spans="30:30" x14ac:dyDescent="0.3">
      <c r="AD8720" s="16"/>
    </row>
    <row r="8721" spans="30:30" x14ac:dyDescent="0.3">
      <c r="AD8721" s="16"/>
    </row>
    <row r="8722" spans="30:30" x14ac:dyDescent="0.3">
      <c r="AD8722" s="16"/>
    </row>
    <row r="8723" spans="30:30" x14ac:dyDescent="0.3">
      <c r="AD8723" s="16"/>
    </row>
    <row r="8724" spans="30:30" x14ac:dyDescent="0.3">
      <c r="AD8724" s="16"/>
    </row>
    <row r="8725" spans="30:30" x14ac:dyDescent="0.3">
      <c r="AD8725" s="16"/>
    </row>
    <row r="8726" spans="30:30" x14ac:dyDescent="0.3">
      <c r="AD8726" s="16"/>
    </row>
    <row r="8727" spans="30:30" x14ac:dyDescent="0.3">
      <c r="AD8727" s="16"/>
    </row>
    <row r="8728" spans="30:30" x14ac:dyDescent="0.3">
      <c r="AD8728" s="16"/>
    </row>
    <row r="8729" spans="30:30" x14ac:dyDescent="0.3">
      <c r="AD8729" s="16"/>
    </row>
    <row r="8730" spans="30:30" x14ac:dyDescent="0.3">
      <c r="AD8730" s="16"/>
    </row>
    <row r="8731" spans="30:30" x14ac:dyDescent="0.3">
      <c r="AD8731" s="16"/>
    </row>
    <row r="8732" spans="30:30" x14ac:dyDescent="0.3">
      <c r="AD8732" s="16"/>
    </row>
    <row r="8733" spans="30:30" x14ac:dyDescent="0.3">
      <c r="AD8733" s="16"/>
    </row>
    <row r="8734" spans="30:30" x14ac:dyDescent="0.3">
      <c r="AD8734" s="16"/>
    </row>
    <row r="8735" spans="30:30" x14ac:dyDescent="0.3">
      <c r="AD8735" s="16"/>
    </row>
    <row r="8736" spans="30:30" x14ac:dyDescent="0.3">
      <c r="AD8736" s="16"/>
    </row>
    <row r="8737" spans="30:30" x14ac:dyDescent="0.3">
      <c r="AD8737" s="16"/>
    </row>
    <row r="8738" spans="30:30" x14ac:dyDescent="0.3">
      <c r="AD8738" s="16"/>
    </row>
    <row r="8739" spans="30:30" x14ac:dyDescent="0.3">
      <c r="AD8739" s="16"/>
    </row>
    <row r="8740" spans="30:30" x14ac:dyDescent="0.3">
      <c r="AD8740" s="16"/>
    </row>
    <row r="8741" spans="30:30" x14ac:dyDescent="0.3">
      <c r="AD8741" s="16"/>
    </row>
    <row r="8742" spans="30:30" x14ac:dyDescent="0.3">
      <c r="AD8742" s="16"/>
    </row>
    <row r="8743" spans="30:30" x14ac:dyDescent="0.3">
      <c r="AD8743" s="16"/>
    </row>
    <row r="8744" spans="30:30" x14ac:dyDescent="0.3">
      <c r="AD8744" s="16"/>
    </row>
    <row r="8745" spans="30:30" x14ac:dyDescent="0.3">
      <c r="AD8745" s="16"/>
    </row>
    <row r="8746" spans="30:30" x14ac:dyDescent="0.3">
      <c r="AD8746" s="16"/>
    </row>
    <row r="8747" spans="30:30" x14ac:dyDescent="0.3">
      <c r="AD8747" s="16"/>
    </row>
    <row r="8748" spans="30:30" x14ac:dyDescent="0.3">
      <c r="AD8748" s="16"/>
    </row>
    <row r="8749" spans="30:30" x14ac:dyDescent="0.3">
      <c r="AD8749" s="16"/>
    </row>
    <row r="8750" spans="30:30" x14ac:dyDescent="0.3">
      <c r="AD8750" s="16"/>
    </row>
    <row r="8751" spans="30:30" x14ac:dyDescent="0.3">
      <c r="AD8751" s="16"/>
    </row>
    <row r="8752" spans="30:30" x14ac:dyDescent="0.3">
      <c r="AD8752" s="16"/>
    </row>
    <row r="8753" spans="30:30" x14ac:dyDescent="0.3">
      <c r="AD8753" s="16"/>
    </row>
    <row r="8754" spans="30:30" x14ac:dyDescent="0.3">
      <c r="AD8754" s="16"/>
    </row>
    <row r="8755" spans="30:30" x14ac:dyDescent="0.3">
      <c r="AD8755" s="16"/>
    </row>
    <row r="8756" spans="30:30" x14ac:dyDescent="0.3">
      <c r="AD8756" s="16"/>
    </row>
    <row r="8757" spans="30:30" x14ac:dyDescent="0.3">
      <c r="AD8757" s="16"/>
    </row>
    <row r="8758" spans="30:30" x14ac:dyDescent="0.3">
      <c r="AD8758" s="16"/>
    </row>
    <row r="8759" spans="30:30" x14ac:dyDescent="0.3">
      <c r="AD8759" s="16"/>
    </row>
    <row r="8760" spans="30:30" x14ac:dyDescent="0.3">
      <c r="AD8760" s="16"/>
    </row>
    <row r="8761" spans="30:30" x14ac:dyDescent="0.3">
      <c r="AD8761" s="16"/>
    </row>
    <row r="8762" spans="30:30" x14ac:dyDescent="0.3">
      <c r="AD8762" s="16"/>
    </row>
    <row r="8763" spans="30:30" x14ac:dyDescent="0.3">
      <c r="AD8763" s="16"/>
    </row>
    <row r="8764" spans="30:30" x14ac:dyDescent="0.3">
      <c r="AD8764" s="16"/>
    </row>
    <row r="8765" spans="30:30" x14ac:dyDescent="0.3">
      <c r="AD8765" s="16"/>
    </row>
    <row r="8766" spans="30:30" x14ac:dyDescent="0.3">
      <c r="AD8766" s="16"/>
    </row>
    <row r="8767" spans="30:30" x14ac:dyDescent="0.3">
      <c r="AD8767" s="16"/>
    </row>
    <row r="8768" spans="30:30" x14ac:dyDescent="0.3">
      <c r="AD8768" s="16"/>
    </row>
    <row r="8769" spans="30:30" x14ac:dyDescent="0.3">
      <c r="AD8769" s="16"/>
    </row>
    <row r="8770" spans="30:30" x14ac:dyDescent="0.3">
      <c r="AD8770" s="16"/>
    </row>
    <row r="8771" spans="30:30" x14ac:dyDescent="0.3">
      <c r="AD8771" s="16"/>
    </row>
    <row r="8772" spans="30:30" x14ac:dyDescent="0.3">
      <c r="AD8772" s="16"/>
    </row>
    <row r="8773" spans="30:30" x14ac:dyDescent="0.3">
      <c r="AD8773" s="16"/>
    </row>
    <row r="8774" spans="30:30" x14ac:dyDescent="0.3">
      <c r="AD8774" s="16"/>
    </row>
    <row r="8775" spans="30:30" x14ac:dyDescent="0.3">
      <c r="AD8775" s="16"/>
    </row>
    <row r="8776" spans="30:30" x14ac:dyDescent="0.3">
      <c r="AD8776" s="16"/>
    </row>
    <row r="8777" spans="30:30" x14ac:dyDescent="0.3">
      <c r="AD8777" s="16"/>
    </row>
    <row r="8778" spans="30:30" x14ac:dyDescent="0.3">
      <c r="AD8778" s="16"/>
    </row>
    <row r="8779" spans="30:30" x14ac:dyDescent="0.3">
      <c r="AD8779" s="16"/>
    </row>
    <row r="8780" spans="30:30" x14ac:dyDescent="0.3">
      <c r="AD8780" s="16"/>
    </row>
    <row r="8781" spans="30:30" x14ac:dyDescent="0.3">
      <c r="AD8781" s="16"/>
    </row>
    <row r="8782" spans="30:30" x14ac:dyDescent="0.3">
      <c r="AD8782" s="16"/>
    </row>
    <row r="8783" spans="30:30" x14ac:dyDescent="0.3">
      <c r="AD8783" s="16"/>
    </row>
    <row r="8784" spans="30:30" x14ac:dyDescent="0.3">
      <c r="AD8784" s="16"/>
    </row>
    <row r="8785" spans="30:30" x14ac:dyDescent="0.3">
      <c r="AD8785" s="16"/>
    </row>
    <row r="8786" spans="30:30" x14ac:dyDescent="0.3">
      <c r="AD8786" s="16"/>
    </row>
    <row r="8787" spans="30:30" x14ac:dyDescent="0.3">
      <c r="AD8787" s="16"/>
    </row>
    <row r="8788" spans="30:30" x14ac:dyDescent="0.3">
      <c r="AD8788" s="16"/>
    </row>
    <row r="8789" spans="30:30" x14ac:dyDescent="0.3">
      <c r="AD8789" s="16"/>
    </row>
    <row r="8790" spans="30:30" x14ac:dyDescent="0.3">
      <c r="AD8790" s="16"/>
    </row>
    <row r="8791" spans="30:30" x14ac:dyDescent="0.3">
      <c r="AD8791" s="16"/>
    </row>
    <row r="8792" spans="30:30" x14ac:dyDescent="0.3">
      <c r="AD8792" s="16"/>
    </row>
    <row r="8793" spans="30:30" x14ac:dyDescent="0.3">
      <c r="AD8793" s="16"/>
    </row>
    <row r="8794" spans="30:30" x14ac:dyDescent="0.3">
      <c r="AD8794" s="16"/>
    </row>
    <row r="8795" spans="30:30" x14ac:dyDescent="0.3">
      <c r="AD8795" s="16"/>
    </row>
    <row r="8796" spans="30:30" x14ac:dyDescent="0.3">
      <c r="AD8796" s="16"/>
    </row>
    <row r="8797" spans="30:30" x14ac:dyDescent="0.3">
      <c r="AD8797" s="16"/>
    </row>
    <row r="8798" spans="30:30" x14ac:dyDescent="0.3">
      <c r="AD8798" s="16"/>
    </row>
    <row r="8799" spans="30:30" x14ac:dyDescent="0.3">
      <c r="AD8799" s="16"/>
    </row>
    <row r="8800" spans="30:30" x14ac:dyDescent="0.3">
      <c r="AD8800" s="16"/>
    </row>
    <row r="8801" spans="30:30" x14ac:dyDescent="0.3">
      <c r="AD8801" s="16"/>
    </row>
    <row r="8802" spans="30:30" x14ac:dyDescent="0.3">
      <c r="AD8802" s="16"/>
    </row>
    <row r="8803" spans="30:30" x14ac:dyDescent="0.3">
      <c r="AD8803" s="16"/>
    </row>
    <row r="8804" spans="30:30" x14ac:dyDescent="0.3">
      <c r="AD8804" s="16"/>
    </row>
    <row r="8805" spans="30:30" x14ac:dyDescent="0.3">
      <c r="AD8805" s="16"/>
    </row>
    <row r="8806" spans="30:30" x14ac:dyDescent="0.3">
      <c r="AD8806" s="16"/>
    </row>
    <row r="8807" spans="30:30" x14ac:dyDescent="0.3">
      <c r="AD8807" s="16"/>
    </row>
    <row r="8808" spans="30:30" x14ac:dyDescent="0.3">
      <c r="AD8808" s="16"/>
    </row>
    <row r="8809" spans="30:30" x14ac:dyDescent="0.3">
      <c r="AD8809" s="16"/>
    </row>
    <row r="8810" spans="30:30" x14ac:dyDescent="0.3">
      <c r="AD8810" s="16"/>
    </row>
    <row r="8811" spans="30:30" x14ac:dyDescent="0.3">
      <c r="AD8811" s="16"/>
    </row>
    <row r="8812" spans="30:30" x14ac:dyDescent="0.3">
      <c r="AD8812" s="16"/>
    </row>
    <row r="8813" spans="30:30" x14ac:dyDescent="0.3">
      <c r="AD8813" s="16"/>
    </row>
    <row r="8814" spans="30:30" x14ac:dyDescent="0.3">
      <c r="AD8814" s="16"/>
    </row>
    <row r="8815" spans="30:30" x14ac:dyDescent="0.3">
      <c r="AD8815" s="16"/>
    </row>
    <row r="8816" spans="30:30" x14ac:dyDescent="0.3">
      <c r="AD8816" s="16"/>
    </row>
    <row r="8817" spans="30:30" x14ac:dyDescent="0.3">
      <c r="AD8817" s="16"/>
    </row>
    <row r="8818" spans="30:30" x14ac:dyDescent="0.3">
      <c r="AD8818" s="16"/>
    </row>
    <row r="8819" spans="30:30" x14ac:dyDescent="0.3">
      <c r="AD8819" s="16"/>
    </row>
    <row r="8820" spans="30:30" x14ac:dyDescent="0.3">
      <c r="AD8820" s="16"/>
    </row>
    <row r="8821" spans="30:30" x14ac:dyDescent="0.3">
      <c r="AD8821" s="16"/>
    </row>
    <row r="8822" spans="30:30" x14ac:dyDescent="0.3">
      <c r="AD8822" s="16"/>
    </row>
    <row r="8823" spans="30:30" x14ac:dyDescent="0.3">
      <c r="AD8823" s="16"/>
    </row>
    <row r="8824" spans="30:30" x14ac:dyDescent="0.3">
      <c r="AD8824" s="16"/>
    </row>
    <row r="8825" spans="30:30" x14ac:dyDescent="0.3">
      <c r="AD8825" s="16"/>
    </row>
    <row r="8826" spans="30:30" x14ac:dyDescent="0.3">
      <c r="AD8826" s="16"/>
    </row>
    <row r="8827" spans="30:30" x14ac:dyDescent="0.3">
      <c r="AD8827" s="16"/>
    </row>
    <row r="8828" spans="30:30" x14ac:dyDescent="0.3">
      <c r="AD8828" s="16"/>
    </row>
    <row r="8829" spans="30:30" x14ac:dyDescent="0.3">
      <c r="AD8829" s="16"/>
    </row>
    <row r="8830" spans="30:30" x14ac:dyDescent="0.3">
      <c r="AD8830" s="16"/>
    </row>
    <row r="8831" spans="30:30" x14ac:dyDescent="0.3">
      <c r="AD8831" s="16"/>
    </row>
    <row r="8832" spans="30:30" x14ac:dyDescent="0.3">
      <c r="AD8832" s="16"/>
    </row>
    <row r="8833" spans="30:30" x14ac:dyDescent="0.3">
      <c r="AD8833" s="16"/>
    </row>
    <row r="8834" spans="30:30" x14ac:dyDescent="0.3">
      <c r="AD8834" s="16"/>
    </row>
    <row r="8835" spans="30:30" x14ac:dyDescent="0.3">
      <c r="AD8835" s="16"/>
    </row>
    <row r="8836" spans="30:30" x14ac:dyDescent="0.3">
      <c r="AD8836" s="16"/>
    </row>
    <row r="8837" spans="30:30" x14ac:dyDescent="0.3">
      <c r="AD8837" s="16"/>
    </row>
    <row r="8838" spans="30:30" x14ac:dyDescent="0.3">
      <c r="AD8838" s="16"/>
    </row>
    <row r="8839" spans="30:30" x14ac:dyDescent="0.3">
      <c r="AD8839" s="16"/>
    </row>
    <row r="8840" spans="30:30" x14ac:dyDescent="0.3">
      <c r="AD8840" s="16"/>
    </row>
    <row r="8841" spans="30:30" x14ac:dyDescent="0.3">
      <c r="AD8841" s="16"/>
    </row>
    <row r="8842" spans="30:30" x14ac:dyDescent="0.3">
      <c r="AD8842" s="16"/>
    </row>
    <row r="8843" spans="30:30" x14ac:dyDescent="0.3">
      <c r="AD8843" s="16"/>
    </row>
    <row r="8844" spans="30:30" x14ac:dyDescent="0.3">
      <c r="AD8844" s="16"/>
    </row>
    <row r="8845" spans="30:30" x14ac:dyDescent="0.3">
      <c r="AD8845" s="16"/>
    </row>
    <row r="8846" spans="30:30" x14ac:dyDescent="0.3">
      <c r="AD8846" s="16"/>
    </row>
    <row r="8847" spans="30:30" x14ac:dyDescent="0.3">
      <c r="AD8847" s="16"/>
    </row>
    <row r="8848" spans="30:30" x14ac:dyDescent="0.3">
      <c r="AD8848" s="16"/>
    </row>
    <row r="8849" spans="30:30" x14ac:dyDescent="0.3">
      <c r="AD8849" s="16"/>
    </row>
    <row r="8850" spans="30:30" x14ac:dyDescent="0.3">
      <c r="AD8850" s="16"/>
    </row>
    <row r="8851" spans="30:30" x14ac:dyDescent="0.3">
      <c r="AD8851" s="16"/>
    </row>
    <row r="8852" spans="30:30" x14ac:dyDescent="0.3">
      <c r="AD8852" s="16"/>
    </row>
    <row r="8853" spans="30:30" x14ac:dyDescent="0.3">
      <c r="AD8853" s="16"/>
    </row>
    <row r="8854" spans="30:30" x14ac:dyDescent="0.3">
      <c r="AD8854" s="16"/>
    </row>
    <row r="8855" spans="30:30" x14ac:dyDescent="0.3">
      <c r="AD8855" s="16"/>
    </row>
    <row r="8856" spans="30:30" x14ac:dyDescent="0.3">
      <c r="AD8856" s="16"/>
    </row>
    <row r="8857" spans="30:30" x14ac:dyDescent="0.3">
      <c r="AD8857" s="16"/>
    </row>
    <row r="8858" spans="30:30" x14ac:dyDescent="0.3">
      <c r="AD8858" s="16"/>
    </row>
    <row r="8859" spans="30:30" x14ac:dyDescent="0.3">
      <c r="AD8859" s="16"/>
    </row>
    <row r="8860" spans="30:30" x14ac:dyDescent="0.3">
      <c r="AD8860" s="16"/>
    </row>
    <row r="8861" spans="30:30" x14ac:dyDescent="0.3">
      <c r="AD8861" s="16"/>
    </row>
    <row r="8862" spans="30:30" x14ac:dyDescent="0.3">
      <c r="AD8862" s="16"/>
    </row>
    <row r="8863" spans="30:30" x14ac:dyDescent="0.3">
      <c r="AD8863" s="16"/>
    </row>
    <row r="8864" spans="30:30" x14ac:dyDescent="0.3">
      <c r="AD8864" s="16"/>
    </row>
    <row r="8865" spans="30:30" x14ac:dyDescent="0.3">
      <c r="AD8865" s="16"/>
    </row>
    <row r="8866" spans="30:30" x14ac:dyDescent="0.3">
      <c r="AD8866" s="16"/>
    </row>
    <row r="8867" spans="30:30" x14ac:dyDescent="0.3">
      <c r="AD8867" s="16"/>
    </row>
    <row r="8868" spans="30:30" x14ac:dyDescent="0.3">
      <c r="AD8868" s="16"/>
    </row>
    <row r="8869" spans="30:30" x14ac:dyDescent="0.3">
      <c r="AD8869" s="16"/>
    </row>
    <row r="8870" spans="30:30" x14ac:dyDescent="0.3">
      <c r="AD8870" s="16"/>
    </row>
    <row r="8871" spans="30:30" x14ac:dyDescent="0.3">
      <c r="AD8871" s="16"/>
    </row>
    <row r="8872" spans="30:30" x14ac:dyDescent="0.3">
      <c r="AD8872" s="16"/>
    </row>
    <row r="8873" spans="30:30" x14ac:dyDescent="0.3">
      <c r="AD8873" s="16"/>
    </row>
    <row r="8874" spans="30:30" x14ac:dyDescent="0.3">
      <c r="AD8874" s="16"/>
    </row>
    <row r="8875" spans="30:30" x14ac:dyDescent="0.3">
      <c r="AD8875" s="16"/>
    </row>
    <row r="8876" spans="30:30" x14ac:dyDescent="0.3">
      <c r="AD8876" s="16"/>
    </row>
    <row r="8877" spans="30:30" x14ac:dyDescent="0.3">
      <c r="AD8877" s="16"/>
    </row>
    <row r="8878" spans="30:30" x14ac:dyDescent="0.3">
      <c r="AD8878" s="16"/>
    </row>
    <row r="8879" spans="30:30" x14ac:dyDescent="0.3">
      <c r="AD8879" s="16"/>
    </row>
    <row r="8880" spans="30:30" x14ac:dyDescent="0.3">
      <c r="AD8880" s="16"/>
    </row>
    <row r="8881" spans="30:30" x14ac:dyDescent="0.3">
      <c r="AD8881" s="16"/>
    </row>
    <row r="8882" spans="30:30" x14ac:dyDescent="0.3">
      <c r="AD8882" s="16"/>
    </row>
    <row r="8883" spans="30:30" x14ac:dyDescent="0.3">
      <c r="AD8883" s="16"/>
    </row>
    <row r="8884" spans="30:30" x14ac:dyDescent="0.3">
      <c r="AD8884" s="16"/>
    </row>
    <row r="8885" spans="30:30" x14ac:dyDescent="0.3">
      <c r="AD8885" s="16"/>
    </row>
    <row r="8886" spans="30:30" x14ac:dyDescent="0.3">
      <c r="AD8886" s="16"/>
    </row>
    <row r="8887" spans="30:30" x14ac:dyDescent="0.3">
      <c r="AD8887" s="16"/>
    </row>
    <row r="8888" spans="30:30" x14ac:dyDescent="0.3">
      <c r="AD8888" s="16"/>
    </row>
    <row r="8889" spans="30:30" x14ac:dyDescent="0.3">
      <c r="AD8889" s="16"/>
    </row>
    <row r="8890" spans="30:30" x14ac:dyDescent="0.3">
      <c r="AD8890" s="16"/>
    </row>
    <row r="8891" spans="30:30" x14ac:dyDescent="0.3">
      <c r="AD8891" s="16"/>
    </row>
    <row r="8892" spans="30:30" x14ac:dyDescent="0.3">
      <c r="AD8892" s="16"/>
    </row>
    <row r="8893" spans="30:30" x14ac:dyDescent="0.3">
      <c r="AD8893" s="16"/>
    </row>
    <row r="8894" spans="30:30" x14ac:dyDescent="0.3">
      <c r="AD8894" s="16"/>
    </row>
    <row r="8895" spans="30:30" x14ac:dyDescent="0.3">
      <c r="AD8895" s="16"/>
    </row>
    <row r="8896" spans="30:30" x14ac:dyDescent="0.3">
      <c r="AD8896" s="16"/>
    </row>
    <row r="8897" spans="30:30" x14ac:dyDescent="0.3">
      <c r="AD8897" s="16"/>
    </row>
    <row r="8898" spans="30:30" x14ac:dyDescent="0.3">
      <c r="AD8898" s="16"/>
    </row>
    <row r="8899" spans="30:30" x14ac:dyDescent="0.3">
      <c r="AD8899" s="16"/>
    </row>
    <row r="8900" spans="30:30" x14ac:dyDescent="0.3">
      <c r="AD8900" s="16"/>
    </row>
    <row r="8901" spans="30:30" x14ac:dyDescent="0.3">
      <c r="AD8901" s="16"/>
    </row>
    <row r="8902" spans="30:30" x14ac:dyDescent="0.3">
      <c r="AD8902" s="16"/>
    </row>
    <row r="8903" spans="30:30" x14ac:dyDescent="0.3">
      <c r="AD8903" s="16"/>
    </row>
    <row r="8904" spans="30:30" x14ac:dyDescent="0.3">
      <c r="AD8904" s="16"/>
    </row>
    <row r="8905" spans="30:30" x14ac:dyDescent="0.3">
      <c r="AD8905" s="16"/>
    </row>
    <row r="8906" spans="30:30" x14ac:dyDescent="0.3">
      <c r="AD8906" s="16"/>
    </row>
    <row r="8907" spans="30:30" x14ac:dyDescent="0.3">
      <c r="AD8907" s="16"/>
    </row>
    <row r="8908" spans="30:30" x14ac:dyDescent="0.3">
      <c r="AD8908" s="16"/>
    </row>
    <row r="8909" spans="30:30" x14ac:dyDescent="0.3">
      <c r="AD8909" s="16"/>
    </row>
    <row r="8910" spans="30:30" x14ac:dyDescent="0.3">
      <c r="AD8910" s="16"/>
    </row>
    <row r="8911" spans="30:30" x14ac:dyDescent="0.3">
      <c r="AD8911" s="16"/>
    </row>
    <row r="8912" spans="30:30" x14ac:dyDescent="0.3">
      <c r="AD8912" s="16"/>
    </row>
    <row r="8913" spans="30:30" x14ac:dyDescent="0.3">
      <c r="AD8913" s="16"/>
    </row>
    <row r="8914" spans="30:30" x14ac:dyDescent="0.3">
      <c r="AD8914" s="16"/>
    </row>
    <row r="8915" spans="30:30" x14ac:dyDescent="0.3">
      <c r="AD8915" s="16"/>
    </row>
    <row r="8916" spans="30:30" x14ac:dyDescent="0.3">
      <c r="AD8916" s="16"/>
    </row>
    <row r="8917" spans="30:30" x14ac:dyDescent="0.3">
      <c r="AD8917" s="16"/>
    </row>
    <row r="8918" spans="30:30" x14ac:dyDescent="0.3">
      <c r="AD8918" s="16"/>
    </row>
    <row r="8919" spans="30:30" x14ac:dyDescent="0.3">
      <c r="AD8919" s="16"/>
    </row>
    <row r="8920" spans="30:30" x14ac:dyDescent="0.3">
      <c r="AD8920" s="16"/>
    </row>
    <row r="8921" spans="30:30" x14ac:dyDescent="0.3">
      <c r="AD8921" s="16"/>
    </row>
    <row r="8922" spans="30:30" x14ac:dyDescent="0.3">
      <c r="AD8922" s="16"/>
    </row>
    <row r="8923" spans="30:30" x14ac:dyDescent="0.3">
      <c r="AD8923" s="16"/>
    </row>
    <row r="8924" spans="30:30" x14ac:dyDescent="0.3">
      <c r="AD8924" s="16"/>
    </row>
    <row r="8925" spans="30:30" x14ac:dyDescent="0.3">
      <c r="AD8925" s="16"/>
    </row>
    <row r="8926" spans="30:30" x14ac:dyDescent="0.3">
      <c r="AD8926" s="16"/>
    </row>
    <row r="8927" spans="30:30" x14ac:dyDescent="0.3">
      <c r="AD8927" s="16"/>
    </row>
    <row r="8928" spans="30:30" x14ac:dyDescent="0.3">
      <c r="AD8928" s="16"/>
    </row>
    <row r="8929" spans="30:30" x14ac:dyDescent="0.3">
      <c r="AD8929" s="16"/>
    </row>
    <row r="8930" spans="30:30" x14ac:dyDescent="0.3">
      <c r="AD8930" s="16"/>
    </row>
    <row r="8931" spans="30:30" x14ac:dyDescent="0.3">
      <c r="AD8931" s="16"/>
    </row>
    <row r="8932" spans="30:30" x14ac:dyDescent="0.3">
      <c r="AD8932" s="16"/>
    </row>
    <row r="8933" spans="30:30" x14ac:dyDescent="0.3">
      <c r="AD8933" s="16"/>
    </row>
    <row r="8934" spans="30:30" x14ac:dyDescent="0.3">
      <c r="AD8934" s="16"/>
    </row>
    <row r="8935" spans="30:30" x14ac:dyDescent="0.3">
      <c r="AD8935" s="16"/>
    </row>
    <row r="8936" spans="30:30" x14ac:dyDescent="0.3">
      <c r="AD8936" s="16"/>
    </row>
    <row r="8937" spans="30:30" x14ac:dyDescent="0.3">
      <c r="AD8937" s="16"/>
    </row>
    <row r="8938" spans="30:30" x14ac:dyDescent="0.3">
      <c r="AD8938" s="16"/>
    </row>
    <row r="8939" spans="30:30" x14ac:dyDescent="0.3">
      <c r="AD8939" s="16"/>
    </row>
    <row r="8940" spans="30:30" x14ac:dyDescent="0.3">
      <c r="AD8940" s="16"/>
    </row>
    <row r="8941" spans="30:30" x14ac:dyDescent="0.3">
      <c r="AD8941" s="16"/>
    </row>
    <row r="8942" spans="30:30" x14ac:dyDescent="0.3">
      <c r="AD8942" s="16"/>
    </row>
    <row r="8943" spans="30:30" x14ac:dyDescent="0.3">
      <c r="AD8943" s="16"/>
    </row>
    <row r="8944" spans="30:30" x14ac:dyDescent="0.3">
      <c r="AD8944" s="16"/>
    </row>
    <row r="8945" spans="30:30" x14ac:dyDescent="0.3">
      <c r="AD8945" s="16"/>
    </row>
    <row r="8946" spans="30:30" x14ac:dyDescent="0.3">
      <c r="AD8946" s="16"/>
    </row>
    <row r="8947" spans="30:30" x14ac:dyDescent="0.3">
      <c r="AD8947" s="16"/>
    </row>
    <row r="8948" spans="30:30" x14ac:dyDescent="0.3">
      <c r="AD8948" s="16"/>
    </row>
    <row r="8949" spans="30:30" x14ac:dyDescent="0.3">
      <c r="AD8949" s="16"/>
    </row>
    <row r="8950" spans="30:30" x14ac:dyDescent="0.3">
      <c r="AD8950" s="16"/>
    </row>
    <row r="8951" spans="30:30" x14ac:dyDescent="0.3">
      <c r="AD8951" s="16"/>
    </row>
    <row r="8952" spans="30:30" x14ac:dyDescent="0.3">
      <c r="AD8952" s="16"/>
    </row>
    <row r="8953" spans="30:30" x14ac:dyDescent="0.3">
      <c r="AD8953" s="16"/>
    </row>
    <row r="8954" spans="30:30" x14ac:dyDescent="0.3">
      <c r="AD8954" s="16"/>
    </row>
    <row r="8955" spans="30:30" x14ac:dyDescent="0.3">
      <c r="AD8955" s="16"/>
    </row>
    <row r="8956" spans="30:30" x14ac:dyDescent="0.3">
      <c r="AD8956" s="16"/>
    </row>
    <row r="8957" spans="30:30" x14ac:dyDescent="0.3">
      <c r="AD8957" s="16"/>
    </row>
    <row r="8958" spans="30:30" x14ac:dyDescent="0.3">
      <c r="AD8958" s="16"/>
    </row>
    <row r="8959" spans="30:30" x14ac:dyDescent="0.3">
      <c r="AD8959" s="16"/>
    </row>
    <row r="8960" spans="30:30" x14ac:dyDescent="0.3">
      <c r="AD8960" s="16"/>
    </row>
    <row r="8961" spans="30:30" x14ac:dyDescent="0.3">
      <c r="AD8961" s="16"/>
    </row>
    <row r="8962" spans="30:30" x14ac:dyDescent="0.3">
      <c r="AD8962" s="16"/>
    </row>
    <row r="8963" spans="30:30" x14ac:dyDescent="0.3">
      <c r="AD8963" s="16"/>
    </row>
    <row r="8964" spans="30:30" x14ac:dyDescent="0.3">
      <c r="AD8964" s="16"/>
    </row>
    <row r="8965" spans="30:30" x14ac:dyDescent="0.3">
      <c r="AD8965" s="16"/>
    </row>
    <row r="8966" spans="30:30" x14ac:dyDescent="0.3">
      <c r="AD8966" s="16"/>
    </row>
    <row r="8967" spans="30:30" x14ac:dyDescent="0.3">
      <c r="AD8967" s="16"/>
    </row>
    <row r="8968" spans="30:30" x14ac:dyDescent="0.3">
      <c r="AD8968" s="16"/>
    </row>
    <row r="8969" spans="30:30" x14ac:dyDescent="0.3">
      <c r="AD8969" s="16"/>
    </row>
    <row r="8970" spans="30:30" x14ac:dyDescent="0.3">
      <c r="AD8970" s="16"/>
    </row>
    <row r="8971" spans="30:30" x14ac:dyDescent="0.3">
      <c r="AD8971" s="16"/>
    </row>
    <row r="8972" spans="30:30" x14ac:dyDescent="0.3">
      <c r="AD8972" s="16"/>
    </row>
    <row r="8973" spans="30:30" x14ac:dyDescent="0.3">
      <c r="AD8973" s="16"/>
    </row>
    <row r="8974" spans="30:30" x14ac:dyDescent="0.3">
      <c r="AD8974" s="16"/>
    </row>
    <row r="8975" spans="30:30" x14ac:dyDescent="0.3">
      <c r="AD8975" s="16"/>
    </row>
    <row r="8976" spans="30:30" x14ac:dyDescent="0.3">
      <c r="AD8976" s="16"/>
    </row>
    <row r="8977" spans="30:30" x14ac:dyDescent="0.3">
      <c r="AD8977" s="16"/>
    </row>
    <row r="8978" spans="30:30" x14ac:dyDescent="0.3">
      <c r="AD8978" s="16"/>
    </row>
    <row r="8979" spans="30:30" x14ac:dyDescent="0.3">
      <c r="AD8979" s="16"/>
    </row>
    <row r="8980" spans="30:30" x14ac:dyDescent="0.3">
      <c r="AD8980" s="16"/>
    </row>
    <row r="8981" spans="30:30" x14ac:dyDescent="0.3">
      <c r="AD8981" s="16"/>
    </row>
    <row r="8982" spans="30:30" x14ac:dyDescent="0.3">
      <c r="AD8982" s="16"/>
    </row>
    <row r="8983" spans="30:30" x14ac:dyDescent="0.3">
      <c r="AD8983" s="16"/>
    </row>
    <row r="8984" spans="30:30" x14ac:dyDescent="0.3">
      <c r="AD8984" s="16"/>
    </row>
    <row r="8985" spans="30:30" x14ac:dyDescent="0.3">
      <c r="AD8985" s="16"/>
    </row>
    <row r="8986" spans="30:30" x14ac:dyDescent="0.3">
      <c r="AD8986" s="16"/>
    </row>
    <row r="8987" spans="30:30" x14ac:dyDescent="0.3">
      <c r="AD8987" s="16"/>
    </row>
    <row r="8988" spans="30:30" x14ac:dyDescent="0.3">
      <c r="AD8988" s="16"/>
    </row>
    <row r="8989" spans="30:30" x14ac:dyDescent="0.3">
      <c r="AD8989" s="16"/>
    </row>
    <row r="8990" spans="30:30" x14ac:dyDescent="0.3">
      <c r="AD8990" s="16"/>
    </row>
    <row r="8991" spans="30:30" x14ac:dyDescent="0.3">
      <c r="AD8991" s="16"/>
    </row>
    <row r="8992" spans="30:30" x14ac:dyDescent="0.3">
      <c r="AD8992" s="16"/>
    </row>
    <row r="8993" spans="30:30" x14ac:dyDescent="0.3">
      <c r="AD8993" s="16"/>
    </row>
    <row r="8994" spans="30:30" x14ac:dyDescent="0.3">
      <c r="AD8994" s="16"/>
    </row>
    <row r="8995" spans="30:30" x14ac:dyDescent="0.3">
      <c r="AD8995" s="16"/>
    </row>
    <row r="8996" spans="30:30" x14ac:dyDescent="0.3">
      <c r="AD8996" s="16"/>
    </row>
    <row r="8997" spans="30:30" x14ac:dyDescent="0.3">
      <c r="AD8997" s="16"/>
    </row>
    <row r="8998" spans="30:30" x14ac:dyDescent="0.3">
      <c r="AD8998" s="16"/>
    </row>
    <row r="8999" spans="30:30" x14ac:dyDescent="0.3">
      <c r="AD8999" s="16"/>
    </row>
    <row r="9000" spans="30:30" x14ac:dyDescent="0.3">
      <c r="AD9000" s="16"/>
    </row>
    <row r="9001" spans="30:30" x14ac:dyDescent="0.3">
      <c r="AD9001" s="16"/>
    </row>
    <row r="9002" spans="30:30" x14ac:dyDescent="0.3">
      <c r="AD9002" s="16"/>
    </row>
    <row r="9003" spans="30:30" x14ac:dyDescent="0.3">
      <c r="AD9003" s="16"/>
    </row>
    <row r="9004" spans="30:30" x14ac:dyDescent="0.3">
      <c r="AD9004" s="16"/>
    </row>
    <row r="9005" spans="30:30" x14ac:dyDescent="0.3">
      <c r="AD9005" s="16"/>
    </row>
    <row r="9006" spans="30:30" x14ac:dyDescent="0.3">
      <c r="AD9006" s="16"/>
    </row>
    <row r="9007" spans="30:30" x14ac:dyDescent="0.3">
      <c r="AD9007" s="16"/>
    </row>
    <row r="9008" spans="30:30" x14ac:dyDescent="0.3">
      <c r="AD9008" s="16"/>
    </row>
    <row r="9009" spans="30:30" x14ac:dyDescent="0.3">
      <c r="AD9009" s="16"/>
    </row>
    <row r="9010" spans="30:30" x14ac:dyDescent="0.3">
      <c r="AD9010" s="16"/>
    </row>
    <row r="9011" spans="30:30" x14ac:dyDescent="0.3">
      <c r="AD9011" s="16"/>
    </row>
    <row r="9012" spans="30:30" x14ac:dyDescent="0.3">
      <c r="AD9012" s="16"/>
    </row>
    <row r="9013" spans="30:30" x14ac:dyDescent="0.3">
      <c r="AD9013" s="16"/>
    </row>
    <row r="9014" spans="30:30" x14ac:dyDescent="0.3">
      <c r="AD9014" s="16"/>
    </row>
    <row r="9015" spans="30:30" x14ac:dyDescent="0.3">
      <c r="AD9015" s="16"/>
    </row>
    <row r="9016" spans="30:30" x14ac:dyDescent="0.3">
      <c r="AD9016" s="16"/>
    </row>
    <row r="9017" spans="30:30" x14ac:dyDescent="0.3">
      <c r="AD9017" s="16"/>
    </row>
    <row r="9018" spans="30:30" x14ac:dyDescent="0.3">
      <c r="AD9018" s="16"/>
    </row>
    <row r="9019" spans="30:30" x14ac:dyDescent="0.3">
      <c r="AD9019" s="16"/>
    </row>
    <row r="9020" spans="30:30" x14ac:dyDescent="0.3">
      <c r="AD9020" s="16"/>
    </row>
    <row r="9021" spans="30:30" x14ac:dyDescent="0.3">
      <c r="AD9021" s="16"/>
    </row>
    <row r="9022" spans="30:30" x14ac:dyDescent="0.3">
      <c r="AD9022" s="16"/>
    </row>
    <row r="9023" spans="30:30" x14ac:dyDescent="0.3">
      <c r="AD9023" s="16"/>
    </row>
    <row r="9024" spans="30:30" x14ac:dyDescent="0.3">
      <c r="AD9024" s="16"/>
    </row>
    <row r="9025" spans="30:30" x14ac:dyDescent="0.3">
      <c r="AD9025" s="16"/>
    </row>
    <row r="9026" spans="30:30" x14ac:dyDescent="0.3">
      <c r="AD9026" s="16"/>
    </row>
    <row r="9027" spans="30:30" x14ac:dyDescent="0.3">
      <c r="AD9027" s="16"/>
    </row>
    <row r="9028" spans="30:30" x14ac:dyDescent="0.3">
      <c r="AD9028" s="16"/>
    </row>
    <row r="9029" spans="30:30" x14ac:dyDescent="0.3">
      <c r="AD9029" s="16"/>
    </row>
    <row r="9030" spans="30:30" x14ac:dyDescent="0.3">
      <c r="AD9030" s="16"/>
    </row>
    <row r="9031" spans="30:30" x14ac:dyDescent="0.3">
      <c r="AD9031" s="16"/>
    </row>
    <row r="9032" spans="30:30" x14ac:dyDescent="0.3">
      <c r="AD9032" s="16"/>
    </row>
    <row r="9033" spans="30:30" x14ac:dyDescent="0.3">
      <c r="AD9033" s="16"/>
    </row>
    <row r="9034" spans="30:30" x14ac:dyDescent="0.3">
      <c r="AD9034" s="16"/>
    </row>
    <row r="9035" spans="30:30" x14ac:dyDescent="0.3">
      <c r="AD9035" s="16"/>
    </row>
    <row r="9036" spans="30:30" x14ac:dyDescent="0.3">
      <c r="AD9036" s="16"/>
    </row>
    <row r="9037" spans="30:30" x14ac:dyDescent="0.3">
      <c r="AD9037" s="16"/>
    </row>
    <row r="9038" spans="30:30" x14ac:dyDescent="0.3">
      <c r="AD9038" s="16"/>
    </row>
    <row r="9039" spans="30:30" x14ac:dyDescent="0.3">
      <c r="AD9039" s="16"/>
    </row>
    <row r="9040" spans="30:30" x14ac:dyDescent="0.3">
      <c r="AD9040" s="16"/>
    </row>
    <row r="9041" spans="30:30" x14ac:dyDescent="0.3">
      <c r="AD9041" s="16"/>
    </row>
    <row r="9042" spans="30:30" x14ac:dyDescent="0.3">
      <c r="AD9042" s="16"/>
    </row>
    <row r="9043" spans="30:30" x14ac:dyDescent="0.3">
      <c r="AD9043" s="16"/>
    </row>
    <row r="9044" spans="30:30" x14ac:dyDescent="0.3">
      <c r="AD9044" s="16"/>
    </row>
    <row r="9045" spans="30:30" x14ac:dyDescent="0.3">
      <c r="AD9045" s="16"/>
    </row>
    <row r="9046" spans="30:30" x14ac:dyDescent="0.3">
      <c r="AD9046" s="16"/>
    </row>
    <row r="9047" spans="30:30" x14ac:dyDescent="0.3">
      <c r="AD9047" s="16"/>
    </row>
    <row r="9048" spans="30:30" x14ac:dyDescent="0.3">
      <c r="AD9048" s="16"/>
    </row>
    <row r="9049" spans="30:30" x14ac:dyDescent="0.3">
      <c r="AD9049" s="16"/>
    </row>
    <row r="9050" spans="30:30" x14ac:dyDescent="0.3">
      <c r="AD9050" s="16"/>
    </row>
    <row r="9051" spans="30:30" x14ac:dyDescent="0.3">
      <c r="AD9051" s="16"/>
    </row>
    <row r="9052" spans="30:30" x14ac:dyDescent="0.3">
      <c r="AD9052" s="16"/>
    </row>
    <row r="9053" spans="30:30" x14ac:dyDescent="0.3">
      <c r="AD9053" s="16"/>
    </row>
    <row r="9054" spans="30:30" x14ac:dyDescent="0.3">
      <c r="AD9054" s="16"/>
    </row>
    <row r="9055" spans="30:30" x14ac:dyDescent="0.3">
      <c r="AD9055" s="16"/>
    </row>
    <row r="9056" spans="30:30" x14ac:dyDescent="0.3">
      <c r="AD9056" s="16"/>
    </row>
    <row r="9057" spans="30:30" x14ac:dyDescent="0.3">
      <c r="AD9057" s="16"/>
    </row>
    <row r="9058" spans="30:30" x14ac:dyDescent="0.3">
      <c r="AD9058" s="16"/>
    </row>
    <row r="9059" spans="30:30" x14ac:dyDescent="0.3">
      <c r="AD9059" s="16"/>
    </row>
    <row r="9060" spans="30:30" x14ac:dyDescent="0.3">
      <c r="AD9060" s="16"/>
    </row>
    <row r="9061" spans="30:30" x14ac:dyDescent="0.3">
      <c r="AD9061" s="16"/>
    </row>
    <row r="9062" spans="30:30" x14ac:dyDescent="0.3">
      <c r="AD9062" s="16"/>
    </row>
    <row r="9063" spans="30:30" x14ac:dyDescent="0.3">
      <c r="AD9063" s="16"/>
    </row>
    <row r="9064" spans="30:30" x14ac:dyDescent="0.3">
      <c r="AD9064" s="16"/>
    </row>
    <row r="9065" spans="30:30" x14ac:dyDescent="0.3">
      <c r="AD9065" s="16"/>
    </row>
    <row r="9066" spans="30:30" x14ac:dyDescent="0.3">
      <c r="AD9066" s="16"/>
    </row>
    <row r="9067" spans="30:30" x14ac:dyDescent="0.3">
      <c r="AD9067" s="16"/>
    </row>
    <row r="9068" spans="30:30" x14ac:dyDescent="0.3">
      <c r="AD9068" s="16"/>
    </row>
    <row r="9069" spans="30:30" x14ac:dyDescent="0.3">
      <c r="AD9069" s="16"/>
    </row>
    <row r="9070" spans="30:30" x14ac:dyDescent="0.3">
      <c r="AD9070" s="16"/>
    </row>
    <row r="9071" spans="30:30" x14ac:dyDescent="0.3">
      <c r="AD9071" s="16"/>
    </row>
    <row r="9072" spans="30:30" x14ac:dyDescent="0.3">
      <c r="AD9072" s="16"/>
    </row>
    <row r="9073" spans="30:30" x14ac:dyDescent="0.3">
      <c r="AD9073" s="16"/>
    </row>
    <row r="9074" spans="30:30" x14ac:dyDescent="0.3">
      <c r="AD9074" s="16"/>
    </row>
    <row r="9075" spans="30:30" x14ac:dyDescent="0.3">
      <c r="AD9075" s="16"/>
    </row>
    <row r="9076" spans="30:30" x14ac:dyDescent="0.3">
      <c r="AD9076" s="16"/>
    </row>
    <row r="9077" spans="30:30" x14ac:dyDescent="0.3">
      <c r="AD9077" s="16"/>
    </row>
    <row r="9078" spans="30:30" x14ac:dyDescent="0.3">
      <c r="AD9078" s="16"/>
    </row>
    <row r="9079" spans="30:30" x14ac:dyDescent="0.3">
      <c r="AD9079" s="16"/>
    </row>
    <row r="9080" spans="30:30" x14ac:dyDescent="0.3">
      <c r="AD9080" s="16"/>
    </row>
    <row r="9081" spans="30:30" x14ac:dyDescent="0.3">
      <c r="AD9081" s="16"/>
    </row>
    <row r="9082" spans="30:30" x14ac:dyDescent="0.3">
      <c r="AD9082" s="16"/>
    </row>
    <row r="9083" spans="30:30" x14ac:dyDescent="0.3">
      <c r="AD9083" s="16"/>
    </row>
    <row r="9084" spans="30:30" x14ac:dyDescent="0.3">
      <c r="AD9084" s="16"/>
    </row>
    <row r="9085" spans="30:30" x14ac:dyDescent="0.3">
      <c r="AD9085" s="16"/>
    </row>
    <row r="9086" spans="30:30" x14ac:dyDescent="0.3">
      <c r="AD9086" s="16"/>
    </row>
    <row r="9087" spans="30:30" x14ac:dyDescent="0.3">
      <c r="AD9087" s="16"/>
    </row>
    <row r="9088" spans="30:30" x14ac:dyDescent="0.3">
      <c r="AD9088" s="16"/>
    </row>
    <row r="9089" spans="30:30" x14ac:dyDescent="0.3">
      <c r="AD9089" s="16"/>
    </row>
    <row r="9090" spans="30:30" x14ac:dyDescent="0.3">
      <c r="AD9090" s="16"/>
    </row>
    <row r="9091" spans="30:30" x14ac:dyDescent="0.3">
      <c r="AD9091" s="16"/>
    </row>
    <row r="9092" spans="30:30" x14ac:dyDescent="0.3">
      <c r="AD9092" s="16"/>
    </row>
    <row r="9093" spans="30:30" x14ac:dyDescent="0.3">
      <c r="AD9093" s="16"/>
    </row>
    <row r="9094" spans="30:30" x14ac:dyDescent="0.3">
      <c r="AD9094" s="16"/>
    </row>
    <row r="9095" spans="30:30" x14ac:dyDescent="0.3">
      <c r="AD9095" s="16"/>
    </row>
    <row r="9096" spans="30:30" x14ac:dyDescent="0.3">
      <c r="AD9096" s="16"/>
    </row>
    <row r="9097" spans="30:30" x14ac:dyDescent="0.3">
      <c r="AD9097" s="16"/>
    </row>
    <row r="9098" spans="30:30" x14ac:dyDescent="0.3">
      <c r="AD9098" s="16"/>
    </row>
    <row r="9099" spans="30:30" x14ac:dyDescent="0.3">
      <c r="AD9099" s="16"/>
    </row>
    <row r="9100" spans="30:30" x14ac:dyDescent="0.3">
      <c r="AD9100" s="16"/>
    </row>
    <row r="9101" spans="30:30" x14ac:dyDescent="0.3">
      <c r="AD9101" s="16"/>
    </row>
    <row r="9102" spans="30:30" x14ac:dyDescent="0.3">
      <c r="AD9102" s="16"/>
    </row>
    <row r="9103" spans="30:30" x14ac:dyDescent="0.3">
      <c r="AD9103" s="16"/>
    </row>
    <row r="9104" spans="30:30" x14ac:dyDescent="0.3">
      <c r="AD9104" s="16"/>
    </row>
    <row r="9105" spans="30:30" x14ac:dyDescent="0.3">
      <c r="AD9105" s="16"/>
    </row>
    <row r="9106" spans="30:30" x14ac:dyDescent="0.3">
      <c r="AD9106" s="16"/>
    </row>
    <row r="9107" spans="30:30" x14ac:dyDescent="0.3">
      <c r="AD9107" s="16"/>
    </row>
    <row r="9108" spans="30:30" x14ac:dyDescent="0.3">
      <c r="AD9108" s="16"/>
    </row>
    <row r="9109" spans="30:30" x14ac:dyDescent="0.3">
      <c r="AD9109" s="16"/>
    </row>
    <row r="9110" spans="30:30" x14ac:dyDescent="0.3">
      <c r="AD9110" s="16"/>
    </row>
    <row r="9111" spans="30:30" x14ac:dyDescent="0.3">
      <c r="AD9111" s="16"/>
    </row>
    <row r="9112" spans="30:30" x14ac:dyDescent="0.3">
      <c r="AD9112" s="16"/>
    </row>
    <row r="9113" spans="30:30" x14ac:dyDescent="0.3">
      <c r="AD9113" s="16"/>
    </row>
    <row r="9114" spans="30:30" x14ac:dyDescent="0.3">
      <c r="AD9114" s="16"/>
    </row>
    <row r="9115" spans="30:30" x14ac:dyDescent="0.3">
      <c r="AD9115" s="16"/>
    </row>
    <row r="9116" spans="30:30" x14ac:dyDescent="0.3">
      <c r="AD9116" s="16"/>
    </row>
    <row r="9117" spans="30:30" x14ac:dyDescent="0.3">
      <c r="AD9117" s="16"/>
    </row>
    <row r="9118" spans="30:30" x14ac:dyDescent="0.3">
      <c r="AD9118" s="16"/>
    </row>
    <row r="9119" spans="30:30" x14ac:dyDescent="0.3">
      <c r="AD9119" s="16"/>
    </row>
    <row r="9120" spans="30:30" x14ac:dyDescent="0.3">
      <c r="AD9120" s="16"/>
    </row>
    <row r="9121" spans="30:30" x14ac:dyDescent="0.3">
      <c r="AD9121" s="16"/>
    </row>
    <row r="9122" spans="30:30" x14ac:dyDescent="0.3">
      <c r="AD9122" s="16"/>
    </row>
    <row r="9123" spans="30:30" x14ac:dyDescent="0.3">
      <c r="AD9123" s="16"/>
    </row>
    <row r="9124" spans="30:30" x14ac:dyDescent="0.3">
      <c r="AD9124" s="16"/>
    </row>
    <row r="9125" spans="30:30" x14ac:dyDescent="0.3">
      <c r="AD9125" s="16"/>
    </row>
    <row r="9126" spans="30:30" x14ac:dyDescent="0.3">
      <c r="AD9126" s="16"/>
    </row>
    <row r="9127" spans="30:30" x14ac:dyDescent="0.3">
      <c r="AD9127" s="16"/>
    </row>
    <row r="9128" spans="30:30" x14ac:dyDescent="0.3">
      <c r="AD9128" s="16"/>
    </row>
    <row r="9129" spans="30:30" x14ac:dyDescent="0.3">
      <c r="AD9129" s="16"/>
    </row>
    <row r="9130" spans="30:30" x14ac:dyDescent="0.3">
      <c r="AD9130" s="16"/>
    </row>
    <row r="9131" spans="30:30" x14ac:dyDescent="0.3">
      <c r="AD9131" s="16"/>
    </row>
    <row r="9132" spans="30:30" x14ac:dyDescent="0.3">
      <c r="AD9132" s="16"/>
    </row>
    <row r="9133" spans="30:30" x14ac:dyDescent="0.3">
      <c r="AD9133" s="16"/>
    </row>
    <row r="9134" spans="30:30" x14ac:dyDescent="0.3">
      <c r="AD9134" s="16"/>
    </row>
    <row r="9135" spans="30:30" x14ac:dyDescent="0.3">
      <c r="AD9135" s="16"/>
    </row>
    <row r="9136" spans="30:30" x14ac:dyDescent="0.3">
      <c r="AD9136" s="16"/>
    </row>
    <row r="9137" spans="30:30" x14ac:dyDescent="0.3">
      <c r="AD9137" s="16"/>
    </row>
    <row r="9138" spans="30:30" x14ac:dyDescent="0.3">
      <c r="AD9138" s="16"/>
    </row>
    <row r="9139" spans="30:30" x14ac:dyDescent="0.3">
      <c r="AD9139" s="16"/>
    </row>
    <row r="9140" spans="30:30" x14ac:dyDescent="0.3">
      <c r="AD9140" s="16"/>
    </row>
    <row r="9141" spans="30:30" x14ac:dyDescent="0.3">
      <c r="AD9141" s="16"/>
    </row>
    <row r="9142" spans="30:30" x14ac:dyDescent="0.3">
      <c r="AD9142" s="16"/>
    </row>
    <row r="9143" spans="30:30" x14ac:dyDescent="0.3">
      <c r="AD9143" s="16"/>
    </row>
    <row r="9144" spans="30:30" x14ac:dyDescent="0.3">
      <c r="AD9144" s="16"/>
    </row>
    <row r="9145" spans="30:30" x14ac:dyDescent="0.3">
      <c r="AD9145" s="16"/>
    </row>
    <row r="9146" spans="30:30" x14ac:dyDescent="0.3">
      <c r="AD9146" s="16"/>
    </row>
    <row r="9147" spans="30:30" x14ac:dyDescent="0.3">
      <c r="AD9147" s="16"/>
    </row>
    <row r="9148" spans="30:30" x14ac:dyDescent="0.3">
      <c r="AD9148" s="16"/>
    </row>
    <row r="9149" spans="30:30" x14ac:dyDescent="0.3">
      <c r="AD9149" s="16"/>
    </row>
    <row r="9150" spans="30:30" x14ac:dyDescent="0.3">
      <c r="AD9150" s="16"/>
    </row>
    <row r="9151" spans="30:30" x14ac:dyDescent="0.3">
      <c r="AD9151" s="16"/>
    </row>
    <row r="9152" spans="30:30" x14ac:dyDescent="0.3">
      <c r="AD9152" s="16"/>
    </row>
    <row r="9153" spans="30:30" x14ac:dyDescent="0.3">
      <c r="AD9153" s="16"/>
    </row>
    <row r="9154" spans="30:30" x14ac:dyDescent="0.3">
      <c r="AD9154" s="16"/>
    </row>
    <row r="9155" spans="30:30" x14ac:dyDescent="0.3">
      <c r="AD9155" s="16"/>
    </row>
    <row r="9156" spans="30:30" x14ac:dyDescent="0.3">
      <c r="AD9156" s="16"/>
    </row>
    <row r="9157" spans="30:30" x14ac:dyDescent="0.3">
      <c r="AD9157" s="16"/>
    </row>
    <row r="9158" spans="30:30" x14ac:dyDescent="0.3">
      <c r="AD9158" s="16"/>
    </row>
    <row r="9159" spans="30:30" x14ac:dyDescent="0.3">
      <c r="AD9159" s="16"/>
    </row>
    <row r="9160" spans="30:30" x14ac:dyDescent="0.3">
      <c r="AD9160" s="16"/>
    </row>
    <row r="9161" spans="30:30" x14ac:dyDescent="0.3">
      <c r="AD9161" s="16"/>
    </row>
    <row r="9162" spans="30:30" x14ac:dyDescent="0.3">
      <c r="AD9162" s="16"/>
    </row>
    <row r="9163" spans="30:30" x14ac:dyDescent="0.3">
      <c r="AD9163" s="16"/>
    </row>
    <row r="9164" spans="30:30" x14ac:dyDescent="0.3">
      <c r="AD9164" s="16"/>
    </row>
    <row r="9165" spans="30:30" x14ac:dyDescent="0.3">
      <c r="AD9165" s="16"/>
    </row>
    <row r="9166" spans="30:30" x14ac:dyDescent="0.3">
      <c r="AD9166" s="16"/>
    </row>
    <row r="9167" spans="30:30" x14ac:dyDescent="0.3">
      <c r="AD9167" s="16"/>
    </row>
    <row r="9168" spans="30:30" x14ac:dyDescent="0.3">
      <c r="AD9168" s="16"/>
    </row>
    <row r="9169" spans="30:30" x14ac:dyDescent="0.3">
      <c r="AD9169" s="16"/>
    </row>
    <row r="9170" spans="30:30" x14ac:dyDescent="0.3">
      <c r="AD9170" s="16"/>
    </row>
    <row r="9171" spans="30:30" x14ac:dyDescent="0.3">
      <c r="AD9171" s="16"/>
    </row>
    <row r="9172" spans="30:30" x14ac:dyDescent="0.3">
      <c r="AD9172" s="16"/>
    </row>
    <row r="9173" spans="30:30" x14ac:dyDescent="0.3">
      <c r="AD9173" s="16"/>
    </row>
    <row r="9174" spans="30:30" x14ac:dyDescent="0.3">
      <c r="AD9174" s="16"/>
    </row>
    <row r="9175" spans="30:30" x14ac:dyDescent="0.3">
      <c r="AD9175" s="16"/>
    </row>
    <row r="9176" spans="30:30" x14ac:dyDescent="0.3">
      <c r="AD9176" s="16"/>
    </row>
    <row r="9177" spans="30:30" x14ac:dyDescent="0.3">
      <c r="AD9177" s="16"/>
    </row>
    <row r="9178" spans="30:30" x14ac:dyDescent="0.3">
      <c r="AD9178" s="16"/>
    </row>
    <row r="9179" spans="30:30" x14ac:dyDescent="0.3">
      <c r="AD9179" s="16"/>
    </row>
    <row r="9180" spans="30:30" x14ac:dyDescent="0.3">
      <c r="AD9180" s="16"/>
    </row>
    <row r="9181" spans="30:30" x14ac:dyDescent="0.3">
      <c r="AD9181" s="16"/>
    </row>
    <row r="9182" spans="30:30" x14ac:dyDescent="0.3">
      <c r="AD9182" s="16"/>
    </row>
    <row r="9183" spans="30:30" x14ac:dyDescent="0.3">
      <c r="AD9183" s="16"/>
    </row>
    <row r="9184" spans="30:30" x14ac:dyDescent="0.3">
      <c r="AD9184" s="16"/>
    </row>
    <row r="9185" spans="30:30" x14ac:dyDescent="0.3">
      <c r="AD9185" s="16"/>
    </row>
    <row r="9186" spans="30:30" x14ac:dyDescent="0.3">
      <c r="AD9186" s="16"/>
    </row>
    <row r="9187" spans="30:30" x14ac:dyDescent="0.3">
      <c r="AD9187" s="16"/>
    </row>
    <row r="9188" spans="30:30" x14ac:dyDescent="0.3">
      <c r="AD9188" s="16"/>
    </row>
    <row r="9189" spans="30:30" x14ac:dyDescent="0.3">
      <c r="AD9189" s="16"/>
    </row>
    <row r="9190" spans="30:30" x14ac:dyDescent="0.3">
      <c r="AD9190" s="16"/>
    </row>
    <row r="9191" spans="30:30" x14ac:dyDescent="0.3">
      <c r="AD9191" s="16"/>
    </row>
    <row r="9192" spans="30:30" x14ac:dyDescent="0.3">
      <c r="AD9192" s="16"/>
    </row>
    <row r="9193" spans="30:30" x14ac:dyDescent="0.3">
      <c r="AD9193" s="16"/>
    </row>
    <row r="9194" spans="30:30" x14ac:dyDescent="0.3">
      <c r="AD9194" s="16"/>
    </row>
    <row r="9195" spans="30:30" x14ac:dyDescent="0.3">
      <c r="AD9195" s="16"/>
    </row>
    <row r="9196" spans="30:30" x14ac:dyDescent="0.3">
      <c r="AD9196" s="16"/>
    </row>
    <row r="9197" spans="30:30" x14ac:dyDescent="0.3">
      <c r="AD9197" s="16"/>
    </row>
    <row r="9198" spans="30:30" x14ac:dyDescent="0.3">
      <c r="AD9198" s="16"/>
    </row>
    <row r="9199" spans="30:30" x14ac:dyDescent="0.3">
      <c r="AD9199" s="16"/>
    </row>
    <row r="9200" spans="30:30" x14ac:dyDescent="0.3">
      <c r="AD9200" s="16"/>
    </row>
    <row r="9201" spans="30:30" x14ac:dyDescent="0.3">
      <c r="AD9201" s="16"/>
    </row>
    <row r="9202" spans="30:30" x14ac:dyDescent="0.3">
      <c r="AD9202" s="16"/>
    </row>
    <row r="9203" spans="30:30" x14ac:dyDescent="0.3">
      <c r="AD9203" s="16"/>
    </row>
    <row r="9204" spans="30:30" x14ac:dyDescent="0.3">
      <c r="AD9204" s="16"/>
    </row>
    <row r="9205" spans="30:30" x14ac:dyDescent="0.3">
      <c r="AD9205" s="16"/>
    </row>
    <row r="9206" spans="30:30" x14ac:dyDescent="0.3">
      <c r="AD9206" s="16"/>
    </row>
    <row r="9207" spans="30:30" x14ac:dyDescent="0.3">
      <c r="AD9207" s="16"/>
    </row>
    <row r="9208" spans="30:30" x14ac:dyDescent="0.3">
      <c r="AD9208" s="16"/>
    </row>
    <row r="9209" spans="30:30" x14ac:dyDescent="0.3">
      <c r="AD9209" s="16"/>
    </row>
    <row r="9210" spans="30:30" x14ac:dyDescent="0.3">
      <c r="AD9210" s="16"/>
    </row>
    <row r="9211" spans="30:30" x14ac:dyDescent="0.3">
      <c r="AD9211" s="16"/>
    </row>
    <row r="9212" spans="30:30" x14ac:dyDescent="0.3">
      <c r="AD9212" s="16"/>
    </row>
    <row r="9213" spans="30:30" x14ac:dyDescent="0.3">
      <c r="AD9213" s="16"/>
    </row>
    <row r="9214" spans="30:30" x14ac:dyDescent="0.3">
      <c r="AD9214" s="16"/>
    </row>
    <row r="9215" spans="30:30" x14ac:dyDescent="0.3">
      <c r="AD9215" s="16"/>
    </row>
    <row r="9216" spans="30:30" x14ac:dyDescent="0.3">
      <c r="AD9216" s="16"/>
    </row>
    <row r="9217" spans="30:30" x14ac:dyDescent="0.3">
      <c r="AD9217" s="16"/>
    </row>
    <row r="9218" spans="30:30" x14ac:dyDescent="0.3">
      <c r="AD9218" s="16"/>
    </row>
    <row r="9219" spans="30:30" x14ac:dyDescent="0.3">
      <c r="AD9219" s="16"/>
    </row>
    <row r="9220" spans="30:30" x14ac:dyDescent="0.3">
      <c r="AD9220" s="16"/>
    </row>
    <row r="9221" spans="30:30" x14ac:dyDescent="0.3">
      <c r="AD9221" s="16"/>
    </row>
    <row r="9222" spans="30:30" x14ac:dyDescent="0.3">
      <c r="AD9222" s="16"/>
    </row>
    <row r="9223" spans="30:30" x14ac:dyDescent="0.3">
      <c r="AD9223" s="16"/>
    </row>
    <row r="9224" spans="30:30" x14ac:dyDescent="0.3">
      <c r="AD9224" s="16"/>
    </row>
    <row r="9225" spans="30:30" x14ac:dyDescent="0.3">
      <c r="AD9225" s="16"/>
    </row>
    <row r="9226" spans="30:30" x14ac:dyDescent="0.3">
      <c r="AD9226" s="16"/>
    </row>
    <row r="9227" spans="30:30" x14ac:dyDescent="0.3">
      <c r="AD9227" s="16"/>
    </row>
    <row r="9228" spans="30:30" x14ac:dyDescent="0.3">
      <c r="AD9228" s="16"/>
    </row>
    <row r="9229" spans="30:30" x14ac:dyDescent="0.3">
      <c r="AD9229" s="16"/>
    </row>
    <row r="9230" spans="30:30" x14ac:dyDescent="0.3">
      <c r="AD9230" s="16"/>
    </row>
    <row r="9231" spans="30:30" x14ac:dyDescent="0.3">
      <c r="AD9231" s="16"/>
    </row>
    <row r="9232" spans="30:30" x14ac:dyDescent="0.3">
      <c r="AD9232" s="16"/>
    </row>
    <row r="9233" spans="30:30" x14ac:dyDescent="0.3">
      <c r="AD9233" s="16"/>
    </row>
    <row r="9234" spans="30:30" x14ac:dyDescent="0.3">
      <c r="AD9234" s="16"/>
    </row>
    <row r="9235" spans="30:30" x14ac:dyDescent="0.3">
      <c r="AD9235" s="16"/>
    </row>
    <row r="9236" spans="30:30" x14ac:dyDescent="0.3">
      <c r="AD9236" s="16"/>
    </row>
    <row r="9237" spans="30:30" x14ac:dyDescent="0.3">
      <c r="AD9237" s="16"/>
    </row>
    <row r="9238" spans="30:30" x14ac:dyDescent="0.3">
      <c r="AD9238" s="16"/>
    </row>
    <row r="9239" spans="30:30" x14ac:dyDescent="0.3">
      <c r="AD9239" s="16"/>
    </row>
    <row r="9240" spans="30:30" x14ac:dyDescent="0.3">
      <c r="AD9240" s="16"/>
    </row>
    <row r="9241" spans="30:30" x14ac:dyDescent="0.3">
      <c r="AD9241" s="16"/>
    </row>
    <row r="9242" spans="30:30" x14ac:dyDescent="0.3">
      <c r="AD9242" s="16"/>
    </row>
    <row r="9243" spans="30:30" x14ac:dyDescent="0.3">
      <c r="AD9243" s="16"/>
    </row>
    <row r="9244" spans="30:30" x14ac:dyDescent="0.3">
      <c r="AD9244" s="16"/>
    </row>
    <row r="9245" spans="30:30" x14ac:dyDescent="0.3">
      <c r="AD9245" s="16"/>
    </row>
    <row r="9246" spans="30:30" x14ac:dyDescent="0.3">
      <c r="AD9246" s="16"/>
    </row>
    <row r="9247" spans="30:30" x14ac:dyDescent="0.3">
      <c r="AD9247" s="16"/>
    </row>
    <row r="9248" spans="30:30" x14ac:dyDescent="0.3">
      <c r="AD9248" s="16"/>
    </row>
    <row r="9249" spans="30:30" x14ac:dyDescent="0.3">
      <c r="AD9249" s="16"/>
    </row>
    <row r="9250" spans="30:30" x14ac:dyDescent="0.3">
      <c r="AD9250" s="16"/>
    </row>
    <row r="9251" spans="30:30" x14ac:dyDescent="0.3">
      <c r="AD9251" s="16"/>
    </row>
    <row r="9252" spans="30:30" x14ac:dyDescent="0.3">
      <c r="AD9252" s="16"/>
    </row>
    <row r="9253" spans="30:30" x14ac:dyDescent="0.3">
      <c r="AD9253" s="16"/>
    </row>
    <row r="9254" spans="30:30" x14ac:dyDescent="0.3">
      <c r="AD9254" s="16"/>
    </row>
    <row r="9255" spans="30:30" x14ac:dyDescent="0.3">
      <c r="AD9255" s="16"/>
    </row>
    <row r="9256" spans="30:30" x14ac:dyDescent="0.3">
      <c r="AD9256" s="16"/>
    </row>
    <row r="9257" spans="30:30" x14ac:dyDescent="0.3">
      <c r="AD9257" s="16"/>
    </row>
    <row r="9258" spans="30:30" x14ac:dyDescent="0.3">
      <c r="AD9258" s="16"/>
    </row>
    <row r="9259" spans="30:30" x14ac:dyDescent="0.3">
      <c r="AD9259" s="16"/>
    </row>
    <row r="9260" spans="30:30" x14ac:dyDescent="0.3">
      <c r="AD9260" s="16"/>
    </row>
    <row r="9261" spans="30:30" x14ac:dyDescent="0.3">
      <c r="AD9261" s="16"/>
    </row>
    <row r="9262" spans="30:30" x14ac:dyDescent="0.3">
      <c r="AD9262" s="16"/>
    </row>
    <row r="9263" spans="30:30" x14ac:dyDescent="0.3">
      <c r="AD9263" s="16"/>
    </row>
    <row r="9264" spans="30:30" x14ac:dyDescent="0.3">
      <c r="AD9264" s="16"/>
    </row>
    <row r="9265" spans="30:30" x14ac:dyDescent="0.3">
      <c r="AD9265" s="16"/>
    </row>
    <row r="9266" spans="30:30" x14ac:dyDescent="0.3">
      <c r="AD9266" s="16"/>
    </row>
    <row r="9267" spans="30:30" x14ac:dyDescent="0.3">
      <c r="AD9267" s="16"/>
    </row>
    <row r="9268" spans="30:30" x14ac:dyDescent="0.3">
      <c r="AD9268" s="16"/>
    </row>
    <row r="9269" spans="30:30" x14ac:dyDescent="0.3">
      <c r="AD9269" s="16"/>
    </row>
    <row r="9270" spans="30:30" x14ac:dyDescent="0.3">
      <c r="AD9270" s="16"/>
    </row>
    <row r="9271" spans="30:30" x14ac:dyDescent="0.3">
      <c r="AD9271" s="16"/>
    </row>
    <row r="9272" spans="30:30" x14ac:dyDescent="0.3">
      <c r="AD9272" s="16"/>
    </row>
    <row r="9273" spans="30:30" x14ac:dyDescent="0.3">
      <c r="AD9273" s="16"/>
    </row>
    <row r="9274" spans="30:30" x14ac:dyDescent="0.3">
      <c r="AD9274" s="16"/>
    </row>
    <row r="9275" spans="30:30" x14ac:dyDescent="0.3">
      <c r="AD9275" s="16"/>
    </row>
    <row r="9276" spans="30:30" x14ac:dyDescent="0.3">
      <c r="AD9276" s="16"/>
    </row>
    <row r="9277" spans="30:30" x14ac:dyDescent="0.3">
      <c r="AD9277" s="16"/>
    </row>
    <row r="9278" spans="30:30" x14ac:dyDescent="0.3">
      <c r="AD9278" s="16"/>
    </row>
    <row r="9279" spans="30:30" x14ac:dyDescent="0.3">
      <c r="AD9279" s="16"/>
    </row>
    <row r="9280" spans="30:30" x14ac:dyDescent="0.3">
      <c r="AD9280" s="16"/>
    </row>
    <row r="9281" spans="30:30" x14ac:dyDescent="0.3">
      <c r="AD9281" s="16"/>
    </row>
    <row r="9282" spans="30:30" x14ac:dyDescent="0.3">
      <c r="AD9282" s="16"/>
    </row>
    <row r="9283" spans="30:30" x14ac:dyDescent="0.3">
      <c r="AD9283" s="16"/>
    </row>
    <row r="9284" spans="30:30" x14ac:dyDescent="0.3">
      <c r="AD9284" s="16"/>
    </row>
    <row r="9285" spans="30:30" x14ac:dyDescent="0.3">
      <c r="AD9285" s="16"/>
    </row>
    <row r="9286" spans="30:30" x14ac:dyDescent="0.3">
      <c r="AD9286" s="16"/>
    </row>
    <row r="9287" spans="30:30" x14ac:dyDescent="0.3">
      <c r="AD9287" s="16"/>
    </row>
    <row r="9288" spans="30:30" x14ac:dyDescent="0.3">
      <c r="AD9288" s="16"/>
    </row>
    <row r="9289" spans="30:30" x14ac:dyDescent="0.3">
      <c r="AD9289" s="16"/>
    </row>
    <row r="9290" spans="30:30" x14ac:dyDescent="0.3">
      <c r="AD9290" s="16"/>
    </row>
    <row r="9291" spans="30:30" x14ac:dyDescent="0.3">
      <c r="AD9291" s="16"/>
    </row>
    <row r="9292" spans="30:30" x14ac:dyDescent="0.3">
      <c r="AD9292" s="16"/>
    </row>
    <row r="9293" spans="30:30" x14ac:dyDescent="0.3">
      <c r="AD9293" s="16"/>
    </row>
    <row r="9294" spans="30:30" x14ac:dyDescent="0.3">
      <c r="AD9294" s="16"/>
    </row>
    <row r="9295" spans="30:30" x14ac:dyDescent="0.3">
      <c r="AD9295" s="16"/>
    </row>
    <row r="9296" spans="30:30" x14ac:dyDescent="0.3">
      <c r="AD9296" s="16"/>
    </row>
    <row r="9297" spans="30:30" x14ac:dyDescent="0.3">
      <c r="AD9297" s="16"/>
    </row>
    <row r="9298" spans="30:30" x14ac:dyDescent="0.3">
      <c r="AD9298" s="16"/>
    </row>
    <row r="9299" spans="30:30" x14ac:dyDescent="0.3">
      <c r="AD9299" s="16"/>
    </row>
    <row r="9300" spans="30:30" x14ac:dyDescent="0.3">
      <c r="AD9300" s="16"/>
    </row>
    <row r="9301" spans="30:30" x14ac:dyDescent="0.3">
      <c r="AD9301" s="16"/>
    </row>
    <row r="9302" spans="30:30" x14ac:dyDescent="0.3">
      <c r="AD9302" s="16"/>
    </row>
    <row r="9303" spans="30:30" x14ac:dyDescent="0.3">
      <c r="AD9303" s="16"/>
    </row>
    <row r="9304" spans="30:30" x14ac:dyDescent="0.3">
      <c r="AD9304" s="16"/>
    </row>
    <row r="9305" spans="30:30" x14ac:dyDescent="0.3">
      <c r="AD9305" s="16"/>
    </row>
    <row r="9306" spans="30:30" x14ac:dyDescent="0.3">
      <c r="AD9306" s="16"/>
    </row>
    <row r="9307" spans="30:30" x14ac:dyDescent="0.3">
      <c r="AD9307" s="16"/>
    </row>
    <row r="9308" spans="30:30" x14ac:dyDescent="0.3">
      <c r="AD9308" s="16"/>
    </row>
    <row r="9309" spans="30:30" x14ac:dyDescent="0.3">
      <c r="AD9309" s="16"/>
    </row>
    <row r="9310" spans="30:30" x14ac:dyDescent="0.3">
      <c r="AD9310" s="16"/>
    </row>
    <row r="9311" spans="30:30" x14ac:dyDescent="0.3">
      <c r="AD9311" s="16"/>
    </row>
    <row r="9312" spans="30:30" x14ac:dyDescent="0.3">
      <c r="AD9312" s="16"/>
    </row>
    <row r="9313" spans="30:30" x14ac:dyDescent="0.3">
      <c r="AD9313" s="16"/>
    </row>
    <row r="9314" spans="30:30" x14ac:dyDescent="0.3">
      <c r="AD9314" s="16"/>
    </row>
    <row r="9315" spans="30:30" x14ac:dyDescent="0.3">
      <c r="AD9315" s="16"/>
    </row>
    <row r="9316" spans="30:30" x14ac:dyDescent="0.3">
      <c r="AD9316" s="16"/>
    </row>
    <row r="9317" spans="30:30" x14ac:dyDescent="0.3">
      <c r="AD9317" s="16"/>
    </row>
    <row r="9318" spans="30:30" x14ac:dyDescent="0.3">
      <c r="AD9318" s="16"/>
    </row>
    <row r="9319" spans="30:30" x14ac:dyDescent="0.3">
      <c r="AD9319" s="16"/>
    </row>
    <row r="9320" spans="30:30" x14ac:dyDescent="0.3">
      <c r="AD9320" s="16"/>
    </row>
    <row r="9321" spans="30:30" x14ac:dyDescent="0.3">
      <c r="AD9321" s="16"/>
    </row>
    <row r="9322" spans="30:30" x14ac:dyDescent="0.3">
      <c r="AD9322" s="16"/>
    </row>
    <row r="9323" spans="30:30" x14ac:dyDescent="0.3">
      <c r="AD9323" s="16"/>
    </row>
    <row r="9324" spans="30:30" x14ac:dyDescent="0.3">
      <c r="AD9324" s="16"/>
    </row>
    <row r="9325" spans="30:30" x14ac:dyDescent="0.3">
      <c r="AD9325" s="16"/>
    </row>
    <row r="9326" spans="30:30" x14ac:dyDescent="0.3">
      <c r="AD9326" s="16"/>
    </row>
    <row r="9327" spans="30:30" x14ac:dyDescent="0.3">
      <c r="AD9327" s="16"/>
    </row>
    <row r="9328" spans="30:30" x14ac:dyDescent="0.3">
      <c r="AD9328" s="16"/>
    </row>
    <row r="9329" spans="30:30" x14ac:dyDescent="0.3">
      <c r="AD9329" s="16"/>
    </row>
    <row r="9330" spans="30:30" x14ac:dyDescent="0.3">
      <c r="AD9330" s="16"/>
    </row>
    <row r="9331" spans="30:30" x14ac:dyDescent="0.3">
      <c r="AD9331" s="16"/>
    </row>
    <row r="9332" spans="30:30" x14ac:dyDescent="0.3">
      <c r="AD9332" s="16"/>
    </row>
    <row r="9333" spans="30:30" x14ac:dyDescent="0.3">
      <c r="AD9333" s="16"/>
    </row>
    <row r="9334" spans="30:30" x14ac:dyDescent="0.3">
      <c r="AD9334" s="16"/>
    </row>
    <row r="9335" spans="30:30" x14ac:dyDescent="0.3">
      <c r="AD9335" s="16"/>
    </row>
    <row r="9336" spans="30:30" x14ac:dyDescent="0.3">
      <c r="AD9336" s="16"/>
    </row>
    <row r="9337" spans="30:30" x14ac:dyDescent="0.3">
      <c r="AD9337" s="16"/>
    </row>
    <row r="9338" spans="30:30" x14ac:dyDescent="0.3">
      <c r="AD9338" s="16"/>
    </row>
    <row r="9339" spans="30:30" x14ac:dyDescent="0.3">
      <c r="AD9339" s="16"/>
    </row>
    <row r="9340" spans="30:30" x14ac:dyDescent="0.3">
      <c r="AD9340" s="16"/>
    </row>
    <row r="9341" spans="30:30" x14ac:dyDescent="0.3">
      <c r="AD9341" s="16"/>
    </row>
    <row r="9342" spans="30:30" x14ac:dyDescent="0.3">
      <c r="AD9342" s="16"/>
    </row>
    <row r="9343" spans="30:30" x14ac:dyDescent="0.3">
      <c r="AD9343" s="16"/>
    </row>
    <row r="9344" spans="30:30" x14ac:dyDescent="0.3">
      <c r="AD9344" s="16"/>
    </row>
    <row r="9345" spans="30:30" x14ac:dyDescent="0.3">
      <c r="AD9345" s="16"/>
    </row>
    <row r="9346" spans="30:30" x14ac:dyDescent="0.3">
      <c r="AD9346" s="16"/>
    </row>
    <row r="9347" spans="30:30" x14ac:dyDescent="0.3">
      <c r="AD9347" s="16"/>
    </row>
    <row r="9348" spans="30:30" x14ac:dyDescent="0.3">
      <c r="AD9348" s="16"/>
    </row>
    <row r="9349" spans="30:30" x14ac:dyDescent="0.3">
      <c r="AD9349" s="16"/>
    </row>
    <row r="9350" spans="30:30" x14ac:dyDescent="0.3">
      <c r="AD9350" s="16"/>
    </row>
    <row r="9351" spans="30:30" x14ac:dyDescent="0.3">
      <c r="AD9351" s="16"/>
    </row>
    <row r="9352" spans="30:30" x14ac:dyDescent="0.3">
      <c r="AD9352" s="16"/>
    </row>
    <row r="9353" spans="30:30" x14ac:dyDescent="0.3">
      <c r="AD9353" s="16"/>
    </row>
    <row r="9354" spans="30:30" x14ac:dyDescent="0.3">
      <c r="AD9354" s="16"/>
    </row>
    <row r="9355" spans="30:30" x14ac:dyDescent="0.3">
      <c r="AD9355" s="16"/>
    </row>
    <row r="9356" spans="30:30" x14ac:dyDescent="0.3">
      <c r="AD9356" s="16"/>
    </row>
    <row r="9357" spans="30:30" x14ac:dyDescent="0.3">
      <c r="AD9357" s="16"/>
    </row>
    <row r="9358" spans="30:30" x14ac:dyDescent="0.3">
      <c r="AD9358" s="16"/>
    </row>
    <row r="9359" spans="30:30" x14ac:dyDescent="0.3">
      <c r="AD9359" s="16"/>
    </row>
    <row r="9360" spans="30:30" x14ac:dyDescent="0.3">
      <c r="AD9360" s="16"/>
    </row>
    <row r="9361" spans="30:30" x14ac:dyDescent="0.3">
      <c r="AD9361" s="16"/>
    </row>
    <row r="9362" spans="30:30" x14ac:dyDescent="0.3">
      <c r="AD9362" s="16"/>
    </row>
    <row r="9363" spans="30:30" x14ac:dyDescent="0.3">
      <c r="AD9363" s="16"/>
    </row>
    <row r="9364" spans="30:30" x14ac:dyDescent="0.3">
      <c r="AD9364" s="16"/>
    </row>
    <row r="9365" spans="30:30" x14ac:dyDescent="0.3">
      <c r="AD9365" s="16"/>
    </row>
    <row r="9366" spans="30:30" x14ac:dyDescent="0.3">
      <c r="AD9366" s="16"/>
    </row>
    <row r="9367" spans="30:30" x14ac:dyDescent="0.3">
      <c r="AD9367" s="16"/>
    </row>
    <row r="9368" spans="30:30" x14ac:dyDescent="0.3">
      <c r="AD9368" s="16"/>
    </row>
    <row r="9369" spans="30:30" x14ac:dyDescent="0.3">
      <c r="AD9369" s="16"/>
    </row>
    <row r="9370" spans="30:30" x14ac:dyDescent="0.3">
      <c r="AD9370" s="16"/>
    </row>
    <row r="9371" spans="30:30" x14ac:dyDescent="0.3">
      <c r="AD9371" s="16"/>
    </row>
    <row r="9372" spans="30:30" x14ac:dyDescent="0.3">
      <c r="AD9372" s="16"/>
    </row>
    <row r="9373" spans="30:30" x14ac:dyDescent="0.3">
      <c r="AD9373" s="16"/>
    </row>
    <row r="9374" spans="30:30" x14ac:dyDescent="0.3">
      <c r="AD9374" s="16"/>
    </row>
    <row r="9375" spans="30:30" x14ac:dyDescent="0.3">
      <c r="AD9375" s="16"/>
    </row>
    <row r="9376" spans="30:30" x14ac:dyDescent="0.3">
      <c r="AD9376" s="16"/>
    </row>
    <row r="9377" spans="30:30" x14ac:dyDescent="0.3">
      <c r="AD9377" s="16"/>
    </row>
    <row r="9378" spans="30:30" x14ac:dyDescent="0.3">
      <c r="AD9378" s="16"/>
    </row>
    <row r="9379" spans="30:30" x14ac:dyDescent="0.3">
      <c r="AD9379" s="16"/>
    </row>
    <row r="9380" spans="30:30" x14ac:dyDescent="0.3">
      <c r="AD9380" s="16"/>
    </row>
    <row r="9381" spans="30:30" x14ac:dyDescent="0.3">
      <c r="AD9381" s="16"/>
    </row>
    <row r="9382" spans="30:30" x14ac:dyDescent="0.3">
      <c r="AD9382" s="16"/>
    </row>
    <row r="9383" spans="30:30" x14ac:dyDescent="0.3">
      <c r="AD9383" s="16"/>
    </row>
    <row r="9384" spans="30:30" x14ac:dyDescent="0.3">
      <c r="AD9384" s="16"/>
    </row>
    <row r="9385" spans="30:30" x14ac:dyDescent="0.3">
      <c r="AD9385" s="16"/>
    </row>
    <row r="9386" spans="30:30" x14ac:dyDescent="0.3">
      <c r="AD9386" s="16"/>
    </row>
    <row r="9387" spans="30:30" x14ac:dyDescent="0.3">
      <c r="AD9387" s="16"/>
    </row>
    <row r="9388" spans="30:30" x14ac:dyDescent="0.3">
      <c r="AD9388" s="16"/>
    </row>
    <row r="9389" spans="30:30" x14ac:dyDescent="0.3">
      <c r="AD9389" s="16"/>
    </row>
    <row r="9390" spans="30:30" x14ac:dyDescent="0.3">
      <c r="AD9390" s="16"/>
    </row>
    <row r="9391" spans="30:30" x14ac:dyDescent="0.3">
      <c r="AD9391" s="16"/>
    </row>
    <row r="9392" spans="30:30" x14ac:dyDescent="0.3">
      <c r="AD9392" s="16"/>
    </row>
    <row r="9393" spans="30:30" x14ac:dyDescent="0.3">
      <c r="AD9393" s="16"/>
    </row>
    <row r="9394" spans="30:30" x14ac:dyDescent="0.3">
      <c r="AD9394" s="16"/>
    </row>
    <row r="9395" spans="30:30" x14ac:dyDescent="0.3">
      <c r="AD9395" s="16"/>
    </row>
    <row r="9396" spans="30:30" x14ac:dyDescent="0.3">
      <c r="AD9396" s="16"/>
    </row>
    <row r="9397" spans="30:30" x14ac:dyDescent="0.3">
      <c r="AD9397" s="16"/>
    </row>
    <row r="9398" spans="30:30" x14ac:dyDescent="0.3">
      <c r="AD9398" s="16"/>
    </row>
    <row r="9399" spans="30:30" x14ac:dyDescent="0.3">
      <c r="AD9399" s="16"/>
    </row>
    <row r="9400" spans="30:30" x14ac:dyDescent="0.3">
      <c r="AD9400" s="16"/>
    </row>
    <row r="9401" spans="30:30" x14ac:dyDescent="0.3">
      <c r="AD9401" s="16"/>
    </row>
    <row r="9402" spans="30:30" x14ac:dyDescent="0.3">
      <c r="AD9402" s="16"/>
    </row>
    <row r="9403" spans="30:30" x14ac:dyDescent="0.3">
      <c r="AD9403" s="16"/>
    </row>
    <row r="9404" spans="30:30" x14ac:dyDescent="0.3">
      <c r="AD9404" s="16"/>
    </row>
    <row r="9405" spans="30:30" x14ac:dyDescent="0.3">
      <c r="AD9405" s="16"/>
    </row>
    <row r="9406" spans="30:30" x14ac:dyDescent="0.3">
      <c r="AD9406" s="16"/>
    </row>
    <row r="9407" spans="30:30" x14ac:dyDescent="0.3">
      <c r="AD9407" s="16"/>
    </row>
    <row r="9408" spans="30:30" x14ac:dyDescent="0.3">
      <c r="AD9408" s="16"/>
    </row>
    <row r="9409" spans="30:30" x14ac:dyDescent="0.3">
      <c r="AD9409" s="16"/>
    </row>
    <row r="9410" spans="30:30" x14ac:dyDescent="0.3">
      <c r="AD9410" s="16"/>
    </row>
    <row r="9411" spans="30:30" x14ac:dyDescent="0.3">
      <c r="AD9411" s="16"/>
    </row>
    <row r="9412" spans="30:30" x14ac:dyDescent="0.3">
      <c r="AD9412" s="16"/>
    </row>
    <row r="9413" spans="30:30" x14ac:dyDescent="0.3">
      <c r="AD9413" s="16"/>
    </row>
    <row r="9414" spans="30:30" x14ac:dyDescent="0.3">
      <c r="AD9414" s="16"/>
    </row>
    <row r="9415" spans="30:30" x14ac:dyDescent="0.3">
      <c r="AD9415" s="16"/>
    </row>
    <row r="9416" spans="30:30" x14ac:dyDescent="0.3">
      <c r="AD9416" s="16"/>
    </row>
    <row r="9417" spans="30:30" x14ac:dyDescent="0.3">
      <c r="AD9417" s="16"/>
    </row>
    <row r="9418" spans="30:30" x14ac:dyDescent="0.3">
      <c r="AD9418" s="16"/>
    </row>
    <row r="9419" spans="30:30" x14ac:dyDescent="0.3">
      <c r="AD9419" s="16"/>
    </row>
    <row r="9420" spans="30:30" x14ac:dyDescent="0.3">
      <c r="AD9420" s="16"/>
    </row>
    <row r="9421" spans="30:30" x14ac:dyDescent="0.3">
      <c r="AD9421" s="16"/>
    </row>
    <row r="9422" spans="30:30" x14ac:dyDescent="0.3">
      <c r="AD9422" s="16"/>
    </row>
    <row r="9423" spans="30:30" x14ac:dyDescent="0.3">
      <c r="AD9423" s="16"/>
    </row>
    <row r="9424" spans="30:30" x14ac:dyDescent="0.3">
      <c r="AD9424" s="16"/>
    </row>
    <row r="9425" spans="30:30" x14ac:dyDescent="0.3">
      <c r="AD9425" s="16"/>
    </row>
    <row r="9426" spans="30:30" x14ac:dyDescent="0.3">
      <c r="AD9426" s="16"/>
    </row>
    <row r="9427" spans="30:30" x14ac:dyDescent="0.3">
      <c r="AD9427" s="16"/>
    </row>
    <row r="9428" spans="30:30" x14ac:dyDescent="0.3">
      <c r="AD9428" s="16"/>
    </row>
    <row r="9429" spans="30:30" x14ac:dyDescent="0.3">
      <c r="AD9429" s="16"/>
    </row>
    <row r="9430" spans="30:30" x14ac:dyDescent="0.3">
      <c r="AD9430" s="16"/>
    </row>
    <row r="9431" spans="30:30" x14ac:dyDescent="0.3">
      <c r="AD9431" s="16"/>
    </row>
    <row r="9432" spans="30:30" x14ac:dyDescent="0.3">
      <c r="AD9432" s="16"/>
    </row>
    <row r="9433" spans="30:30" x14ac:dyDescent="0.3">
      <c r="AD9433" s="16"/>
    </row>
    <row r="9434" spans="30:30" x14ac:dyDescent="0.3">
      <c r="AD9434" s="16"/>
    </row>
    <row r="9435" spans="30:30" x14ac:dyDescent="0.3">
      <c r="AD9435" s="16"/>
    </row>
    <row r="9436" spans="30:30" x14ac:dyDescent="0.3">
      <c r="AD9436" s="16"/>
    </row>
    <row r="9437" spans="30:30" x14ac:dyDescent="0.3">
      <c r="AD9437" s="16"/>
    </row>
    <row r="9438" spans="30:30" x14ac:dyDescent="0.3">
      <c r="AD9438" s="16"/>
    </row>
    <row r="9439" spans="30:30" x14ac:dyDescent="0.3">
      <c r="AD9439" s="16"/>
    </row>
    <row r="9440" spans="30:30" x14ac:dyDescent="0.3">
      <c r="AD9440" s="16"/>
    </row>
    <row r="9441" spans="30:30" x14ac:dyDescent="0.3">
      <c r="AD9441" s="16"/>
    </row>
    <row r="9442" spans="30:30" x14ac:dyDescent="0.3">
      <c r="AD9442" s="16"/>
    </row>
    <row r="9443" spans="30:30" x14ac:dyDescent="0.3">
      <c r="AD9443" s="16"/>
    </row>
    <row r="9444" spans="30:30" x14ac:dyDescent="0.3">
      <c r="AD9444" s="16"/>
    </row>
    <row r="9445" spans="30:30" x14ac:dyDescent="0.3">
      <c r="AD9445" s="16"/>
    </row>
    <row r="9446" spans="30:30" x14ac:dyDescent="0.3">
      <c r="AD9446" s="16"/>
    </row>
    <row r="9447" spans="30:30" x14ac:dyDescent="0.3">
      <c r="AD9447" s="16"/>
    </row>
    <row r="9448" spans="30:30" x14ac:dyDescent="0.3">
      <c r="AD9448" s="16"/>
    </row>
    <row r="9449" spans="30:30" x14ac:dyDescent="0.3">
      <c r="AD9449" s="16"/>
    </row>
    <row r="9450" spans="30:30" x14ac:dyDescent="0.3">
      <c r="AD9450" s="16"/>
    </row>
    <row r="9451" spans="30:30" x14ac:dyDescent="0.3">
      <c r="AD9451" s="16"/>
    </row>
    <row r="9452" spans="30:30" x14ac:dyDescent="0.3">
      <c r="AD9452" s="16"/>
    </row>
    <row r="9453" spans="30:30" x14ac:dyDescent="0.3">
      <c r="AD9453" s="16"/>
    </row>
    <row r="9454" spans="30:30" x14ac:dyDescent="0.3">
      <c r="AD9454" s="16"/>
    </row>
    <row r="9455" spans="30:30" x14ac:dyDescent="0.3">
      <c r="AD9455" s="16"/>
    </row>
    <row r="9456" spans="30:30" x14ac:dyDescent="0.3">
      <c r="AD9456" s="16"/>
    </row>
    <row r="9457" spans="30:30" x14ac:dyDescent="0.3">
      <c r="AD9457" s="16"/>
    </row>
    <row r="9458" spans="30:30" x14ac:dyDescent="0.3">
      <c r="AD9458" s="16"/>
    </row>
    <row r="9459" spans="30:30" x14ac:dyDescent="0.3">
      <c r="AD9459" s="16"/>
    </row>
    <row r="9460" spans="30:30" x14ac:dyDescent="0.3">
      <c r="AD9460" s="16"/>
    </row>
    <row r="9461" spans="30:30" x14ac:dyDescent="0.3">
      <c r="AD9461" s="16"/>
    </row>
    <row r="9462" spans="30:30" x14ac:dyDescent="0.3">
      <c r="AD9462" s="16"/>
    </row>
    <row r="9463" spans="30:30" x14ac:dyDescent="0.3">
      <c r="AD9463" s="16"/>
    </row>
    <row r="9464" spans="30:30" x14ac:dyDescent="0.3">
      <c r="AD9464" s="16"/>
    </row>
    <row r="9465" spans="30:30" x14ac:dyDescent="0.3">
      <c r="AD9465" s="16"/>
    </row>
    <row r="9466" spans="30:30" x14ac:dyDescent="0.3">
      <c r="AD9466" s="16"/>
    </row>
    <row r="9467" spans="30:30" x14ac:dyDescent="0.3">
      <c r="AD9467" s="16"/>
    </row>
    <row r="9468" spans="30:30" x14ac:dyDescent="0.3">
      <c r="AD9468" s="16"/>
    </row>
    <row r="9469" spans="30:30" x14ac:dyDescent="0.3">
      <c r="AD9469" s="16"/>
    </row>
    <row r="9470" spans="30:30" x14ac:dyDescent="0.3">
      <c r="AD9470" s="16"/>
    </row>
    <row r="9471" spans="30:30" x14ac:dyDescent="0.3">
      <c r="AD9471" s="16"/>
    </row>
    <row r="9472" spans="30:30" x14ac:dyDescent="0.3">
      <c r="AD9472" s="16"/>
    </row>
    <row r="9473" spans="30:30" x14ac:dyDescent="0.3">
      <c r="AD9473" s="16"/>
    </row>
    <row r="9474" spans="30:30" x14ac:dyDescent="0.3">
      <c r="AD9474" s="16"/>
    </row>
    <row r="9475" spans="30:30" x14ac:dyDescent="0.3">
      <c r="AD9475" s="16"/>
    </row>
    <row r="9476" spans="30:30" x14ac:dyDescent="0.3">
      <c r="AD9476" s="16"/>
    </row>
    <row r="9477" spans="30:30" x14ac:dyDescent="0.3">
      <c r="AD9477" s="16"/>
    </row>
    <row r="9478" spans="30:30" x14ac:dyDescent="0.3">
      <c r="AD9478" s="16"/>
    </row>
    <row r="9479" spans="30:30" x14ac:dyDescent="0.3">
      <c r="AD9479" s="16"/>
    </row>
    <row r="9480" spans="30:30" x14ac:dyDescent="0.3">
      <c r="AD9480" s="16"/>
    </row>
    <row r="9481" spans="30:30" x14ac:dyDescent="0.3">
      <c r="AD9481" s="16"/>
    </row>
    <row r="9482" spans="30:30" x14ac:dyDescent="0.3">
      <c r="AD9482" s="16"/>
    </row>
    <row r="9483" spans="30:30" x14ac:dyDescent="0.3">
      <c r="AD9483" s="16"/>
    </row>
    <row r="9484" spans="30:30" x14ac:dyDescent="0.3">
      <c r="AD9484" s="16"/>
    </row>
    <row r="9485" spans="30:30" x14ac:dyDescent="0.3">
      <c r="AD9485" s="16"/>
    </row>
    <row r="9486" spans="30:30" x14ac:dyDescent="0.3">
      <c r="AD9486" s="16"/>
    </row>
    <row r="9487" spans="30:30" x14ac:dyDescent="0.3">
      <c r="AD9487" s="16"/>
    </row>
    <row r="9488" spans="30:30" x14ac:dyDescent="0.3">
      <c r="AD9488" s="16"/>
    </row>
    <row r="9489" spans="30:30" x14ac:dyDescent="0.3">
      <c r="AD9489" s="16"/>
    </row>
    <row r="9490" spans="30:30" x14ac:dyDescent="0.3">
      <c r="AD9490" s="16"/>
    </row>
    <row r="9491" spans="30:30" x14ac:dyDescent="0.3">
      <c r="AD9491" s="16"/>
    </row>
    <row r="9492" spans="30:30" x14ac:dyDescent="0.3">
      <c r="AD9492" s="16"/>
    </row>
    <row r="9493" spans="30:30" x14ac:dyDescent="0.3">
      <c r="AD9493" s="16"/>
    </row>
    <row r="9494" spans="30:30" x14ac:dyDescent="0.3">
      <c r="AD9494" s="16"/>
    </row>
    <row r="9495" spans="30:30" x14ac:dyDescent="0.3">
      <c r="AD9495" s="16"/>
    </row>
    <row r="9496" spans="30:30" x14ac:dyDescent="0.3">
      <c r="AD9496" s="16"/>
    </row>
    <row r="9497" spans="30:30" x14ac:dyDescent="0.3">
      <c r="AD9497" s="16"/>
    </row>
    <row r="9498" spans="30:30" x14ac:dyDescent="0.3">
      <c r="AD9498" s="16"/>
    </row>
    <row r="9499" spans="30:30" x14ac:dyDescent="0.3">
      <c r="AD9499" s="16"/>
    </row>
    <row r="9500" spans="30:30" x14ac:dyDescent="0.3">
      <c r="AD9500" s="16"/>
    </row>
    <row r="9501" spans="30:30" x14ac:dyDescent="0.3">
      <c r="AD9501" s="16"/>
    </row>
    <row r="9502" spans="30:30" x14ac:dyDescent="0.3">
      <c r="AD9502" s="16"/>
    </row>
    <row r="9503" spans="30:30" x14ac:dyDescent="0.3">
      <c r="AD9503" s="16"/>
    </row>
    <row r="9504" spans="30:30" x14ac:dyDescent="0.3">
      <c r="AD9504" s="16"/>
    </row>
    <row r="9505" spans="30:30" x14ac:dyDescent="0.3">
      <c r="AD9505" s="16"/>
    </row>
    <row r="9506" spans="30:30" x14ac:dyDescent="0.3">
      <c r="AD9506" s="16"/>
    </row>
    <row r="9507" spans="30:30" x14ac:dyDescent="0.3">
      <c r="AD9507" s="16"/>
    </row>
    <row r="9508" spans="30:30" x14ac:dyDescent="0.3">
      <c r="AD9508" s="16"/>
    </row>
    <row r="9509" spans="30:30" x14ac:dyDescent="0.3">
      <c r="AD9509" s="16"/>
    </row>
    <row r="9510" spans="30:30" x14ac:dyDescent="0.3">
      <c r="AD9510" s="16"/>
    </row>
    <row r="9511" spans="30:30" x14ac:dyDescent="0.3">
      <c r="AD9511" s="16"/>
    </row>
    <row r="9512" spans="30:30" x14ac:dyDescent="0.3">
      <c r="AD9512" s="16"/>
    </row>
    <row r="9513" spans="30:30" x14ac:dyDescent="0.3">
      <c r="AD9513" s="16"/>
    </row>
    <row r="9514" spans="30:30" x14ac:dyDescent="0.3">
      <c r="AD9514" s="16"/>
    </row>
    <row r="9515" spans="30:30" x14ac:dyDescent="0.3">
      <c r="AD9515" s="16"/>
    </row>
    <row r="9516" spans="30:30" x14ac:dyDescent="0.3">
      <c r="AD9516" s="16"/>
    </row>
    <row r="9517" spans="30:30" x14ac:dyDescent="0.3">
      <c r="AD9517" s="16"/>
    </row>
    <row r="9518" spans="30:30" x14ac:dyDescent="0.3">
      <c r="AD9518" s="16"/>
    </row>
    <row r="9519" spans="30:30" x14ac:dyDescent="0.3">
      <c r="AD9519" s="16"/>
    </row>
    <row r="9520" spans="30:30" x14ac:dyDescent="0.3">
      <c r="AD9520" s="16"/>
    </row>
    <row r="9521" spans="30:30" x14ac:dyDescent="0.3">
      <c r="AD9521" s="16"/>
    </row>
    <row r="9522" spans="30:30" x14ac:dyDescent="0.3">
      <c r="AD9522" s="16"/>
    </row>
    <row r="9523" spans="30:30" x14ac:dyDescent="0.3">
      <c r="AD9523" s="16"/>
    </row>
    <row r="9524" spans="30:30" x14ac:dyDescent="0.3">
      <c r="AD9524" s="16"/>
    </row>
    <row r="9525" spans="30:30" x14ac:dyDescent="0.3">
      <c r="AD9525" s="16"/>
    </row>
    <row r="9526" spans="30:30" x14ac:dyDescent="0.3">
      <c r="AD9526" s="16"/>
    </row>
    <row r="9527" spans="30:30" x14ac:dyDescent="0.3">
      <c r="AD9527" s="16"/>
    </row>
    <row r="9528" spans="30:30" x14ac:dyDescent="0.3">
      <c r="AD9528" s="16"/>
    </row>
    <row r="9529" spans="30:30" x14ac:dyDescent="0.3">
      <c r="AD9529" s="16"/>
    </row>
    <row r="9530" spans="30:30" x14ac:dyDescent="0.3">
      <c r="AD9530" s="16"/>
    </row>
    <row r="9531" spans="30:30" x14ac:dyDescent="0.3">
      <c r="AD9531" s="16"/>
    </row>
    <row r="9532" spans="30:30" x14ac:dyDescent="0.3">
      <c r="AD9532" s="16"/>
    </row>
    <row r="9533" spans="30:30" x14ac:dyDescent="0.3">
      <c r="AD9533" s="16"/>
    </row>
    <row r="9534" spans="30:30" x14ac:dyDescent="0.3">
      <c r="AD9534" s="16"/>
    </row>
    <row r="9535" spans="30:30" x14ac:dyDescent="0.3">
      <c r="AD9535" s="16"/>
    </row>
    <row r="9536" spans="30:30" x14ac:dyDescent="0.3">
      <c r="AD9536" s="16"/>
    </row>
    <row r="9537" spans="30:30" x14ac:dyDescent="0.3">
      <c r="AD9537" s="16"/>
    </row>
    <row r="9538" spans="30:30" x14ac:dyDescent="0.3">
      <c r="AD9538" s="16"/>
    </row>
    <row r="9539" spans="30:30" x14ac:dyDescent="0.3">
      <c r="AD9539" s="16"/>
    </row>
    <row r="9540" spans="30:30" x14ac:dyDescent="0.3">
      <c r="AD9540" s="16"/>
    </row>
    <row r="9541" spans="30:30" x14ac:dyDescent="0.3">
      <c r="AD9541" s="16"/>
    </row>
    <row r="9542" spans="30:30" x14ac:dyDescent="0.3">
      <c r="AD9542" s="16"/>
    </row>
    <row r="9543" spans="30:30" x14ac:dyDescent="0.3">
      <c r="AD9543" s="16"/>
    </row>
    <row r="9544" spans="30:30" x14ac:dyDescent="0.3">
      <c r="AD9544" s="16"/>
    </row>
    <row r="9545" spans="30:30" x14ac:dyDescent="0.3">
      <c r="AD9545" s="16"/>
    </row>
    <row r="9546" spans="30:30" x14ac:dyDescent="0.3">
      <c r="AD9546" s="16"/>
    </row>
    <row r="9547" spans="30:30" x14ac:dyDescent="0.3">
      <c r="AD9547" s="16"/>
    </row>
    <row r="9548" spans="30:30" x14ac:dyDescent="0.3">
      <c r="AD9548" s="16"/>
    </row>
    <row r="9549" spans="30:30" x14ac:dyDescent="0.3">
      <c r="AD9549" s="16"/>
    </row>
    <row r="9550" spans="30:30" x14ac:dyDescent="0.3">
      <c r="AD9550" s="16"/>
    </row>
    <row r="9551" spans="30:30" x14ac:dyDescent="0.3">
      <c r="AD9551" s="16"/>
    </row>
    <row r="9552" spans="30:30" x14ac:dyDescent="0.3">
      <c r="AD9552" s="16"/>
    </row>
    <row r="9553" spans="30:30" x14ac:dyDescent="0.3">
      <c r="AD9553" s="16"/>
    </row>
    <row r="9554" spans="30:30" x14ac:dyDescent="0.3">
      <c r="AD9554" s="16"/>
    </row>
    <row r="9555" spans="30:30" x14ac:dyDescent="0.3">
      <c r="AD9555" s="16"/>
    </row>
    <row r="9556" spans="30:30" x14ac:dyDescent="0.3">
      <c r="AD9556" s="16"/>
    </row>
    <row r="9557" spans="30:30" x14ac:dyDescent="0.3">
      <c r="AD9557" s="16"/>
    </row>
    <row r="9558" spans="30:30" x14ac:dyDescent="0.3">
      <c r="AD9558" s="16"/>
    </row>
    <row r="9559" spans="30:30" x14ac:dyDescent="0.3">
      <c r="AD9559" s="16"/>
    </row>
    <row r="9560" spans="30:30" x14ac:dyDescent="0.3">
      <c r="AD9560" s="16"/>
    </row>
    <row r="9561" spans="30:30" x14ac:dyDescent="0.3">
      <c r="AD9561" s="16"/>
    </row>
    <row r="9562" spans="30:30" x14ac:dyDescent="0.3">
      <c r="AD9562" s="16"/>
    </row>
    <row r="9563" spans="30:30" x14ac:dyDescent="0.3">
      <c r="AD9563" s="16"/>
    </row>
    <row r="9564" spans="30:30" x14ac:dyDescent="0.3">
      <c r="AD9564" s="16"/>
    </row>
    <row r="9565" spans="30:30" x14ac:dyDescent="0.3">
      <c r="AD9565" s="16"/>
    </row>
    <row r="9566" spans="30:30" x14ac:dyDescent="0.3">
      <c r="AD9566" s="16"/>
    </row>
    <row r="9567" spans="30:30" x14ac:dyDescent="0.3">
      <c r="AD9567" s="16"/>
    </row>
    <row r="9568" spans="30:30" x14ac:dyDescent="0.3">
      <c r="AD9568" s="16"/>
    </row>
    <row r="9569" spans="30:30" x14ac:dyDescent="0.3">
      <c r="AD9569" s="16"/>
    </row>
    <row r="9570" spans="30:30" x14ac:dyDescent="0.3">
      <c r="AD9570" s="16"/>
    </row>
    <row r="9571" spans="30:30" x14ac:dyDescent="0.3">
      <c r="AD9571" s="16"/>
    </row>
    <row r="9572" spans="30:30" x14ac:dyDescent="0.3">
      <c r="AD9572" s="16"/>
    </row>
    <row r="9573" spans="30:30" x14ac:dyDescent="0.3">
      <c r="AD9573" s="16"/>
    </row>
    <row r="9574" spans="30:30" x14ac:dyDescent="0.3">
      <c r="AD9574" s="16"/>
    </row>
    <row r="9575" spans="30:30" x14ac:dyDescent="0.3">
      <c r="AD9575" s="16"/>
    </row>
    <row r="9576" spans="30:30" x14ac:dyDescent="0.3">
      <c r="AD9576" s="16"/>
    </row>
    <row r="9577" spans="30:30" x14ac:dyDescent="0.3">
      <c r="AD9577" s="16"/>
    </row>
    <row r="9578" spans="30:30" x14ac:dyDescent="0.3">
      <c r="AD9578" s="16"/>
    </row>
    <row r="9579" spans="30:30" x14ac:dyDescent="0.3">
      <c r="AD9579" s="16"/>
    </row>
    <row r="9580" spans="30:30" x14ac:dyDescent="0.3">
      <c r="AD9580" s="16"/>
    </row>
    <row r="9581" spans="30:30" x14ac:dyDescent="0.3">
      <c r="AD9581" s="16"/>
    </row>
    <row r="9582" spans="30:30" x14ac:dyDescent="0.3">
      <c r="AD9582" s="16"/>
    </row>
    <row r="9583" spans="30:30" x14ac:dyDescent="0.3">
      <c r="AD9583" s="16"/>
    </row>
    <row r="9584" spans="30:30" x14ac:dyDescent="0.3">
      <c r="AD9584" s="16"/>
    </row>
    <row r="9585" spans="30:30" x14ac:dyDescent="0.3">
      <c r="AD9585" s="16"/>
    </row>
    <row r="9586" spans="30:30" x14ac:dyDescent="0.3">
      <c r="AD9586" s="16"/>
    </row>
    <row r="9587" spans="30:30" x14ac:dyDescent="0.3">
      <c r="AD9587" s="16"/>
    </row>
    <row r="9588" spans="30:30" x14ac:dyDescent="0.3">
      <c r="AD9588" s="16"/>
    </row>
    <row r="9589" spans="30:30" x14ac:dyDescent="0.3">
      <c r="AD9589" s="16"/>
    </row>
    <row r="9590" spans="30:30" x14ac:dyDescent="0.3">
      <c r="AD9590" s="16"/>
    </row>
    <row r="9591" spans="30:30" x14ac:dyDescent="0.3">
      <c r="AD9591" s="16"/>
    </row>
    <row r="9592" spans="30:30" x14ac:dyDescent="0.3">
      <c r="AD9592" s="16"/>
    </row>
    <row r="9593" spans="30:30" x14ac:dyDescent="0.3">
      <c r="AD9593" s="16"/>
    </row>
    <row r="9594" spans="30:30" x14ac:dyDescent="0.3">
      <c r="AD9594" s="16"/>
    </row>
    <row r="9595" spans="30:30" x14ac:dyDescent="0.3">
      <c r="AD9595" s="16"/>
    </row>
    <row r="9596" spans="30:30" x14ac:dyDescent="0.3">
      <c r="AD9596" s="16"/>
    </row>
    <row r="9597" spans="30:30" x14ac:dyDescent="0.3">
      <c r="AD9597" s="16"/>
    </row>
    <row r="9598" spans="30:30" x14ac:dyDescent="0.3">
      <c r="AD9598" s="16"/>
    </row>
    <row r="9599" spans="30:30" x14ac:dyDescent="0.3">
      <c r="AD9599" s="16"/>
    </row>
    <row r="9600" spans="30:30" x14ac:dyDescent="0.3">
      <c r="AD9600" s="16"/>
    </row>
    <row r="9601" spans="30:30" x14ac:dyDescent="0.3">
      <c r="AD9601" s="16"/>
    </row>
    <row r="9602" spans="30:30" x14ac:dyDescent="0.3">
      <c r="AD9602" s="16"/>
    </row>
    <row r="9603" spans="30:30" x14ac:dyDescent="0.3">
      <c r="AD9603" s="16"/>
    </row>
    <row r="9604" spans="30:30" x14ac:dyDescent="0.3">
      <c r="AD9604" s="16"/>
    </row>
    <row r="9605" spans="30:30" x14ac:dyDescent="0.3">
      <c r="AD9605" s="16"/>
    </row>
    <row r="9606" spans="30:30" x14ac:dyDescent="0.3">
      <c r="AD9606" s="16"/>
    </row>
    <row r="9607" spans="30:30" x14ac:dyDescent="0.3">
      <c r="AD9607" s="16"/>
    </row>
    <row r="9608" spans="30:30" x14ac:dyDescent="0.3">
      <c r="AD9608" s="16"/>
    </row>
    <row r="9609" spans="30:30" x14ac:dyDescent="0.3">
      <c r="AD9609" s="16"/>
    </row>
    <row r="9610" spans="30:30" x14ac:dyDescent="0.3">
      <c r="AD9610" s="16"/>
    </row>
    <row r="9611" spans="30:30" x14ac:dyDescent="0.3">
      <c r="AD9611" s="16"/>
    </row>
    <row r="9612" spans="30:30" x14ac:dyDescent="0.3">
      <c r="AD9612" s="16"/>
    </row>
    <row r="9613" spans="30:30" x14ac:dyDescent="0.3">
      <c r="AD9613" s="16"/>
    </row>
    <row r="9614" spans="30:30" x14ac:dyDescent="0.3">
      <c r="AD9614" s="16"/>
    </row>
    <row r="9615" spans="30:30" x14ac:dyDescent="0.3">
      <c r="AD9615" s="16"/>
    </row>
    <row r="9616" spans="30:30" x14ac:dyDescent="0.3">
      <c r="AD9616" s="16"/>
    </row>
    <row r="9617" spans="30:30" x14ac:dyDescent="0.3">
      <c r="AD9617" s="16"/>
    </row>
    <row r="9618" spans="30:30" x14ac:dyDescent="0.3">
      <c r="AD9618" s="16"/>
    </row>
    <row r="9619" spans="30:30" x14ac:dyDescent="0.3">
      <c r="AD9619" s="16"/>
    </row>
    <row r="9620" spans="30:30" x14ac:dyDescent="0.3">
      <c r="AD9620" s="16"/>
    </row>
    <row r="9621" spans="30:30" x14ac:dyDescent="0.3">
      <c r="AD9621" s="16"/>
    </row>
    <row r="9622" spans="30:30" x14ac:dyDescent="0.3">
      <c r="AD9622" s="16"/>
    </row>
    <row r="9623" spans="30:30" x14ac:dyDescent="0.3">
      <c r="AD9623" s="16"/>
    </row>
    <row r="9624" spans="30:30" x14ac:dyDescent="0.3">
      <c r="AD9624" s="16"/>
    </row>
    <row r="9625" spans="30:30" x14ac:dyDescent="0.3">
      <c r="AD9625" s="16"/>
    </row>
    <row r="9626" spans="30:30" x14ac:dyDescent="0.3">
      <c r="AD9626" s="16"/>
    </row>
    <row r="9627" spans="30:30" x14ac:dyDescent="0.3">
      <c r="AD9627" s="16"/>
    </row>
    <row r="9628" spans="30:30" x14ac:dyDescent="0.3">
      <c r="AD9628" s="16"/>
    </row>
    <row r="9629" spans="30:30" x14ac:dyDescent="0.3">
      <c r="AD9629" s="16"/>
    </row>
    <row r="9630" spans="30:30" x14ac:dyDescent="0.3">
      <c r="AD9630" s="16"/>
    </row>
    <row r="9631" spans="30:30" x14ac:dyDescent="0.3">
      <c r="AD9631" s="16"/>
    </row>
    <row r="9632" spans="30:30" x14ac:dyDescent="0.3">
      <c r="AD9632" s="16"/>
    </row>
    <row r="9633" spans="30:30" x14ac:dyDescent="0.3">
      <c r="AD9633" s="16"/>
    </row>
    <row r="9634" spans="30:30" x14ac:dyDescent="0.3">
      <c r="AD9634" s="16"/>
    </row>
    <row r="9635" spans="30:30" x14ac:dyDescent="0.3">
      <c r="AD9635" s="16"/>
    </row>
    <row r="9636" spans="30:30" x14ac:dyDescent="0.3">
      <c r="AD9636" s="16"/>
    </row>
    <row r="9637" spans="30:30" x14ac:dyDescent="0.3">
      <c r="AD9637" s="16"/>
    </row>
    <row r="9638" spans="30:30" x14ac:dyDescent="0.3">
      <c r="AD9638" s="16"/>
    </row>
    <row r="9639" spans="30:30" x14ac:dyDescent="0.3">
      <c r="AD9639" s="16"/>
    </row>
    <row r="9640" spans="30:30" x14ac:dyDescent="0.3">
      <c r="AD9640" s="16"/>
    </row>
    <row r="9641" spans="30:30" x14ac:dyDescent="0.3">
      <c r="AD9641" s="16"/>
    </row>
    <row r="9642" spans="30:30" x14ac:dyDescent="0.3">
      <c r="AD9642" s="16"/>
    </row>
    <row r="9643" spans="30:30" x14ac:dyDescent="0.3">
      <c r="AD9643" s="16"/>
    </row>
    <row r="9644" spans="30:30" x14ac:dyDescent="0.3">
      <c r="AD9644" s="16"/>
    </row>
    <row r="9645" spans="30:30" x14ac:dyDescent="0.3">
      <c r="AD9645" s="16"/>
    </row>
    <row r="9646" spans="30:30" x14ac:dyDescent="0.3">
      <c r="AD9646" s="16"/>
    </row>
    <row r="9647" spans="30:30" x14ac:dyDescent="0.3">
      <c r="AD9647" s="16"/>
    </row>
    <row r="9648" spans="30:30" x14ac:dyDescent="0.3">
      <c r="AD9648" s="16"/>
    </row>
    <row r="9649" spans="30:30" x14ac:dyDescent="0.3">
      <c r="AD9649" s="16"/>
    </row>
    <row r="9650" spans="30:30" x14ac:dyDescent="0.3">
      <c r="AD9650" s="16"/>
    </row>
    <row r="9651" spans="30:30" x14ac:dyDescent="0.3">
      <c r="AD9651" s="16"/>
    </row>
    <row r="9652" spans="30:30" x14ac:dyDescent="0.3">
      <c r="AD9652" s="16"/>
    </row>
    <row r="9653" spans="30:30" x14ac:dyDescent="0.3">
      <c r="AD9653" s="16"/>
    </row>
    <row r="9654" spans="30:30" x14ac:dyDescent="0.3">
      <c r="AD9654" s="16"/>
    </row>
    <row r="9655" spans="30:30" x14ac:dyDescent="0.3">
      <c r="AD9655" s="16"/>
    </row>
    <row r="9656" spans="30:30" x14ac:dyDescent="0.3">
      <c r="AD9656" s="16"/>
    </row>
    <row r="9657" spans="30:30" x14ac:dyDescent="0.3">
      <c r="AD9657" s="16"/>
    </row>
    <row r="9658" spans="30:30" x14ac:dyDescent="0.3">
      <c r="AD9658" s="16"/>
    </row>
    <row r="9659" spans="30:30" x14ac:dyDescent="0.3">
      <c r="AD9659" s="16"/>
    </row>
    <row r="9660" spans="30:30" x14ac:dyDescent="0.3">
      <c r="AD9660" s="16"/>
    </row>
    <row r="9661" spans="30:30" x14ac:dyDescent="0.3">
      <c r="AD9661" s="16"/>
    </row>
    <row r="9662" spans="30:30" x14ac:dyDescent="0.3">
      <c r="AD9662" s="16"/>
    </row>
    <row r="9663" spans="30:30" x14ac:dyDescent="0.3">
      <c r="AD9663" s="16"/>
    </row>
    <row r="9664" spans="30:30" x14ac:dyDescent="0.3">
      <c r="AD9664" s="16"/>
    </row>
    <row r="9665" spans="30:30" x14ac:dyDescent="0.3">
      <c r="AD9665" s="16"/>
    </row>
    <row r="9666" spans="30:30" x14ac:dyDescent="0.3">
      <c r="AD9666" s="16"/>
    </row>
    <row r="9667" spans="30:30" x14ac:dyDescent="0.3">
      <c r="AD9667" s="16"/>
    </row>
    <row r="9668" spans="30:30" x14ac:dyDescent="0.3">
      <c r="AD9668" s="16"/>
    </row>
    <row r="9669" spans="30:30" x14ac:dyDescent="0.3">
      <c r="AD9669" s="16"/>
    </row>
    <row r="9670" spans="30:30" x14ac:dyDescent="0.3">
      <c r="AD9670" s="16"/>
    </row>
    <row r="9671" spans="30:30" x14ac:dyDescent="0.3">
      <c r="AD9671" s="16"/>
    </row>
    <row r="9672" spans="30:30" x14ac:dyDescent="0.3">
      <c r="AD9672" s="16"/>
    </row>
    <row r="9673" spans="30:30" x14ac:dyDescent="0.3">
      <c r="AD9673" s="16"/>
    </row>
    <row r="9674" spans="30:30" x14ac:dyDescent="0.3">
      <c r="AD9674" s="16"/>
    </row>
    <row r="9675" spans="30:30" x14ac:dyDescent="0.3">
      <c r="AD9675" s="16"/>
    </row>
    <row r="9676" spans="30:30" x14ac:dyDescent="0.3">
      <c r="AD9676" s="16"/>
    </row>
    <row r="9677" spans="30:30" x14ac:dyDescent="0.3">
      <c r="AD9677" s="16"/>
    </row>
    <row r="9678" spans="30:30" x14ac:dyDescent="0.3">
      <c r="AD9678" s="16"/>
    </row>
    <row r="9679" spans="30:30" x14ac:dyDescent="0.3">
      <c r="AD9679" s="16"/>
    </row>
    <row r="9680" spans="30:30" x14ac:dyDescent="0.3">
      <c r="AD9680" s="16"/>
    </row>
    <row r="9681" spans="30:30" x14ac:dyDescent="0.3">
      <c r="AD9681" s="16"/>
    </row>
    <row r="9682" spans="30:30" x14ac:dyDescent="0.3">
      <c r="AD9682" s="16"/>
    </row>
    <row r="9683" spans="30:30" x14ac:dyDescent="0.3">
      <c r="AD9683" s="16"/>
    </row>
    <row r="9684" spans="30:30" x14ac:dyDescent="0.3">
      <c r="AD9684" s="16"/>
    </row>
    <row r="9685" spans="30:30" x14ac:dyDescent="0.3">
      <c r="AD9685" s="16"/>
    </row>
    <row r="9686" spans="30:30" x14ac:dyDescent="0.3">
      <c r="AD9686" s="16"/>
    </row>
    <row r="9687" spans="30:30" x14ac:dyDescent="0.3">
      <c r="AD9687" s="16"/>
    </row>
    <row r="9688" spans="30:30" x14ac:dyDescent="0.3">
      <c r="AD9688" s="16"/>
    </row>
    <row r="9689" spans="30:30" x14ac:dyDescent="0.3">
      <c r="AD9689" s="16"/>
    </row>
    <row r="9690" spans="30:30" x14ac:dyDescent="0.3">
      <c r="AD9690" s="16"/>
    </row>
    <row r="9691" spans="30:30" x14ac:dyDescent="0.3">
      <c r="AD9691" s="16"/>
    </row>
    <row r="9692" spans="30:30" x14ac:dyDescent="0.3">
      <c r="AD9692" s="16"/>
    </row>
    <row r="9693" spans="30:30" x14ac:dyDescent="0.3">
      <c r="AD9693" s="16"/>
    </row>
    <row r="9694" spans="30:30" x14ac:dyDescent="0.3">
      <c r="AD9694" s="16"/>
    </row>
    <row r="9695" spans="30:30" x14ac:dyDescent="0.3">
      <c r="AD9695" s="16"/>
    </row>
    <row r="9696" spans="30:30" x14ac:dyDescent="0.3">
      <c r="AD9696" s="16"/>
    </row>
    <row r="9697" spans="30:30" x14ac:dyDescent="0.3">
      <c r="AD9697" s="16"/>
    </row>
    <row r="9698" spans="30:30" x14ac:dyDescent="0.3">
      <c r="AD9698" s="16"/>
    </row>
    <row r="9699" spans="30:30" x14ac:dyDescent="0.3">
      <c r="AD9699" s="16"/>
    </row>
    <row r="9700" spans="30:30" x14ac:dyDescent="0.3">
      <c r="AD9700" s="16"/>
    </row>
    <row r="9701" spans="30:30" x14ac:dyDescent="0.3">
      <c r="AD9701" s="16"/>
    </row>
    <row r="9702" spans="30:30" x14ac:dyDescent="0.3">
      <c r="AD9702" s="16"/>
    </row>
    <row r="9703" spans="30:30" x14ac:dyDescent="0.3">
      <c r="AD9703" s="16"/>
    </row>
    <row r="9704" spans="30:30" x14ac:dyDescent="0.3">
      <c r="AD9704" s="16"/>
    </row>
    <row r="9705" spans="30:30" x14ac:dyDescent="0.3">
      <c r="AD9705" s="16"/>
    </row>
    <row r="9706" spans="30:30" x14ac:dyDescent="0.3">
      <c r="AD9706" s="16"/>
    </row>
    <row r="9707" spans="30:30" x14ac:dyDescent="0.3">
      <c r="AD9707" s="16"/>
    </row>
    <row r="9708" spans="30:30" x14ac:dyDescent="0.3">
      <c r="AD9708" s="16"/>
    </row>
    <row r="9709" spans="30:30" x14ac:dyDescent="0.3">
      <c r="AD9709" s="16"/>
    </row>
    <row r="9710" spans="30:30" x14ac:dyDescent="0.3">
      <c r="AD9710" s="16"/>
    </row>
    <row r="9711" spans="30:30" x14ac:dyDescent="0.3">
      <c r="AD9711" s="16"/>
    </row>
    <row r="9712" spans="30:30" x14ac:dyDescent="0.3">
      <c r="AD9712" s="16"/>
    </row>
    <row r="9713" spans="30:30" x14ac:dyDescent="0.3">
      <c r="AD9713" s="16"/>
    </row>
    <row r="9714" spans="30:30" x14ac:dyDescent="0.3">
      <c r="AD9714" s="16"/>
    </row>
    <row r="9715" spans="30:30" x14ac:dyDescent="0.3">
      <c r="AD9715" s="16"/>
    </row>
    <row r="9716" spans="30:30" x14ac:dyDescent="0.3">
      <c r="AD9716" s="16"/>
    </row>
    <row r="9717" spans="30:30" x14ac:dyDescent="0.3">
      <c r="AD9717" s="16"/>
    </row>
    <row r="9718" spans="30:30" x14ac:dyDescent="0.3">
      <c r="AD9718" s="16"/>
    </row>
    <row r="9719" spans="30:30" x14ac:dyDescent="0.3">
      <c r="AD9719" s="16"/>
    </row>
    <row r="9720" spans="30:30" x14ac:dyDescent="0.3">
      <c r="AD9720" s="16"/>
    </row>
    <row r="9721" spans="30:30" x14ac:dyDescent="0.3">
      <c r="AD9721" s="16"/>
    </row>
    <row r="9722" spans="30:30" x14ac:dyDescent="0.3">
      <c r="AD9722" s="16"/>
    </row>
    <row r="9723" spans="30:30" x14ac:dyDescent="0.3">
      <c r="AD9723" s="16"/>
    </row>
    <row r="9724" spans="30:30" x14ac:dyDescent="0.3">
      <c r="AD9724" s="16"/>
    </row>
    <row r="9725" spans="30:30" x14ac:dyDescent="0.3">
      <c r="AD9725" s="16"/>
    </row>
    <row r="9726" spans="30:30" x14ac:dyDescent="0.3">
      <c r="AD9726" s="16"/>
    </row>
    <row r="9727" spans="30:30" x14ac:dyDescent="0.3">
      <c r="AD9727" s="16"/>
    </row>
    <row r="9728" spans="30:30" x14ac:dyDescent="0.3">
      <c r="AD9728" s="16"/>
    </row>
    <row r="9729" spans="30:30" x14ac:dyDescent="0.3">
      <c r="AD9729" s="16"/>
    </row>
    <row r="9730" spans="30:30" x14ac:dyDescent="0.3">
      <c r="AD9730" s="16"/>
    </row>
    <row r="9731" spans="30:30" x14ac:dyDescent="0.3">
      <c r="AD9731" s="16"/>
    </row>
    <row r="9732" spans="30:30" x14ac:dyDescent="0.3">
      <c r="AD9732" s="16"/>
    </row>
    <row r="9733" spans="30:30" x14ac:dyDescent="0.3">
      <c r="AD9733" s="16"/>
    </row>
    <row r="9734" spans="30:30" x14ac:dyDescent="0.3">
      <c r="AD9734" s="16"/>
    </row>
    <row r="9735" spans="30:30" x14ac:dyDescent="0.3">
      <c r="AD9735" s="16"/>
    </row>
    <row r="9736" spans="30:30" x14ac:dyDescent="0.3">
      <c r="AD9736" s="16"/>
    </row>
    <row r="9737" spans="30:30" x14ac:dyDescent="0.3">
      <c r="AD9737" s="16"/>
    </row>
    <row r="9738" spans="30:30" x14ac:dyDescent="0.3">
      <c r="AD9738" s="16"/>
    </row>
    <row r="9739" spans="30:30" x14ac:dyDescent="0.3">
      <c r="AD9739" s="16"/>
    </row>
    <row r="9740" spans="30:30" x14ac:dyDescent="0.3">
      <c r="AD9740" s="16"/>
    </row>
    <row r="9741" spans="30:30" x14ac:dyDescent="0.3">
      <c r="AD9741" s="16"/>
    </row>
    <row r="9742" spans="30:30" x14ac:dyDescent="0.3">
      <c r="AD9742" s="16"/>
    </row>
    <row r="9743" spans="30:30" x14ac:dyDescent="0.3">
      <c r="AD9743" s="16"/>
    </row>
    <row r="9744" spans="30:30" x14ac:dyDescent="0.3">
      <c r="AD9744" s="16"/>
    </row>
    <row r="9745" spans="30:30" x14ac:dyDescent="0.3">
      <c r="AD9745" s="16"/>
    </row>
    <row r="9746" spans="30:30" x14ac:dyDescent="0.3">
      <c r="AD9746" s="16"/>
    </row>
    <row r="9747" spans="30:30" x14ac:dyDescent="0.3">
      <c r="AD9747" s="16"/>
    </row>
    <row r="9748" spans="30:30" x14ac:dyDescent="0.3">
      <c r="AD9748" s="16"/>
    </row>
    <row r="9749" spans="30:30" x14ac:dyDescent="0.3">
      <c r="AD9749" s="16"/>
    </row>
    <row r="9750" spans="30:30" x14ac:dyDescent="0.3">
      <c r="AD9750" s="16"/>
    </row>
    <row r="9751" spans="30:30" x14ac:dyDescent="0.3">
      <c r="AD9751" s="16"/>
    </row>
    <row r="9752" spans="30:30" x14ac:dyDescent="0.3">
      <c r="AD9752" s="16"/>
    </row>
    <row r="9753" spans="30:30" x14ac:dyDescent="0.3">
      <c r="AD9753" s="16"/>
    </row>
    <row r="9754" spans="30:30" x14ac:dyDescent="0.3">
      <c r="AD9754" s="16"/>
    </row>
    <row r="9755" spans="30:30" x14ac:dyDescent="0.3">
      <c r="AD9755" s="16"/>
    </row>
    <row r="9756" spans="30:30" x14ac:dyDescent="0.3">
      <c r="AD9756" s="16"/>
    </row>
    <row r="9757" spans="30:30" x14ac:dyDescent="0.3">
      <c r="AD9757" s="16"/>
    </row>
    <row r="9758" spans="30:30" x14ac:dyDescent="0.3">
      <c r="AD9758" s="16"/>
    </row>
    <row r="9759" spans="30:30" x14ac:dyDescent="0.3">
      <c r="AD9759" s="16"/>
    </row>
    <row r="9760" spans="30:30" x14ac:dyDescent="0.3">
      <c r="AD9760" s="16"/>
    </row>
    <row r="9761" spans="30:30" x14ac:dyDescent="0.3">
      <c r="AD9761" s="16"/>
    </row>
    <row r="9762" spans="30:30" x14ac:dyDescent="0.3">
      <c r="AD9762" s="16"/>
    </row>
    <row r="9763" spans="30:30" x14ac:dyDescent="0.3">
      <c r="AD9763" s="16"/>
    </row>
    <row r="9764" spans="30:30" x14ac:dyDescent="0.3">
      <c r="AD9764" s="16"/>
    </row>
    <row r="9765" spans="30:30" x14ac:dyDescent="0.3">
      <c r="AD9765" s="16"/>
    </row>
    <row r="9766" spans="30:30" x14ac:dyDescent="0.3">
      <c r="AD9766" s="16"/>
    </row>
    <row r="9767" spans="30:30" x14ac:dyDescent="0.3">
      <c r="AD9767" s="16"/>
    </row>
    <row r="9768" spans="30:30" x14ac:dyDescent="0.3">
      <c r="AD9768" s="16"/>
    </row>
    <row r="9769" spans="30:30" x14ac:dyDescent="0.3">
      <c r="AD9769" s="16"/>
    </row>
    <row r="9770" spans="30:30" x14ac:dyDescent="0.3">
      <c r="AD9770" s="16"/>
    </row>
    <row r="9771" spans="30:30" x14ac:dyDescent="0.3">
      <c r="AD9771" s="16"/>
    </row>
    <row r="9772" spans="30:30" x14ac:dyDescent="0.3">
      <c r="AD9772" s="16"/>
    </row>
    <row r="9773" spans="30:30" x14ac:dyDescent="0.3">
      <c r="AD9773" s="16"/>
    </row>
    <row r="9774" spans="30:30" x14ac:dyDescent="0.3">
      <c r="AD9774" s="16"/>
    </row>
    <row r="9775" spans="30:30" x14ac:dyDescent="0.3">
      <c r="AD9775" s="16"/>
    </row>
    <row r="9776" spans="30:30" x14ac:dyDescent="0.3">
      <c r="AD9776" s="16"/>
    </row>
    <row r="9777" spans="30:30" x14ac:dyDescent="0.3">
      <c r="AD9777" s="16"/>
    </row>
    <row r="9778" spans="30:30" x14ac:dyDescent="0.3">
      <c r="AD9778" s="16"/>
    </row>
    <row r="9779" spans="30:30" x14ac:dyDescent="0.3">
      <c r="AD9779" s="16"/>
    </row>
    <row r="9780" spans="30:30" x14ac:dyDescent="0.3">
      <c r="AD9780" s="16"/>
    </row>
    <row r="9781" spans="30:30" x14ac:dyDescent="0.3">
      <c r="AD9781" s="16"/>
    </row>
    <row r="9782" spans="30:30" x14ac:dyDescent="0.3">
      <c r="AD9782" s="16"/>
    </row>
    <row r="9783" spans="30:30" x14ac:dyDescent="0.3">
      <c r="AD9783" s="16"/>
    </row>
    <row r="9784" spans="30:30" x14ac:dyDescent="0.3">
      <c r="AD9784" s="16"/>
    </row>
    <row r="9785" spans="30:30" x14ac:dyDescent="0.3">
      <c r="AD9785" s="16"/>
    </row>
    <row r="9786" spans="30:30" x14ac:dyDescent="0.3">
      <c r="AD9786" s="16"/>
    </row>
    <row r="9787" spans="30:30" x14ac:dyDescent="0.3">
      <c r="AD9787" s="16"/>
    </row>
    <row r="9788" spans="30:30" x14ac:dyDescent="0.3">
      <c r="AD9788" s="16"/>
    </row>
    <row r="9789" spans="30:30" x14ac:dyDescent="0.3">
      <c r="AD9789" s="16"/>
    </row>
    <row r="9790" spans="30:30" x14ac:dyDescent="0.3">
      <c r="AD9790" s="16"/>
    </row>
    <row r="9791" spans="30:30" x14ac:dyDescent="0.3">
      <c r="AD9791" s="16"/>
    </row>
    <row r="9792" spans="30:30" x14ac:dyDescent="0.3">
      <c r="AD9792" s="16"/>
    </row>
    <row r="9793" spans="30:30" x14ac:dyDescent="0.3">
      <c r="AD9793" s="16"/>
    </row>
    <row r="9794" spans="30:30" x14ac:dyDescent="0.3">
      <c r="AD9794" s="16"/>
    </row>
    <row r="9795" spans="30:30" x14ac:dyDescent="0.3">
      <c r="AD9795" s="16"/>
    </row>
    <row r="9796" spans="30:30" x14ac:dyDescent="0.3">
      <c r="AD9796" s="16"/>
    </row>
    <row r="9797" spans="30:30" x14ac:dyDescent="0.3">
      <c r="AD9797" s="16"/>
    </row>
    <row r="9798" spans="30:30" x14ac:dyDescent="0.3">
      <c r="AD9798" s="16"/>
    </row>
    <row r="9799" spans="30:30" x14ac:dyDescent="0.3">
      <c r="AD9799" s="16"/>
    </row>
    <row r="9800" spans="30:30" x14ac:dyDescent="0.3">
      <c r="AD9800" s="16"/>
    </row>
    <row r="9801" spans="30:30" x14ac:dyDescent="0.3">
      <c r="AD9801" s="16"/>
    </row>
    <row r="9802" spans="30:30" x14ac:dyDescent="0.3">
      <c r="AD9802" s="16"/>
    </row>
    <row r="9803" spans="30:30" x14ac:dyDescent="0.3">
      <c r="AD9803" s="16"/>
    </row>
    <row r="9804" spans="30:30" x14ac:dyDescent="0.3">
      <c r="AD9804" s="16"/>
    </row>
    <row r="9805" spans="30:30" x14ac:dyDescent="0.3">
      <c r="AD9805" s="16"/>
    </row>
    <row r="9806" spans="30:30" x14ac:dyDescent="0.3">
      <c r="AD9806" s="16"/>
    </row>
    <row r="9807" spans="30:30" x14ac:dyDescent="0.3">
      <c r="AD9807" s="16"/>
    </row>
    <row r="9808" spans="30:30" x14ac:dyDescent="0.3">
      <c r="AD9808" s="16"/>
    </row>
    <row r="9809" spans="30:30" x14ac:dyDescent="0.3">
      <c r="AD9809" s="16"/>
    </row>
    <row r="9810" spans="30:30" x14ac:dyDescent="0.3">
      <c r="AD9810" s="16"/>
    </row>
    <row r="9811" spans="30:30" x14ac:dyDescent="0.3">
      <c r="AD9811" s="16"/>
    </row>
    <row r="9812" spans="30:30" x14ac:dyDescent="0.3">
      <c r="AD9812" s="16"/>
    </row>
    <row r="9813" spans="30:30" x14ac:dyDescent="0.3">
      <c r="AD9813" s="16"/>
    </row>
    <row r="9814" spans="30:30" x14ac:dyDescent="0.3">
      <c r="AD9814" s="16"/>
    </row>
    <row r="9815" spans="30:30" x14ac:dyDescent="0.3">
      <c r="AD9815" s="16"/>
    </row>
    <row r="9816" spans="30:30" x14ac:dyDescent="0.3">
      <c r="AD9816" s="16"/>
    </row>
    <row r="9817" spans="30:30" x14ac:dyDescent="0.3">
      <c r="AD9817" s="16"/>
    </row>
    <row r="9818" spans="30:30" x14ac:dyDescent="0.3">
      <c r="AD9818" s="16"/>
    </row>
    <row r="9819" spans="30:30" x14ac:dyDescent="0.3">
      <c r="AD9819" s="16"/>
    </row>
    <row r="9820" spans="30:30" x14ac:dyDescent="0.3">
      <c r="AD9820" s="16"/>
    </row>
    <row r="9821" spans="30:30" x14ac:dyDescent="0.3">
      <c r="AD9821" s="16"/>
    </row>
    <row r="9822" spans="30:30" x14ac:dyDescent="0.3">
      <c r="AD9822" s="16"/>
    </row>
    <row r="9823" spans="30:30" x14ac:dyDescent="0.3">
      <c r="AD9823" s="16"/>
    </row>
    <row r="9824" spans="30:30" x14ac:dyDescent="0.3">
      <c r="AD9824" s="16"/>
    </row>
    <row r="9825" spans="30:30" x14ac:dyDescent="0.3">
      <c r="AD9825" s="16"/>
    </row>
    <row r="9826" spans="30:30" x14ac:dyDescent="0.3">
      <c r="AD9826" s="16"/>
    </row>
    <row r="9827" spans="30:30" x14ac:dyDescent="0.3">
      <c r="AD9827" s="16"/>
    </row>
    <row r="9828" spans="30:30" x14ac:dyDescent="0.3">
      <c r="AD9828" s="16"/>
    </row>
    <row r="9829" spans="30:30" x14ac:dyDescent="0.3">
      <c r="AD9829" s="16"/>
    </row>
    <row r="9830" spans="30:30" x14ac:dyDescent="0.3">
      <c r="AD9830" s="16"/>
    </row>
    <row r="9831" spans="30:30" x14ac:dyDescent="0.3">
      <c r="AD9831" s="16"/>
    </row>
    <row r="9832" spans="30:30" x14ac:dyDescent="0.3">
      <c r="AD9832" s="16"/>
    </row>
    <row r="9833" spans="30:30" x14ac:dyDescent="0.3">
      <c r="AD9833" s="16"/>
    </row>
    <row r="9834" spans="30:30" x14ac:dyDescent="0.3">
      <c r="AD9834" s="16"/>
    </row>
    <row r="9835" spans="30:30" x14ac:dyDescent="0.3">
      <c r="AD9835" s="16"/>
    </row>
    <row r="9836" spans="30:30" x14ac:dyDescent="0.3">
      <c r="AD9836" s="16"/>
    </row>
    <row r="9837" spans="30:30" x14ac:dyDescent="0.3">
      <c r="AD9837" s="16"/>
    </row>
    <row r="9838" spans="30:30" x14ac:dyDescent="0.3">
      <c r="AD9838" s="16"/>
    </row>
    <row r="9839" spans="30:30" x14ac:dyDescent="0.3">
      <c r="AD9839" s="16"/>
    </row>
    <row r="9840" spans="30:30" x14ac:dyDescent="0.3">
      <c r="AD9840" s="16"/>
    </row>
    <row r="9841" spans="30:30" x14ac:dyDescent="0.3">
      <c r="AD9841" s="16"/>
    </row>
    <row r="9842" spans="30:30" x14ac:dyDescent="0.3">
      <c r="AD9842" s="16"/>
    </row>
    <row r="9843" spans="30:30" x14ac:dyDescent="0.3">
      <c r="AD9843" s="16"/>
    </row>
    <row r="9844" spans="30:30" x14ac:dyDescent="0.3">
      <c r="AD9844" s="16"/>
    </row>
    <row r="9845" spans="30:30" x14ac:dyDescent="0.3">
      <c r="AD9845" s="16"/>
    </row>
    <row r="9846" spans="30:30" x14ac:dyDescent="0.3">
      <c r="AD9846" s="16"/>
    </row>
    <row r="9847" spans="30:30" x14ac:dyDescent="0.3">
      <c r="AD9847" s="16"/>
    </row>
    <row r="9848" spans="30:30" x14ac:dyDescent="0.3">
      <c r="AD9848" s="16"/>
    </row>
    <row r="9849" spans="30:30" x14ac:dyDescent="0.3">
      <c r="AD9849" s="16"/>
    </row>
    <row r="9850" spans="30:30" x14ac:dyDescent="0.3">
      <c r="AD9850" s="16"/>
    </row>
    <row r="9851" spans="30:30" x14ac:dyDescent="0.3">
      <c r="AD9851" s="16"/>
    </row>
    <row r="9852" spans="30:30" x14ac:dyDescent="0.3">
      <c r="AD9852" s="16"/>
    </row>
    <row r="9853" spans="30:30" x14ac:dyDescent="0.3">
      <c r="AD9853" s="16"/>
    </row>
    <row r="9854" spans="30:30" x14ac:dyDescent="0.3">
      <c r="AD9854" s="16"/>
    </row>
    <row r="9855" spans="30:30" x14ac:dyDescent="0.3">
      <c r="AD9855" s="16"/>
    </row>
    <row r="9856" spans="30:30" x14ac:dyDescent="0.3">
      <c r="AD9856" s="16"/>
    </row>
    <row r="9857" spans="30:30" x14ac:dyDescent="0.3">
      <c r="AD9857" s="16"/>
    </row>
    <row r="9858" spans="30:30" x14ac:dyDescent="0.3">
      <c r="AD9858" s="16"/>
    </row>
    <row r="9859" spans="30:30" x14ac:dyDescent="0.3">
      <c r="AD9859" s="16"/>
    </row>
    <row r="9860" spans="30:30" x14ac:dyDescent="0.3">
      <c r="AD9860" s="16"/>
    </row>
    <row r="9861" spans="30:30" x14ac:dyDescent="0.3">
      <c r="AD9861" s="16"/>
    </row>
    <row r="9862" spans="30:30" x14ac:dyDescent="0.3">
      <c r="AD9862" s="16"/>
    </row>
    <row r="9863" spans="30:30" x14ac:dyDescent="0.3">
      <c r="AD9863" s="16"/>
    </row>
    <row r="9864" spans="30:30" x14ac:dyDescent="0.3">
      <c r="AD9864" s="16"/>
    </row>
    <row r="9865" spans="30:30" x14ac:dyDescent="0.3">
      <c r="AD9865" s="16"/>
    </row>
    <row r="9866" spans="30:30" x14ac:dyDescent="0.3">
      <c r="AD9866" s="16"/>
    </row>
    <row r="9867" spans="30:30" x14ac:dyDescent="0.3">
      <c r="AD9867" s="16"/>
    </row>
    <row r="9868" spans="30:30" x14ac:dyDescent="0.3">
      <c r="AD9868" s="16"/>
    </row>
    <row r="9869" spans="30:30" x14ac:dyDescent="0.3">
      <c r="AD9869" s="16"/>
    </row>
    <row r="9870" spans="30:30" x14ac:dyDescent="0.3">
      <c r="AD9870" s="16"/>
    </row>
    <row r="9871" spans="30:30" x14ac:dyDescent="0.3">
      <c r="AD9871" s="16"/>
    </row>
    <row r="9872" spans="30:30" x14ac:dyDescent="0.3">
      <c r="AD9872" s="16"/>
    </row>
    <row r="9873" spans="30:30" x14ac:dyDescent="0.3">
      <c r="AD9873" s="16"/>
    </row>
    <row r="9874" spans="30:30" x14ac:dyDescent="0.3">
      <c r="AD9874" s="16"/>
    </row>
    <row r="9875" spans="30:30" x14ac:dyDescent="0.3">
      <c r="AD9875" s="16"/>
    </row>
    <row r="9876" spans="30:30" x14ac:dyDescent="0.3">
      <c r="AD9876" s="16"/>
    </row>
    <row r="9877" spans="30:30" x14ac:dyDescent="0.3">
      <c r="AD9877" s="16"/>
    </row>
    <row r="9878" spans="30:30" x14ac:dyDescent="0.3">
      <c r="AD9878" s="16"/>
    </row>
    <row r="9879" spans="30:30" x14ac:dyDescent="0.3">
      <c r="AD9879" s="16"/>
    </row>
    <row r="9880" spans="30:30" x14ac:dyDescent="0.3">
      <c r="AD9880" s="16"/>
    </row>
    <row r="9881" spans="30:30" x14ac:dyDescent="0.3">
      <c r="AD9881" s="16"/>
    </row>
    <row r="9882" spans="30:30" x14ac:dyDescent="0.3">
      <c r="AD9882" s="16"/>
    </row>
    <row r="9883" spans="30:30" x14ac:dyDescent="0.3">
      <c r="AD9883" s="16"/>
    </row>
    <row r="9884" spans="30:30" x14ac:dyDescent="0.3">
      <c r="AD9884" s="16"/>
    </row>
    <row r="9885" spans="30:30" x14ac:dyDescent="0.3">
      <c r="AD9885" s="16"/>
    </row>
    <row r="9886" spans="30:30" x14ac:dyDescent="0.3">
      <c r="AD9886" s="16"/>
    </row>
    <row r="9887" spans="30:30" x14ac:dyDescent="0.3">
      <c r="AD9887" s="16"/>
    </row>
    <row r="9888" spans="30:30" x14ac:dyDescent="0.3">
      <c r="AD9888" s="16"/>
    </row>
    <row r="9889" spans="30:30" x14ac:dyDescent="0.3">
      <c r="AD9889" s="16"/>
    </row>
    <row r="9890" spans="30:30" x14ac:dyDescent="0.3">
      <c r="AD9890" s="16"/>
    </row>
    <row r="9891" spans="30:30" x14ac:dyDescent="0.3">
      <c r="AD9891" s="16"/>
    </row>
    <row r="9892" spans="30:30" x14ac:dyDescent="0.3">
      <c r="AD9892" s="16"/>
    </row>
    <row r="9893" spans="30:30" x14ac:dyDescent="0.3">
      <c r="AD9893" s="16"/>
    </row>
    <row r="9894" spans="30:30" x14ac:dyDescent="0.3">
      <c r="AD9894" s="16"/>
    </row>
    <row r="9895" spans="30:30" x14ac:dyDescent="0.3">
      <c r="AD9895" s="16"/>
    </row>
    <row r="9896" spans="30:30" x14ac:dyDescent="0.3">
      <c r="AD9896" s="16"/>
    </row>
    <row r="9897" spans="30:30" x14ac:dyDescent="0.3">
      <c r="AD9897" s="16"/>
    </row>
    <row r="9898" spans="30:30" x14ac:dyDescent="0.3">
      <c r="AD9898" s="16"/>
    </row>
    <row r="9899" spans="30:30" x14ac:dyDescent="0.3">
      <c r="AD9899" s="16"/>
    </row>
    <row r="9900" spans="30:30" x14ac:dyDescent="0.3">
      <c r="AD9900" s="16"/>
    </row>
    <row r="9901" spans="30:30" x14ac:dyDescent="0.3">
      <c r="AD9901" s="16"/>
    </row>
    <row r="9902" spans="30:30" x14ac:dyDescent="0.3">
      <c r="AD9902" s="16"/>
    </row>
    <row r="9903" spans="30:30" x14ac:dyDescent="0.3">
      <c r="AD9903" s="16"/>
    </row>
    <row r="9904" spans="30:30" x14ac:dyDescent="0.3">
      <c r="AD9904" s="16"/>
    </row>
    <row r="9905" spans="30:30" x14ac:dyDescent="0.3">
      <c r="AD9905" s="16"/>
    </row>
    <row r="9906" spans="30:30" x14ac:dyDescent="0.3">
      <c r="AD9906" s="16"/>
    </row>
    <row r="9907" spans="30:30" x14ac:dyDescent="0.3">
      <c r="AD9907" s="16"/>
    </row>
    <row r="9908" spans="30:30" x14ac:dyDescent="0.3">
      <c r="AD9908" s="16"/>
    </row>
    <row r="9909" spans="30:30" x14ac:dyDescent="0.3">
      <c r="AD9909" s="16"/>
    </row>
    <row r="9910" spans="30:30" x14ac:dyDescent="0.3">
      <c r="AD9910" s="16"/>
    </row>
    <row r="9911" spans="30:30" x14ac:dyDescent="0.3">
      <c r="AD9911" s="16"/>
    </row>
    <row r="9912" spans="30:30" x14ac:dyDescent="0.3">
      <c r="AD9912" s="16"/>
    </row>
    <row r="9913" spans="30:30" x14ac:dyDescent="0.3">
      <c r="AD9913" s="16"/>
    </row>
    <row r="9914" spans="30:30" x14ac:dyDescent="0.3">
      <c r="AD9914" s="16"/>
    </row>
    <row r="9915" spans="30:30" x14ac:dyDescent="0.3">
      <c r="AD9915" s="16"/>
    </row>
    <row r="9916" spans="30:30" x14ac:dyDescent="0.3">
      <c r="AD9916" s="16"/>
    </row>
    <row r="9917" spans="30:30" x14ac:dyDescent="0.3">
      <c r="AD9917" s="16"/>
    </row>
    <row r="9918" spans="30:30" x14ac:dyDescent="0.3">
      <c r="AD9918" s="16"/>
    </row>
    <row r="9919" spans="30:30" x14ac:dyDescent="0.3">
      <c r="AD9919" s="16"/>
    </row>
    <row r="9920" spans="30:30" x14ac:dyDescent="0.3">
      <c r="AD9920" s="16"/>
    </row>
    <row r="9921" spans="30:30" x14ac:dyDescent="0.3">
      <c r="AD9921" s="16"/>
    </row>
    <row r="9922" spans="30:30" x14ac:dyDescent="0.3">
      <c r="AD9922" s="16"/>
    </row>
    <row r="9923" spans="30:30" x14ac:dyDescent="0.3">
      <c r="AD9923" s="16"/>
    </row>
    <row r="9924" spans="30:30" x14ac:dyDescent="0.3">
      <c r="AD9924" s="16"/>
    </row>
    <row r="9925" spans="30:30" x14ac:dyDescent="0.3">
      <c r="AD9925" s="16"/>
    </row>
    <row r="9926" spans="30:30" x14ac:dyDescent="0.3">
      <c r="AD9926" s="16"/>
    </row>
    <row r="9927" spans="30:30" x14ac:dyDescent="0.3">
      <c r="AD9927" s="16"/>
    </row>
    <row r="9928" spans="30:30" x14ac:dyDescent="0.3">
      <c r="AD9928" s="16"/>
    </row>
    <row r="9929" spans="30:30" x14ac:dyDescent="0.3">
      <c r="AD9929" s="16"/>
    </row>
    <row r="9930" spans="30:30" x14ac:dyDescent="0.3">
      <c r="AD9930" s="16"/>
    </row>
    <row r="9931" spans="30:30" x14ac:dyDescent="0.3">
      <c r="AD9931" s="16"/>
    </row>
    <row r="9932" spans="30:30" x14ac:dyDescent="0.3">
      <c r="AD9932" s="16"/>
    </row>
    <row r="9933" spans="30:30" x14ac:dyDescent="0.3">
      <c r="AD9933" s="16"/>
    </row>
    <row r="9934" spans="30:30" x14ac:dyDescent="0.3">
      <c r="AD9934" s="16"/>
    </row>
    <row r="9935" spans="30:30" x14ac:dyDescent="0.3">
      <c r="AD9935" s="16"/>
    </row>
    <row r="9936" spans="30:30" x14ac:dyDescent="0.3">
      <c r="AD9936" s="16"/>
    </row>
    <row r="9937" spans="30:30" x14ac:dyDescent="0.3">
      <c r="AD9937" s="16"/>
    </row>
    <row r="9938" spans="30:30" x14ac:dyDescent="0.3">
      <c r="AD9938" s="16"/>
    </row>
    <row r="9939" spans="30:30" x14ac:dyDescent="0.3">
      <c r="AD9939" s="16"/>
    </row>
    <row r="9940" spans="30:30" x14ac:dyDescent="0.3">
      <c r="AD9940" s="16"/>
    </row>
    <row r="9941" spans="30:30" x14ac:dyDescent="0.3">
      <c r="AD9941" s="16"/>
    </row>
    <row r="9942" spans="30:30" x14ac:dyDescent="0.3">
      <c r="AD9942" s="16"/>
    </row>
    <row r="9943" spans="30:30" x14ac:dyDescent="0.3">
      <c r="AD9943" s="16"/>
    </row>
    <row r="9944" spans="30:30" x14ac:dyDescent="0.3">
      <c r="AD9944" s="16"/>
    </row>
    <row r="9945" spans="30:30" x14ac:dyDescent="0.3">
      <c r="AD9945" s="16"/>
    </row>
    <row r="9946" spans="30:30" x14ac:dyDescent="0.3">
      <c r="AD9946" s="16"/>
    </row>
    <row r="9947" spans="30:30" x14ac:dyDescent="0.3">
      <c r="AD9947" s="16"/>
    </row>
    <row r="9948" spans="30:30" x14ac:dyDescent="0.3">
      <c r="AD9948" s="16"/>
    </row>
    <row r="9949" spans="30:30" x14ac:dyDescent="0.3">
      <c r="AD9949" s="16"/>
    </row>
    <row r="9950" spans="30:30" x14ac:dyDescent="0.3">
      <c r="AD9950" s="16"/>
    </row>
    <row r="9951" spans="30:30" x14ac:dyDescent="0.3">
      <c r="AD9951" s="16"/>
    </row>
    <row r="9952" spans="30:30" x14ac:dyDescent="0.3">
      <c r="AD9952" s="16"/>
    </row>
    <row r="9953" spans="30:30" x14ac:dyDescent="0.3">
      <c r="AD9953" s="16"/>
    </row>
    <row r="9954" spans="30:30" x14ac:dyDescent="0.3">
      <c r="AD9954" s="16"/>
    </row>
    <row r="9955" spans="30:30" x14ac:dyDescent="0.3">
      <c r="AD9955" s="16"/>
    </row>
    <row r="9956" spans="30:30" x14ac:dyDescent="0.3">
      <c r="AD9956" s="16"/>
    </row>
    <row r="9957" spans="30:30" x14ac:dyDescent="0.3">
      <c r="AD9957" s="16"/>
    </row>
    <row r="9958" spans="30:30" x14ac:dyDescent="0.3">
      <c r="AD9958" s="16"/>
    </row>
    <row r="9959" spans="30:30" x14ac:dyDescent="0.3">
      <c r="AD9959" s="16"/>
    </row>
    <row r="9960" spans="30:30" x14ac:dyDescent="0.3">
      <c r="AD9960" s="16"/>
    </row>
    <row r="9961" spans="30:30" x14ac:dyDescent="0.3">
      <c r="AD9961" s="16"/>
    </row>
    <row r="9962" spans="30:30" x14ac:dyDescent="0.3">
      <c r="AD9962" s="16"/>
    </row>
    <row r="9963" spans="30:30" x14ac:dyDescent="0.3">
      <c r="AD9963" s="16"/>
    </row>
    <row r="9964" spans="30:30" x14ac:dyDescent="0.3">
      <c r="AD9964" s="16"/>
    </row>
    <row r="9965" spans="30:30" x14ac:dyDescent="0.3">
      <c r="AD9965" s="16"/>
    </row>
    <row r="9966" spans="30:30" x14ac:dyDescent="0.3">
      <c r="AD9966" s="16"/>
    </row>
    <row r="9967" spans="30:30" x14ac:dyDescent="0.3">
      <c r="AD9967" s="16"/>
    </row>
    <row r="9968" spans="30:30" x14ac:dyDescent="0.3">
      <c r="AD9968" s="16"/>
    </row>
    <row r="9969" spans="30:30" x14ac:dyDescent="0.3">
      <c r="AD9969" s="16"/>
    </row>
    <row r="9970" spans="30:30" x14ac:dyDescent="0.3">
      <c r="AD9970" s="16"/>
    </row>
    <row r="9971" spans="30:30" x14ac:dyDescent="0.3">
      <c r="AD9971" s="16"/>
    </row>
    <row r="9972" spans="30:30" x14ac:dyDescent="0.3">
      <c r="AD9972" s="16"/>
    </row>
    <row r="9973" spans="30:30" x14ac:dyDescent="0.3">
      <c r="AD9973" s="16"/>
    </row>
    <row r="9974" spans="30:30" x14ac:dyDescent="0.3">
      <c r="AD9974" s="16"/>
    </row>
    <row r="9975" spans="30:30" x14ac:dyDescent="0.3">
      <c r="AD9975" s="16"/>
    </row>
    <row r="9976" spans="30:30" x14ac:dyDescent="0.3">
      <c r="AD9976" s="16"/>
    </row>
    <row r="9977" spans="30:30" x14ac:dyDescent="0.3">
      <c r="AD9977" s="16"/>
    </row>
    <row r="9978" spans="30:30" x14ac:dyDescent="0.3">
      <c r="AD9978" s="16"/>
    </row>
    <row r="9979" spans="30:30" x14ac:dyDescent="0.3">
      <c r="AD9979" s="16"/>
    </row>
    <row r="9980" spans="30:30" x14ac:dyDescent="0.3">
      <c r="AD9980" s="16"/>
    </row>
    <row r="9981" spans="30:30" x14ac:dyDescent="0.3">
      <c r="AD9981" s="16"/>
    </row>
    <row r="9982" spans="30:30" x14ac:dyDescent="0.3">
      <c r="AD9982" s="16"/>
    </row>
    <row r="9983" spans="30:30" x14ac:dyDescent="0.3">
      <c r="AD9983" s="16"/>
    </row>
    <row r="9984" spans="30:30" x14ac:dyDescent="0.3">
      <c r="AD9984" s="16"/>
    </row>
    <row r="9985" spans="30:30" x14ac:dyDescent="0.3">
      <c r="AD9985" s="16"/>
    </row>
    <row r="9986" spans="30:30" x14ac:dyDescent="0.3">
      <c r="AD9986" s="16"/>
    </row>
    <row r="9987" spans="30:30" x14ac:dyDescent="0.3">
      <c r="AD9987" s="16"/>
    </row>
    <row r="9988" spans="30:30" x14ac:dyDescent="0.3">
      <c r="AD9988" s="16"/>
    </row>
    <row r="9989" spans="30:30" x14ac:dyDescent="0.3">
      <c r="AD9989" s="16"/>
    </row>
    <row r="9990" spans="30:30" x14ac:dyDescent="0.3">
      <c r="AD9990" s="16"/>
    </row>
    <row r="9991" spans="30:30" x14ac:dyDescent="0.3">
      <c r="AD9991" s="16"/>
    </row>
    <row r="9992" spans="30:30" x14ac:dyDescent="0.3">
      <c r="AD9992" s="16"/>
    </row>
    <row r="9993" spans="30:30" x14ac:dyDescent="0.3">
      <c r="AD9993" s="16"/>
    </row>
    <row r="9994" spans="30:30" x14ac:dyDescent="0.3">
      <c r="AD9994" s="16"/>
    </row>
    <row r="9995" spans="30:30" x14ac:dyDescent="0.3">
      <c r="AD9995" s="16"/>
    </row>
    <row r="9996" spans="30:30" x14ac:dyDescent="0.3">
      <c r="AD9996" s="16"/>
    </row>
    <row r="9997" spans="30:30" x14ac:dyDescent="0.3">
      <c r="AD9997" s="16"/>
    </row>
    <row r="9998" spans="30:30" x14ac:dyDescent="0.3">
      <c r="AD9998" s="16"/>
    </row>
    <row r="9999" spans="30:30" x14ac:dyDescent="0.3">
      <c r="AD9999" s="16"/>
    </row>
    <row r="10000" spans="30:30" x14ac:dyDescent="0.3">
      <c r="AD10000" s="16"/>
    </row>
    <row r="10001" spans="30:30" x14ac:dyDescent="0.3">
      <c r="AD10001" s="16"/>
    </row>
    <row r="10002" spans="30:30" x14ac:dyDescent="0.3">
      <c r="AD10002" s="16"/>
    </row>
    <row r="10003" spans="30:30" x14ac:dyDescent="0.3">
      <c r="AD10003" s="16"/>
    </row>
    <row r="10004" spans="30:30" x14ac:dyDescent="0.3">
      <c r="AD10004" s="16"/>
    </row>
    <row r="10005" spans="30:30" x14ac:dyDescent="0.3">
      <c r="AD10005" s="16"/>
    </row>
    <row r="10006" spans="30:30" x14ac:dyDescent="0.3">
      <c r="AD10006" s="16"/>
    </row>
    <row r="10007" spans="30:30" x14ac:dyDescent="0.3">
      <c r="AD10007" s="16"/>
    </row>
    <row r="10008" spans="30:30" x14ac:dyDescent="0.3">
      <c r="AD10008" s="16"/>
    </row>
    <row r="10009" spans="30:30" x14ac:dyDescent="0.3">
      <c r="AD10009" s="16"/>
    </row>
    <row r="10010" spans="30:30" x14ac:dyDescent="0.3">
      <c r="AD10010" s="16"/>
    </row>
    <row r="10011" spans="30:30" x14ac:dyDescent="0.3">
      <c r="AD10011" s="16"/>
    </row>
    <row r="10012" spans="30:30" x14ac:dyDescent="0.3">
      <c r="AD10012" s="16"/>
    </row>
    <row r="10013" spans="30:30" x14ac:dyDescent="0.3">
      <c r="AD10013" s="16"/>
    </row>
    <row r="10014" spans="30:30" x14ac:dyDescent="0.3">
      <c r="AD10014" s="16"/>
    </row>
    <row r="10015" spans="30:30" x14ac:dyDescent="0.3">
      <c r="AD10015" s="16"/>
    </row>
    <row r="10016" spans="30:30" x14ac:dyDescent="0.3">
      <c r="AD10016" s="16"/>
    </row>
    <row r="10017" spans="30:30" x14ac:dyDescent="0.3">
      <c r="AD10017" s="16"/>
    </row>
    <row r="10018" spans="30:30" x14ac:dyDescent="0.3">
      <c r="AD10018" s="16"/>
    </row>
    <row r="10019" spans="30:30" x14ac:dyDescent="0.3">
      <c r="AD10019" s="16"/>
    </row>
    <row r="10020" spans="30:30" x14ac:dyDescent="0.3">
      <c r="AD10020" s="16"/>
    </row>
    <row r="10021" spans="30:30" x14ac:dyDescent="0.3">
      <c r="AD10021" s="16"/>
    </row>
    <row r="10022" spans="30:30" x14ac:dyDescent="0.3">
      <c r="AD10022" s="16"/>
    </row>
    <row r="10023" spans="30:30" x14ac:dyDescent="0.3">
      <c r="AD10023" s="16"/>
    </row>
    <row r="10024" spans="30:30" x14ac:dyDescent="0.3">
      <c r="AD10024" s="16"/>
    </row>
    <row r="10025" spans="30:30" x14ac:dyDescent="0.3">
      <c r="AD10025" s="16"/>
    </row>
    <row r="10026" spans="30:30" x14ac:dyDescent="0.3">
      <c r="AD10026" s="16"/>
    </row>
    <row r="10027" spans="30:30" x14ac:dyDescent="0.3">
      <c r="AD10027" s="16"/>
    </row>
    <row r="10028" spans="30:30" x14ac:dyDescent="0.3">
      <c r="AD10028" s="16"/>
    </row>
    <row r="10029" spans="30:30" x14ac:dyDescent="0.3">
      <c r="AD10029" s="16"/>
    </row>
    <row r="10030" spans="30:30" x14ac:dyDescent="0.3">
      <c r="AD10030" s="16"/>
    </row>
    <row r="10031" spans="30:30" x14ac:dyDescent="0.3">
      <c r="AD10031" s="16"/>
    </row>
    <row r="10032" spans="30:30" x14ac:dyDescent="0.3">
      <c r="AD10032" s="16"/>
    </row>
    <row r="10033" spans="30:30" x14ac:dyDescent="0.3">
      <c r="AD10033" s="16"/>
    </row>
    <row r="10034" spans="30:30" x14ac:dyDescent="0.3">
      <c r="AD10034" s="16"/>
    </row>
    <row r="10035" spans="30:30" x14ac:dyDescent="0.3">
      <c r="AD10035" s="16"/>
    </row>
    <row r="10036" spans="30:30" x14ac:dyDescent="0.3">
      <c r="AD10036" s="16"/>
    </row>
    <row r="10037" spans="30:30" x14ac:dyDescent="0.3">
      <c r="AD10037" s="16"/>
    </row>
    <row r="10038" spans="30:30" x14ac:dyDescent="0.3">
      <c r="AD10038" s="16"/>
    </row>
    <row r="10039" spans="30:30" x14ac:dyDescent="0.3">
      <c r="AD10039" s="16"/>
    </row>
    <row r="10040" spans="30:30" x14ac:dyDescent="0.3">
      <c r="AD10040" s="16"/>
    </row>
    <row r="10041" spans="30:30" x14ac:dyDescent="0.3">
      <c r="AD10041" s="16"/>
    </row>
    <row r="10042" spans="30:30" x14ac:dyDescent="0.3">
      <c r="AD10042" s="16"/>
    </row>
    <row r="10043" spans="30:30" x14ac:dyDescent="0.3">
      <c r="AD10043" s="16"/>
    </row>
    <row r="10044" spans="30:30" x14ac:dyDescent="0.3">
      <c r="AD10044" s="16"/>
    </row>
    <row r="10045" spans="30:30" x14ac:dyDescent="0.3">
      <c r="AD10045" s="16"/>
    </row>
    <row r="10046" spans="30:30" x14ac:dyDescent="0.3">
      <c r="AD10046" s="16"/>
    </row>
    <row r="10047" spans="30:30" x14ac:dyDescent="0.3">
      <c r="AD10047" s="16"/>
    </row>
    <row r="10048" spans="30:30" x14ac:dyDescent="0.3">
      <c r="AD10048" s="16"/>
    </row>
    <row r="10049" spans="30:30" x14ac:dyDescent="0.3">
      <c r="AD10049" s="16"/>
    </row>
    <row r="10050" spans="30:30" x14ac:dyDescent="0.3">
      <c r="AD10050" s="16"/>
    </row>
    <row r="10051" spans="30:30" x14ac:dyDescent="0.3">
      <c r="AD10051" s="16"/>
    </row>
    <row r="10052" spans="30:30" x14ac:dyDescent="0.3">
      <c r="AD10052" s="16"/>
    </row>
    <row r="10053" spans="30:30" x14ac:dyDescent="0.3">
      <c r="AD10053" s="16"/>
    </row>
    <row r="10054" spans="30:30" x14ac:dyDescent="0.3">
      <c r="AD10054" s="16"/>
    </row>
    <row r="10055" spans="30:30" x14ac:dyDescent="0.3">
      <c r="AD10055" s="16"/>
    </row>
    <row r="10056" spans="30:30" x14ac:dyDescent="0.3">
      <c r="AD10056" s="16"/>
    </row>
    <row r="10057" spans="30:30" x14ac:dyDescent="0.3">
      <c r="AD10057" s="16"/>
    </row>
    <row r="10058" spans="30:30" x14ac:dyDescent="0.3">
      <c r="AD10058" s="16"/>
    </row>
    <row r="10059" spans="30:30" x14ac:dyDescent="0.3">
      <c r="AD10059" s="16"/>
    </row>
    <row r="10060" spans="30:30" x14ac:dyDescent="0.3">
      <c r="AD10060" s="16"/>
    </row>
    <row r="10061" spans="30:30" x14ac:dyDescent="0.3">
      <c r="AD10061" s="16"/>
    </row>
    <row r="10062" spans="30:30" x14ac:dyDescent="0.3">
      <c r="AD10062" s="16"/>
    </row>
    <row r="10063" spans="30:30" x14ac:dyDescent="0.3">
      <c r="AD10063" s="16"/>
    </row>
    <row r="10064" spans="30:30" x14ac:dyDescent="0.3">
      <c r="AD10064" s="16"/>
    </row>
    <row r="10065" spans="30:30" x14ac:dyDescent="0.3">
      <c r="AD10065" s="16"/>
    </row>
    <row r="10066" spans="30:30" x14ac:dyDescent="0.3">
      <c r="AD10066" s="16"/>
    </row>
    <row r="10067" spans="30:30" x14ac:dyDescent="0.3">
      <c r="AD10067" s="16"/>
    </row>
    <row r="10068" spans="30:30" x14ac:dyDescent="0.3">
      <c r="AD10068" s="16"/>
    </row>
    <row r="10069" spans="30:30" x14ac:dyDescent="0.3">
      <c r="AD10069" s="16"/>
    </row>
    <row r="10070" spans="30:30" x14ac:dyDescent="0.3">
      <c r="AD10070" s="16"/>
    </row>
    <row r="10071" spans="30:30" x14ac:dyDescent="0.3">
      <c r="AD10071" s="16"/>
    </row>
    <row r="10072" spans="30:30" x14ac:dyDescent="0.3">
      <c r="AD10072" s="16"/>
    </row>
    <row r="10073" spans="30:30" x14ac:dyDescent="0.3">
      <c r="AD10073" s="16"/>
    </row>
    <row r="10074" spans="30:30" x14ac:dyDescent="0.3">
      <c r="AD10074" s="16"/>
    </row>
    <row r="10075" spans="30:30" x14ac:dyDescent="0.3">
      <c r="AD10075" s="16"/>
    </row>
    <row r="10076" spans="30:30" x14ac:dyDescent="0.3">
      <c r="AD10076" s="16"/>
    </row>
    <row r="10077" spans="30:30" x14ac:dyDescent="0.3">
      <c r="AD10077" s="16"/>
    </row>
    <row r="10078" spans="30:30" x14ac:dyDescent="0.3">
      <c r="AD10078" s="16"/>
    </row>
    <row r="10079" spans="30:30" x14ac:dyDescent="0.3">
      <c r="AD10079" s="16"/>
    </row>
    <row r="10080" spans="30:30" x14ac:dyDescent="0.3">
      <c r="AD10080" s="16"/>
    </row>
    <row r="10081" spans="30:30" x14ac:dyDescent="0.3">
      <c r="AD10081" s="16"/>
    </row>
    <row r="10082" spans="30:30" x14ac:dyDescent="0.3">
      <c r="AD10082" s="16"/>
    </row>
    <row r="10083" spans="30:30" x14ac:dyDescent="0.3">
      <c r="AD10083" s="16"/>
    </row>
    <row r="10084" spans="30:30" x14ac:dyDescent="0.3">
      <c r="AD10084" s="16"/>
    </row>
    <row r="10085" spans="30:30" x14ac:dyDescent="0.3">
      <c r="AD10085" s="16"/>
    </row>
    <row r="10086" spans="30:30" x14ac:dyDescent="0.3">
      <c r="AD10086" s="16"/>
    </row>
    <row r="10087" spans="30:30" x14ac:dyDescent="0.3">
      <c r="AD10087" s="16"/>
    </row>
    <row r="10088" spans="30:30" x14ac:dyDescent="0.3">
      <c r="AD10088" s="16"/>
    </row>
    <row r="10089" spans="30:30" x14ac:dyDescent="0.3">
      <c r="AD10089" s="16"/>
    </row>
    <row r="10090" spans="30:30" x14ac:dyDescent="0.3">
      <c r="AD10090" s="16"/>
    </row>
    <row r="10091" spans="30:30" x14ac:dyDescent="0.3">
      <c r="AD10091" s="16"/>
    </row>
    <row r="10092" spans="30:30" x14ac:dyDescent="0.3">
      <c r="AD10092" s="16"/>
    </row>
    <row r="10093" spans="30:30" x14ac:dyDescent="0.3">
      <c r="AD10093" s="16"/>
    </row>
    <row r="10094" spans="30:30" x14ac:dyDescent="0.3">
      <c r="AD10094" s="16"/>
    </row>
    <row r="10095" spans="30:30" x14ac:dyDescent="0.3">
      <c r="AD10095" s="16"/>
    </row>
    <row r="10096" spans="30:30" x14ac:dyDescent="0.3">
      <c r="AD10096" s="16"/>
    </row>
    <row r="10097" spans="30:30" x14ac:dyDescent="0.3">
      <c r="AD10097" s="16"/>
    </row>
    <row r="10098" spans="30:30" x14ac:dyDescent="0.3">
      <c r="AD10098" s="16"/>
    </row>
    <row r="10099" spans="30:30" x14ac:dyDescent="0.3">
      <c r="AD10099" s="16"/>
    </row>
    <row r="10100" spans="30:30" x14ac:dyDescent="0.3">
      <c r="AD10100" s="16"/>
    </row>
    <row r="10101" spans="30:30" x14ac:dyDescent="0.3">
      <c r="AD10101" s="16"/>
    </row>
    <row r="10102" spans="30:30" x14ac:dyDescent="0.3">
      <c r="AD10102" s="16"/>
    </row>
    <row r="10103" spans="30:30" x14ac:dyDescent="0.3">
      <c r="AD10103" s="16"/>
    </row>
    <row r="10104" spans="30:30" x14ac:dyDescent="0.3">
      <c r="AD10104" s="16"/>
    </row>
    <row r="10105" spans="30:30" x14ac:dyDescent="0.3">
      <c r="AD10105" s="16"/>
    </row>
    <row r="10106" spans="30:30" x14ac:dyDescent="0.3">
      <c r="AD10106" s="16"/>
    </row>
    <row r="10107" spans="30:30" x14ac:dyDescent="0.3">
      <c r="AD10107" s="16"/>
    </row>
    <row r="10108" spans="30:30" x14ac:dyDescent="0.3">
      <c r="AD10108" s="16"/>
    </row>
    <row r="10109" spans="30:30" x14ac:dyDescent="0.3">
      <c r="AD10109" s="16"/>
    </row>
    <row r="10110" spans="30:30" x14ac:dyDescent="0.3">
      <c r="AD10110" s="16"/>
    </row>
    <row r="10111" spans="30:30" x14ac:dyDescent="0.3">
      <c r="AD10111" s="16"/>
    </row>
    <row r="10112" spans="30:30" x14ac:dyDescent="0.3">
      <c r="AD10112" s="16"/>
    </row>
    <row r="10113" spans="30:30" x14ac:dyDescent="0.3">
      <c r="AD10113" s="16"/>
    </row>
    <row r="10114" spans="30:30" x14ac:dyDescent="0.3">
      <c r="AD10114" s="16"/>
    </row>
    <row r="10115" spans="30:30" x14ac:dyDescent="0.3">
      <c r="AD10115" s="16"/>
    </row>
    <row r="10116" spans="30:30" x14ac:dyDescent="0.3">
      <c r="AD10116" s="16"/>
    </row>
    <row r="10117" spans="30:30" x14ac:dyDescent="0.3">
      <c r="AD10117" s="16"/>
    </row>
    <row r="10118" spans="30:30" x14ac:dyDescent="0.3">
      <c r="AD10118" s="16"/>
    </row>
    <row r="10119" spans="30:30" x14ac:dyDescent="0.3">
      <c r="AD10119" s="16"/>
    </row>
    <row r="10120" spans="30:30" x14ac:dyDescent="0.3">
      <c r="AD10120" s="16"/>
    </row>
    <row r="10121" spans="30:30" x14ac:dyDescent="0.3">
      <c r="AD10121" s="16"/>
    </row>
    <row r="10122" spans="30:30" x14ac:dyDescent="0.3">
      <c r="AD10122" s="16"/>
    </row>
    <row r="10123" spans="30:30" x14ac:dyDescent="0.3">
      <c r="AD10123" s="16"/>
    </row>
    <row r="10124" spans="30:30" x14ac:dyDescent="0.3">
      <c r="AD10124" s="16"/>
    </row>
    <row r="10125" spans="30:30" x14ac:dyDescent="0.3">
      <c r="AD10125" s="16"/>
    </row>
    <row r="10126" spans="30:30" x14ac:dyDescent="0.3">
      <c r="AD10126" s="16"/>
    </row>
    <row r="10127" spans="30:30" x14ac:dyDescent="0.3">
      <c r="AD10127" s="16"/>
    </row>
    <row r="10128" spans="30:30" x14ac:dyDescent="0.3">
      <c r="AD10128" s="16"/>
    </row>
    <row r="10129" spans="30:30" x14ac:dyDescent="0.3">
      <c r="AD10129" s="16"/>
    </row>
    <row r="10130" spans="30:30" x14ac:dyDescent="0.3">
      <c r="AD10130" s="16"/>
    </row>
    <row r="10131" spans="30:30" x14ac:dyDescent="0.3">
      <c r="AD10131" s="16"/>
    </row>
    <row r="10132" spans="30:30" x14ac:dyDescent="0.3">
      <c r="AD10132" s="16"/>
    </row>
    <row r="10133" spans="30:30" x14ac:dyDescent="0.3">
      <c r="AD10133" s="16"/>
    </row>
    <row r="10134" spans="30:30" x14ac:dyDescent="0.3">
      <c r="AD10134" s="16"/>
    </row>
    <row r="10135" spans="30:30" x14ac:dyDescent="0.3">
      <c r="AD10135" s="16"/>
    </row>
    <row r="10136" spans="30:30" x14ac:dyDescent="0.3">
      <c r="AD10136" s="16"/>
    </row>
    <row r="10137" spans="30:30" x14ac:dyDescent="0.3">
      <c r="AD10137" s="16"/>
    </row>
    <row r="10138" spans="30:30" x14ac:dyDescent="0.3">
      <c r="AD10138" s="16"/>
    </row>
    <row r="10139" spans="30:30" x14ac:dyDescent="0.3">
      <c r="AD10139" s="16"/>
    </row>
    <row r="10140" spans="30:30" x14ac:dyDescent="0.3">
      <c r="AD10140" s="16"/>
    </row>
    <row r="10141" spans="30:30" x14ac:dyDescent="0.3">
      <c r="AD10141" s="16"/>
    </row>
    <row r="10142" spans="30:30" x14ac:dyDescent="0.3">
      <c r="AD10142" s="16"/>
    </row>
    <row r="10143" spans="30:30" x14ac:dyDescent="0.3">
      <c r="AD10143" s="16"/>
    </row>
    <row r="10144" spans="30:30" x14ac:dyDescent="0.3">
      <c r="AD10144" s="16"/>
    </row>
    <row r="10145" spans="30:30" x14ac:dyDescent="0.3">
      <c r="AD10145" s="16"/>
    </row>
    <row r="10146" spans="30:30" x14ac:dyDescent="0.3">
      <c r="AD10146" s="16"/>
    </row>
    <row r="10147" spans="30:30" x14ac:dyDescent="0.3">
      <c r="AD10147" s="16"/>
    </row>
    <row r="10148" spans="30:30" x14ac:dyDescent="0.3">
      <c r="AD10148" s="16"/>
    </row>
    <row r="10149" spans="30:30" x14ac:dyDescent="0.3">
      <c r="AD10149" s="16"/>
    </row>
    <row r="10150" spans="30:30" x14ac:dyDescent="0.3">
      <c r="AD10150" s="16"/>
    </row>
    <row r="10151" spans="30:30" x14ac:dyDescent="0.3">
      <c r="AD10151" s="16"/>
    </row>
    <row r="10152" spans="30:30" x14ac:dyDescent="0.3">
      <c r="AD10152" s="16"/>
    </row>
    <row r="10153" spans="30:30" x14ac:dyDescent="0.3">
      <c r="AD10153" s="16"/>
    </row>
    <row r="10154" spans="30:30" x14ac:dyDescent="0.3">
      <c r="AD10154" s="16"/>
    </row>
    <row r="10155" spans="30:30" x14ac:dyDescent="0.3">
      <c r="AD10155" s="16"/>
    </row>
    <row r="10156" spans="30:30" x14ac:dyDescent="0.3">
      <c r="AD10156" s="16"/>
    </row>
    <row r="10157" spans="30:30" x14ac:dyDescent="0.3">
      <c r="AD10157" s="16"/>
    </row>
    <row r="10158" spans="30:30" x14ac:dyDescent="0.3">
      <c r="AD10158" s="16"/>
    </row>
    <row r="10159" spans="30:30" x14ac:dyDescent="0.3">
      <c r="AD10159" s="16"/>
    </row>
    <row r="10160" spans="30:30" x14ac:dyDescent="0.3">
      <c r="AD10160" s="16"/>
    </row>
    <row r="10161" spans="30:30" x14ac:dyDescent="0.3">
      <c r="AD10161" s="16"/>
    </row>
    <row r="10162" spans="30:30" x14ac:dyDescent="0.3">
      <c r="AD10162" s="16"/>
    </row>
    <row r="10163" spans="30:30" x14ac:dyDescent="0.3">
      <c r="AD10163" s="16"/>
    </row>
    <row r="10164" spans="30:30" x14ac:dyDescent="0.3">
      <c r="AD10164" s="16"/>
    </row>
    <row r="10165" spans="30:30" x14ac:dyDescent="0.3">
      <c r="AD10165" s="16"/>
    </row>
    <row r="10166" spans="30:30" x14ac:dyDescent="0.3">
      <c r="AD10166" s="16"/>
    </row>
    <row r="10167" spans="30:30" x14ac:dyDescent="0.3">
      <c r="AD10167" s="16"/>
    </row>
    <row r="10168" spans="30:30" x14ac:dyDescent="0.3">
      <c r="AD10168" s="16"/>
    </row>
    <row r="10169" spans="30:30" x14ac:dyDescent="0.3">
      <c r="AD10169" s="16"/>
    </row>
    <row r="10170" spans="30:30" x14ac:dyDescent="0.3">
      <c r="AD10170" s="16"/>
    </row>
    <row r="10171" spans="30:30" x14ac:dyDescent="0.3">
      <c r="AD10171" s="16"/>
    </row>
    <row r="10172" spans="30:30" x14ac:dyDescent="0.3">
      <c r="AD10172" s="16"/>
    </row>
    <row r="10173" spans="30:30" x14ac:dyDescent="0.3">
      <c r="AD10173" s="16"/>
    </row>
    <row r="10174" spans="30:30" x14ac:dyDescent="0.3">
      <c r="AD10174" s="16"/>
    </row>
    <row r="10175" spans="30:30" x14ac:dyDescent="0.3">
      <c r="AD10175" s="16"/>
    </row>
    <row r="10176" spans="30:30" x14ac:dyDescent="0.3">
      <c r="AD10176" s="16"/>
    </row>
    <row r="10177" spans="30:30" x14ac:dyDescent="0.3">
      <c r="AD10177" s="16"/>
    </row>
    <row r="10178" spans="30:30" x14ac:dyDescent="0.3">
      <c r="AD10178" s="16"/>
    </row>
    <row r="10179" spans="30:30" x14ac:dyDescent="0.3">
      <c r="AD10179" s="16"/>
    </row>
    <row r="10180" spans="30:30" x14ac:dyDescent="0.3">
      <c r="AD10180" s="16"/>
    </row>
    <row r="10181" spans="30:30" x14ac:dyDescent="0.3">
      <c r="AD10181" s="16"/>
    </row>
    <row r="10182" spans="30:30" x14ac:dyDescent="0.3">
      <c r="AD10182" s="16"/>
    </row>
    <row r="10183" spans="30:30" x14ac:dyDescent="0.3">
      <c r="AD10183" s="16"/>
    </row>
    <row r="10184" spans="30:30" x14ac:dyDescent="0.3">
      <c r="AD10184" s="16"/>
    </row>
    <row r="10185" spans="30:30" x14ac:dyDescent="0.3">
      <c r="AD10185" s="16"/>
    </row>
    <row r="10186" spans="30:30" x14ac:dyDescent="0.3">
      <c r="AD10186" s="16"/>
    </row>
    <row r="10187" spans="30:30" x14ac:dyDescent="0.3">
      <c r="AD10187" s="16"/>
    </row>
    <row r="10188" spans="30:30" x14ac:dyDescent="0.3">
      <c r="AD10188" s="16"/>
    </row>
    <row r="10189" spans="30:30" x14ac:dyDescent="0.3">
      <c r="AD10189" s="16"/>
    </row>
    <row r="10190" spans="30:30" x14ac:dyDescent="0.3">
      <c r="AD10190" s="16"/>
    </row>
    <row r="10191" spans="30:30" x14ac:dyDescent="0.3">
      <c r="AD10191" s="16"/>
    </row>
    <row r="10192" spans="30:30" x14ac:dyDescent="0.3">
      <c r="AD10192" s="16"/>
    </row>
    <row r="10193" spans="30:30" x14ac:dyDescent="0.3">
      <c r="AD10193" s="16"/>
    </row>
    <row r="10194" spans="30:30" x14ac:dyDescent="0.3">
      <c r="AD10194" s="16"/>
    </row>
    <row r="10195" spans="30:30" x14ac:dyDescent="0.3">
      <c r="AD10195" s="16"/>
    </row>
    <row r="10196" spans="30:30" x14ac:dyDescent="0.3">
      <c r="AD10196" s="16"/>
    </row>
    <row r="10197" spans="30:30" x14ac:dyDescent="0.3">
      <c r="AD10197" s="16"/>
    </row>
    <row r="10198" spans="30:30" x14ac:dyDescent="0.3">
      <c r="AD10198" s="16"/>
    </row>
    <row r="10199" spans="30:30" x14ac:dyDescent="0.3">
      <c r="AD10199" s="16"/>
    </row>
    <row r="10200" spans="30:30" x14ac:dyDescent="0.3">
      <c r="AD10200" s="16"/>
    </row>
    <row r="10201" spans="30:30" x14ac:dyDescent="0.3">
      <c r="AD10201" s="16"/>
    </row>
    <row r="10202" spans="30:30" x14ac:dyDescent="0.3">
      <c r="AD10202" s="16"/>
    </row>
    <row r="10203" spans="30:30" x14ac:dyDescent="0.3">
      <c r="AD10203" s="16"/>
    </row>
    <row r="10204" spans="30:30" x14ac:dyDescent="0.3">
      <c r="AD10204" s="16"/>
    </row>
    <row r="10205" spans="30:30" x14ac:dyDescent="0.3">
      <c r="AD10205" s="16"/>
    </row>
    <row r="10206" spans="30:30" x14ac:dyDescent="0.3">
      <c r="AD10206" s="16"/>
    </row>
    <row r="10207" spans="30:30" x14ac:dyDescent="0.3">
      <c r="AD10207" s="16"/>
    </row>
    <row r="10208" spans="30:30" x14ac:dyDescent="0.3">
      <c r="AD10208" s="16"/>
    </row>
    <row r="10209" spans="30:30" x14ac:dyDescent="0.3">
      <c r="AD10209" s="16"/>
    </row>
    <row r="10210" spans="30:30" x14ac:dyDescent="0.3">
      <c r="AD10210" s="16"/>
    </row>
    <row r="10211" spans="30:30" x14ac:dyDescent="0.3">
      <c r="AD10211" s="16"/>
    </row>
    <row r="10212" spans="30:30" x14ac:dyDescent="0.3">
      <c r="AD10212" s="16"/>
    </row>
    <row r="10213" spans="30:30" x14ac:dyDescent="0.3">
      <c r="AD10213" s="16"/>
    </row>
    <row r="10214" spans="30:30" x14ac:dyDescent="0.3">
      <c r="AD10214" s="16"/>
    </row>
    <row r="10215" spans="30:30" x14ac:dyDescent="0.3">
      <c r="AD10215" s="16"/>
    </row>
    <row r="10216" spans="30:30" x14ac:dyDescent="0.3">
      <c r="AD10216" s="16"/>
    </row>
    <row r="10217" spans="30:30" x14ac:dyDescent="0.3">
      <c r="AD10217" s="16"/>
    </row>
    <row r="10218" spans="30:30" x14ac:dyDescent="0.3">
      <c r="AD10218" s="16"/>
    </row>
    <row r="10219" spans="30:30" x14ac:dyDescent="0.3">
      <c r="AD10219" s="16"/>
    </row>
    <row r="10220" spans="30:30" x14ac:dyDescent="0.3">
      <c r="AD10220" s="16"/>
    </row>
    <row r="10221" spans="30:30" x14ac:dyDescent="0.3">
      <c r="AD10221" s="16"/>
    </row>
    <row r="10222" spans="30:30" x14ac:dyDescent="0.3">
      <c r="AD10222" s="16"/>
    </row>
    <row r="10223" spans="30:30" x14ac:dyDescent="0.3">
      <c r="AD10223" s="16"/>
    </row>
    <row r="10224" spans="30:30" x14ac:dyDescent="0.3">
      <c r="AD10224" s="16"/>
    </row>
    <row r="10225" spans="30:30" x14ac:dyDescent="0.3">
      <c r="AD10225" s="16"/>
    </row>
    <row r="10226" spans="30:30" x14ac:dyDescent="0.3">
      <c r="AD10226" s="16"/>
    </row>
    <row r="10227" spans="30:30" x14ac:dyDescent="0.3">
      <c r="AD10227" s="16"/>
    </row>
    <row r="10228" spans="30:30" x14ac:dyDescent="0.3">
      <c r="AD10228" s="16"/>
    </row>
    <row r="10229" spans="30:30" x14ac:dyDescent="0.3">
      <c r="AD10229" s="16"/>
    </row>
    <row r="10230" spans="30:30" x14ac:dyDescent="0.3">
      <c r="AD10230" s="16"/>
    </row>
    <row r="10231" spans="30:30" x14ac:dyDescent="0.3">
      <c r="AD10231" s="16"/>
    </row>
    <row r="10232" spans="30:30" x14ac:dyDescent="0.3">
      <c r="AD10232" s="16"/>
    </row>
    <row r="10233" spans="30:30" x14ac:dyDescent="0.3">
      <c r="AD10233" s="16"/>
    </row>
    <row r="10234" spans="30:30" x14ac:dyDescent="0.3">
      <c r="AD10234" s="16"/>
    </row>
    <row r="10235" spans="30:30" x14ac:dyDescent="0.3">
      <c r="AD10235" s="16"/>
    </row>
    <row r="10236" spans="30:30" x14ac:dyDescent="0.3">
      <c r="AD10236" s="16"/>
    </row>
    <row r="10237" spans="30:30" x14ac:dyDescent="0.3">
      <c r="AD10237" s="16"/>
    </row>
    <row r="10238" spans="30:30" x14ac:dyDescent="0.3">
      <c r="AD10238" s="16"/>
    </row>
    <row r="10239" spans="30:30" x14ac:dyDescent="0.3">
      <c r="AD10239" s="16"/>
    </row>
    <row r="10240" spans="30:30" x14ac:dyDescent="0.3">
      <c r="AD10240" s="16"/>
    </row>
    <row r="10241" spans="30:30" x14ac:dyDescent="0.3">
      <c r="AD10241" s="16"/>
    </row>
    <row r="10242" spans="30:30" x14ac:dyDescent="0.3">
      <c r="AD10242" s="16"/>
    </row>
    <row r="10243" spans="30:30" x14ac:dyDescent="0.3">
      <c r="AD10243" s="16"/>
    </row>
    <row r="10244" spans="30:30" x14ac:dyDescent="0.3">
      <c r="AD10244" s="16"/>
    </row>
    <row r="10245" spans="30:30" x14ac:dyDescent="0.3">
      <c r="AD10245" s="16"/>
    </row>
    <row r="10246" spans="30:30" x14ac:dyDescent="0.3">
      <c r="AD10246" s="16"/>
    </row>
    <row r="10247" spans="30:30" x14ac:dyDescent="0.3">
      <c r="AD10247" s="16"/>
    </row>
    <row r="10248" spans="30:30" x14ac:dyDescent="0.3">
      <c r="AD10248" s="16"/>
    </row>
    <row r="10249" spans="30:30" x14ac:dyDescent="0.3">
      <c r="AD10249" s="16"/>
    </row>
    <row r="10250" spans="30:30" x14ac:dyDescent="0.3">
      <c r="AD10250" s="16"/>
    </row>
    <row r="10251" spans="30:30" x14ac:dyDescent="0.3">
      <c r="AD10251" s="16"/>
    </row>
    <row r="10252" spans="30:30" x14ac:dyDescent="0.3">
      <c r="AD10252" s="16"/>
    </row>
    <row r="10253" spans="30:30" x14ac:dyDescent="0.3">
      <c r="AD10253" s="16"/>
    </row>
    <row r="10254" spans="30:30" x14ac:dyDescent="0.3">
      <c r="AD10254" s="16"/>
    </row>
    <row r="10255" spans="30:30" x14ac:dyDescent="0.3">
      <c r="AD10255" s="16"/>
    </row>
    <row r="10256" spans="30:30" x14ac:dyDescent="0.3">
      <c r="AD10256" s="16"/>
    </row>
    <row r="10257" spans="30:30" x14ac:dyDescent="0.3">
      <c r="AD10257" s="16"/>
    </row>
    <row r="10258" spans="30:30" x14ac:dyDescent="0.3">
      <c r="AD10258" s="16"/>
    </row>
    <row r="10259" spans="30:30" x14ac:dyDescent="0.3">
      <c r="AD10259" s="16"/>
    </row>
    <row r="10260" spans="30:30" x14ac:dyDescent="0.3">
      <c r="AD10260" s="16"/>
    </row>
    <row r="10261" spans="30:30" x14ac:dyDescent="0.3">
      <c r="AD10261" s="16"/>
    </row>
    <row r="10262" spans="30:30" x14ac:dyDescent="0.3">
      <c r="AD10262" s="16"/>
    </row>
    <row r="10263" spans="30:30" x14ac:dyDescent="0.3">
      <c r="AD10263" s="16"/>
    </row>
    <row r="10264" spans="30:30" x14ac:dyDescent="0.3">
      <c r="AD10264" s="16"/>
    </row>
    <row r="10265" spans="30:30" x14ac:dyDescent="0.3">
      <c r="AD10265" s="16"/>
    </row>
    <row r="10266" spans="30:30" x14ac:dyDescent="0.3">
      <c r="AD10266" s="16"/>
    </row>
    <row r="10267" spans="30:30" x14ac:dyDescent="0.3">
      <c r="AD10267" s="16"/>
    </row>
    <row r="10268" spans="30:30" x14ac:dyDescent="0.3">
      <c r="AD10268" s="16"/>
    </row>
    <row r="10269" spans="30:30" x14ac:dyDescent="0.3">
      <c r="AD10269" s="16"/>
    </row>
    <row r="10270" spans="30:30" x14ac:dyDescent="0.3">
      <c r="AD10270" s="16"/>
    </row>
    <row r="10271" spans="30:30" x14ac:dyDescent="0.3">
      <c r="AD10271" s="16"/>
    </row>
    <row r="10272" spans="30:30" x14ac:dyDescent="0.3">
      <c r="AD10272" s="16"/>
    </row>
    <row r="10273" spans="30:30" x14ac:dyDescent="0.3">
      <c r="AD10273" s="16"/>
    </row>
    <row r="10274" spans="30:30" x14ac:dyDescent="0.3">
      <c r="AD10274" s="16"/>
    </row>
    <row r="10275" spans="30:30" x14ac:dyDescent="0.3">
      <c r="AD10275" s="16"/>
    </row>
    <row r="10276" spans="30:30" x14ac:dyDescent="0.3">
      <c r="AD10276" s="16"/>
    </row>
    <row r="10277" spans="30:30" x14ac:dyDescent="0.3">
      <c r="AD10277" s="16"/>
    </row>
    <row r="10278" spans="30:30" x14ac:dyDescent="0.3">
      <c r="AD10278" s="16"/>
    </row>
    <row r="10279" spans="30:30" x14ac:dyDescent="0.3">
      <c r="AD10279" s="16"/>
    </row>
    <row r="10280" spans="30:30" x14ac:dyDescent="0.3">
      <c r="AD10280" s="16"/>
    </row>
    <row r="10281" spans="30:30" x14ac:dyDescent="0.3">
      <c r="AD10281" s="16"/>
    </row>
    <row r="10282" spans="30:30" x14ac:dyDescent="0.3">
      <c r="AD10282" s="16"/>
    </row>
    <row r="10283" spans="30:30" x14ac:dyDescent="0.3">
      <c r="AD10283" s="16"/>
    </row>
    <row r="10284" spans="30:30" x14ac:dyDescent="0.3">
      <c r="AD10284" s="16"/>
    </row>
    <row r="10285" spans="30:30" x14ac:dyDescent="0.3">
      <c r="AD10285" s="16"/>
    </row>
    <row r="10286" spans="30:30" x14ac:dyDescent="0.3">
      <c r="AD10286" s="16"/>
    </row>
    <row r="10287" spans="30:30" x14ac:dyDescent="0.3">
      <c r="AD10287" s="16"/>
    </row>
    <row r="10288" spans="30:30" x14ac:dyDescent="0.3">
      <c r="AD10288" s="16"/>
    </row>
    <row r="10289" spans="30:30" x14ac:dyDescent="0.3">
      <c r="AD10289" s="16"/>
    </row>
    <row r="10290" spans="30:30" x14ac:dyDescent="0.3">
      <c r="AD10290" s="16"/>
    </row>
    <row r="10291" spans="30:30" x14ac:dyDescent="0.3">
      <c r="AD10291" s="16"/>
    </row>
    <row r="10292" spans="30:30" x14ac:dyDescent="0.3">
      <c r="AD10292" s="16"/>
    </row>
    <row r="10293" spans="30:30" x14ac:dyDescent="0.3">
      <c r="AD10293" s="16"/>
    </row>
    <row r="10294" spans="30:30" x14ac:dyDescent="0.3">
      <c r="AD10294" s="16"/>
    </row>
    <row r="10295" spans="30:30" x14ac:dyDescent="0.3">
      <c r="AD10295" s="16"/>
    </row>
    <row r="10296" spans="30:30" x14ac:dyDescent="0.3">
      <c r="AD10296" s="16"/>
    </row>
    <row r="10297" spans="30:30" x14ac:dyDescent="0.3">
      <c r="AD10297" s="16"/>
    </row>
    <row r="10298" spans="30:30" x14ac:dyDescent="0.3">
      <c r="AD10298" s="16"/>
    </row>
    <row r="10299" spans="30:30" x14ac:dyDescent="0.3">
      <c r="AD10299" s="16"/>
    </row>
    <row r="10300" spans="30:30" x14ac:dyDescent="0.3">
      <c r="AD10300" s="16"/>
    </row>
    <row r="10301" spans="30:30" x14ac:dyDescent="0.3">
      <c r="AD10301" s="16"/>
    </row>
    <row r="10302" spans="30:30" x14ac:dyDescent="0.3">
      <c r="AD10302" s="16"/>
    </row>
    <row r="10303" spans="30:30" x14ac:dyDescent="0.3">
      <c r="AD10303" s="16"/>
    </row>
    <row r="10304" spans="30:30" x14ac:dyDescent="0.3">
      <c r="AD10304" s="16"/>
    </row>
    <row r="10305" spans="30:30" x14ac:dyDescent="0.3">
      <c r="AD10305" s="16"/>
    </row>
    <row r="10306" spans="30:30" x14ac:dyDescent="0.3">
      <c r="AD10306" s="16"/>
    </row>
    <row r="10307" spans="30:30" x14ac:dyDescent="0.3">
      <c r="AD10307" s="16"/>
    </row>
    <row r="10308" spans="30:30" x14ac:dyDescent="0.3">
      <c r="AD10308" s="16"/>
    </row>
    <row r="10309" spans="30:30" x14ac:dyDescent="0.3">
      <c r="AD10309" s="16"/>
    </row>
    <row r="10310" spans="30:30" x14ac:dyDescent="0.3">
      <c r="AD10310" s="16"/>
    </row>
    <row r="10311" spans="30:30" x14ac:dyDescent="0.3">
      <c r="AD10311" s="16"/>
    </row>
    <row r="10312" spans="30:30" x14ac:dyDescent="0.3">
      <c r="AD10312" s="16"/>
    </row>
    <row r="10313" spans="30:30" x14ac:dyDescent="0.3">
      <c r="AD10313" s="16"/>
    </row>
    <row r="10314" spans="30:30" x14ac:dyDescent="0.3">
      <c r="AD10314" s="16"/>
    </row>
    <row r="10315" spans="30:30" x14ac:dyDescent="0.3">
      <c r="AD10315" s="16"/>
    </row>
    <row r="10316" spans="30:30" x14ac:dyDescent="0.3">
      <c r="AD10316" s="16"/>
    </row>
    <row r="10317" spans="30:30" x14ac:dyDescent="0.3">
      <c r="AD10317" s="16"/>
    </row>
    <row r="10318" spans="30:30" x14ac:dyDescent="0.3">
      <c r="AD10318" s="16"/>
    </row>
    <row r="10319" spans="30:30" x14ac:dyDescent="0.3">
      <c r="AD10319" s="16"/>
    </row>
    <row r="10320" spans="30:30" x14ac:dyDescent="0.3">
      <c r="AD10320" s="16"/>
    </row>
    <row r="10321" spans="30:30" x14ac:dyDescent="0.3">
      <c r="AD10321" s="16"/>
    </row>
    <row r="10322" spans="30:30" x14ac:dyDescent="0.3">
      <c r="AD10322" s="16"/>
    </row>
    <row r="10323" spans="30:30" x14ac:dyDescent="0.3">
      <c r="AD10323" s="16"/>
    </row>
    <row r="10324" spans="30:30" x14ac:dyDescent="0.3">
      <c r="AD10324" s="16"/>
    </row>
    <row r="10325" spans="30:30" x14ac:dyDescent="0.3">
      <c r="AD10325" s="16"/>
    </row>
    <row r="10326" spans="30:30" x14ac:dyDescent="0.3">
      <c r="AD10326" s="16"/>
    </row>
    <row r="10327" spans="30:30" x14ac:dyDescent="0.3">
      <c r="AD10327" s="16"/>
    </row>
    <row r="10328" spans="30:30" x14ac:dyDescent="0.3">
      <c r="AD10328" s="16"/>
    </row>
    <row r="10329" spans="30:30" x14ac:dyDescent="0.3">
      <c r="AD10329" s="16"/>
    </row>
    <row r="10330" spans="30:30" x14ac:dyDescent="0.3">
      <c r="AD10330" s="16"/>
    </row>
    <row r="10331" spans="30:30" x14ac:dyDescent="0.3">
      <c r="AD10331" s="16"/>
    </row>
    <row r="10332" spans="30:30" x14ac:dyDescent="0.3">
      <c r="AD10332" s="16"/>
    </row>
    <row r="10333" spans="30:30" x14ac:dyDescent="0.3">
      <c r="AD10333" s="16"/>
    </row>
    <row r="10334" spans="30:30" x14ac:dyDescent="0.3">
      <c r="AD10334" s="16"/>
    </row>
    <row r="10335" spans="30:30" x14ac:dyDescent="0.3">
      <c r="AD10335" s="16"/>
    </row>
    <row r="10336" spans="30:30" x14ac:dyDescent="0.3">
      <c r="AD10336" s="16"/>
    </row>
    <row r="10337" spans="30:30" x14ac:dyDescent="0.3">
      <c r="AD10337" s="16"/>
    </row>
    <row r="10338" spans="30:30" x14ac:dyDescent="0.3">
      <c r="AD10338" s="16"/>
    </row>
    <row r="10339" spans="30:30" x14ac:dyDescent="0.3">
      <c r="AD10339" s="16"/>
    </row>
    <row r="10340" spans="30:30" x14ac:dyDescent="0.3">
      <c r="AD10340" s="16"/>
    </row>
    <row r="10341" spans="30:30" x14ac:dyDescent="0.3">
      <c r="AD10341" s="16"/>
    </row>
    <row r="10342" spans="30:30" x14ac:dyDescent="0.3">
      <c r="AD10342" s="16"/>
    </row>
    <row r="10343" spans="30:30" x14ac:dyDescent="0.3">
      <c r="AD10343" s="16"/>
    </row>
    <row r="10344" spans="30:30" x14ac:dyDescent="0.3">
      <c r="AD10344" s="16"/>
    </row>
    <row r="10345" spans="30:30" x14ac:dyDescent="0.3">
      <c r="AD10345" s="16"/>
    </row>
    <row r="10346" spans="30:30" x14ac:dyDescent="0.3">
      <c r="AD10346" s="16"/>
    </row>
    <row r="10347" spans="30:30" x14ac:dyDescent="0.3">
      <c r="AD10347" s="16"/>
    </row>
    <row r="10348" spans="30:30" x14ac:dyDescent="0.3">
      <c r="AD10348" s="16"/>
    </row>
    <row r="10349" spans="30:30" x14ac:dyDescent="0.3">
      <c r="AD10349" s="16"/>
    </row>
    <row r="10350" spans="30:30" x14ac:dyDescent="0.3">
      <c r="AD10350" s="16"/>
    </row>
    <row r="10351" spans="30:30" x14ac:dyDescent="0.3">
      <c r="AD10351" s="16"/>
    </row>
    <row r="10352" spans="30:30" x14ac:dyDescent="0.3">
      <c r="AD10352" s="16"/>
    </row>
    <row r="10353" spans="30:30" x14ac:dyDescent="0.3">
      <c r="AD10353" s="16"/>
    </row>
    <row r="10354" spans="30:30" x14ac:dyDescent="0.3">
      <c r="AD10354" s="16"/>
    </row>
    <row r="10355" spans="30:30" x14ac:dyDescent="0.3">
      <c r="AD10355" s="16"/>
    </row>
    <row r="10356" spans="30:30" x14ac:dyDescent="0.3">
      <c r="AD10356" s="16"/>
    </row>
    <row r="10357" spans="30:30" x14ac:dyDescent="0.3">
      <c r="AD10357" s="16"/>
    </row>
    <row r="10358" spans="30:30" x14ac:dyDescent="0.3">
      <c r="AD10358" s="16"/>
    </row>
    <row r="10359" spans="30:30" x14ac:dyDescent="0.3">
      <c r="AD10359" s="16"/>
    </row>
    <row r="10360" spans="30:30" x14ac:dyDescent="0.3">
      <c r="AD10360" s="16"/>
    </row>
    <row r="10361" spans="30:30" x14ac:dyDescent="0.3">
      <c r="AD10361" s="16"/>
    </row>
    <row r="10362" spans="30:30" x14ac:dyDescent="0.3">
      <c r="AD10362" s="16"/>
    </row>
    <row r="10363" spans="30:30" x14ac:dyDescent="0.3">
      <c r="AD10363" s="16"/>
    </row>
    <row r="10364" spans="30:30" x14ac:dyDescent="0.3">
      <c r="AD10364" s="16"/>
    </row>
    <row r="10365" spans="30:30" x14ac:dyDescent="0.3">
      <c r="AD10365" s="16"/>
    </row>
    <row r="10366" spans="30:30" x14ac:dyDescent="0.3">
      <c r="AD10366" s="16"/>
    </row>
    <row r="10367" spans="30:30" x14ac:dyDescent="0.3">
      <c r="AD10367" s="16"/>
    </row>
    <row r="10368" spans="30:30" x14ac:dyDescent="0.3">
      <c r="AD10368" s="16"/>
    </row>
    <row r="10369" spans="30:30" x14ac:dyDescent="0.3">
      <c r="AD10369" s="16"/>
    </row>
    <row r="10370" spans="30:30" x14ac:dyDescent="0.3">
      <c r="AD10370" s="16"/>
    </row>
    <row r="10371" spans="30:30" x14ac:dyDescent="0.3">
      <c r="AD10371" s="16"/>
    </row>
    <row r="10372" spans="30:30" x14ac:dyDescent="0.3">
      <c r="AD10372" s="16"/>
    </row>
    <row r="10373" spans="30:30" x14ac:dyDescent="0.3">
      <c r="AD10373" s="16"/>
    </row>
    <row r="10374" spans="30:30" x14ac:dyDescent="0.3">
      <c r="AD10374" s="16"/>
    </row>
    <row r="10375" spans="30:30" x14ac:dyDescent="0.3">
      <c r="AD10375" s="16"/>
    </row>
    <row r="10376" spans="30:30" x14ac:dyDescent="0.3">
      <c r="AD10376" s="16"/>
    </row>
    <row r="10377" spans="30:30" x14ac:dyDescent="0.3">
      <c r="AD10377" s="16"/>
    </row>
    <row r="10378" spans="30:30" x14ac:dyDescent="0.3">
      <c r="AD10378" s="16"/>
    </row>
    <row r="10379" spans="30:30" x14ac:dyDescent="0.3">
      <c r="AD10379" s="16"/>
    </row>
    <row r="10380" spans="30:30" x14ac:dyDescent="0.3">
      <c r="AD10380" s="16"/>
    </row>
    <row r="10381" spans="30:30" x14ac:dyDescent="0.3">
      <c r="AD10381" s="16"/>
    </row>
    <row r="10382" spans="30:30" x14ac:dyDescent="0.3">
      <c r="AD10382" s="16"/>
    </row>
    <row r="10383" spans="30:30" x14ac:dyDescent="0.3">
      <c r="AD10383" s="16"/>
    </row>
    <row r="10384" spans="30:30" x14ac:dyDescent="0.3">
      <c r="AD10384" s="16"/>
    </row>
    <row r="10385" spans="30:30" x14ac:dyDescent="0.3">
      <c r="AD10385" s="16"/>
    </row>
    <row r="10386" spans="30:30" x14ac:dyDescent="0.3">
      <c r="AD10386" s="16"/>
    </row>
    <row r="10387" spans="30:30" x14ac:dyDescent="0.3">
      <c r="AD10387" s="16"/>
    </row>
    <row r="10388" spans="30:30" x14ac:dyDescent="0.3">
      <c r="AD10388" s="16"/>
    </row>
    <row r="10389" spans="30:30" x14ac:dyDescent="0.3">
      <c r="AD10389" s="16"/>
    </row>
    <row r="10390" spans="30:30" x14ac:dyDescent="0.3">
      <c r="AD10390" s="16"/>
    </row>
    <row r="10391" spans="30:30" x14ac:dyDescent="0.3">
      <c r="AD10391" s="16"/>
    </row>
    <row r="10392" spans="30:30" x14ac:dyDescent="0.3">
      <c r="AD10392" s="16"/>
    </row>
    <row r="10393" spans="30:30" x14ac:dyDescent="0.3">
      <c r="AD10393" s="16"/>
    </row>
    <row r="10394" spans="30:30" x14ac:dyDescent="0.3">
      <c r="AD10394" s="16"/>
    </row>
    <row r="10395" spans="30:30" x14ac:dyDescent="0.3">
      <c r="AD10395" s="16"/>
    </row>
    <row r="10396" spans="30:30" x14ac:dyDescent="0.3">
      <c r="AD10396" s="16"/>
    </row>
    <row r="10397" spans="30:30" x14ac:dyDescent="0.3">
      <c r="AD10397" s="16"/>
    </row>
    <row r="10398" spans="30:30" x14ac:dyDescent="0.3">
      <c r="AD10398" s="16"/>
    </row>
    <row r="10399" spans="30:30" x14ac:dyDescent="0.3">
      <c r="AD10399" s="16"/>
    </row>
    <row r="10400" spans="30:30" x14ac:dyDescent="0.3">
      <c r="AD10400" s="16"/>
    </row>
    <row r="10401" spans="30:30" x14ac:dyDescent="0.3">
      <c r="AD10401" s="16"/>
    </row>
    <row r="10402" spans="30:30" x14ac:dyDescent="0.3">
      <c r="AD10402" s="16"/>
    </row>
    <row r="10403" spans="30:30" x14ac:dyDescent="0.3">
      <c r="AD10403" s="16"/>
    </row>
    <row r="10404" spans="30:30" x14ac:dyDescent="0.3">
      <c r="AD10404" s="16"/>
    </row>
    <row r="10405" spans="30:30" x14ac:dyDescent="0.3">
      <c r="AD10405" s="16"/>
    </row>
    <row r="10406" spans="30:30" x14ac:dyDescent="0.3">
      <c r="AD10406" s="16"/>
    </row>
    <row r="10407" spans="30:30" x14ac:dyDescent="0.3">
      <c r="AD10407" s="16"/>
    </row>
    <row r="10408" spans="30:30" x14ac:dyDescent="0.3">
      <c r="AD10408" s="16"/>
    </row>
    <row r="10409" spans="30:30" x14ac:dyDescent="0.3">
      <c r="AD10409" s="16"/>
    </row>
    <row r="10410" spans="30:30" x14ac:dyDescent="0.3">
      <c r="AD10410" s="16"/>
    </row>
    <row r="10411" spans="30:30" x14ac:dyDescent="0.3">
      <c r="AD10411" s="16"/>
    </row>
    <row r="10412" spans="30:30" x14ac:dyDescent="0.3">
      <c r="AD10412" s="16"/>
    </row>
    <row r="10413" spans="30:30" x14ac:dyDescent="0.3">
      <c r="AD10413" s="16"/>
    </row>
    <row r="10414" spans="30:30" x14ac:dyDescent="0.3">
      <c r="AD10414" s="16"/>
    </row>
    <row r="10415" spans="30:30" x14ac:dyDescent="0.3">
      <c r="AD10415" s="16"/>
    </row>
    <row r="10416" spans="30:30" x14ac:dyDescent="0.3">
      <c r="AD10416" s="16"/>
    </row>
    <row r="10417" spans="30:30" x14ac:dyDescent="0.3">
      <c r="AD10417" s="16"/>
    </row>
    <row r="10418" spans="30:30" x14ac:dyDescent="0.3">
      <c r="AD10418" s="16"/>
    </row>
    <row r="10419" spans="30:30" x14ac:dyDescent="0.3">
      <c r="AD10419" s="16"/>
    </row>
    <row r="10420" spans="30:30" x14ac:dyDescent="0.3">
      <c r="AD10420" s="16"/>
    </row>
    <row r="10421" spans="30:30" x14ac:dyDescent="0.3">
      <c r="AD10421" s="16"/>
    </row>
    <row r="10422" spans="30:30" x14ac:dyDescent="0.3">
      <c r="AD10422" s="16"/>
    </row>
    <row r="10423" spans="30:30" x14ac:dyDescent="0.3">
      <c r="AD10423" s="16"/>
    </row>
    <row r="10424" spans="30:30" x14ac:dyDescent="0.3">
      <c r="AD10424" s="16"/>
    </row>
    <row r="10425" spans="30:30" x14ac:dyDescent="0.3">
      <c r="AD10425" s="16"/>
    </row>
    <row r="10426" spans="30:30" x14ac:dyDescent="0.3">
      <c r="AD10426" s="16"/>
    </row>
    <row r="10427" spans="30:30" x14ac:dyDescent="0.3">
      <c r="AD10427" s="16"/>
    </row>
    <row r="10428" spans="30:30" x14ac:dyDescent="0.3">
      <c r="AD10428" s="16"/>
    </row>
    <row r="10429" spans="30:30" x14ac:dyDescent="0.3">
      <c r="AD10429" s="16"/>
    </row>
    <row r="10430" spans="30:30" x14ac:dyDescent="0.3">
      <c r="AD10430" s="16"/>
    </row>
    <row r="10431" spans="30:30" x14ac:dyDescent="0.3">
      <c r="AD10431" s="16"/>
    </row>
    <row r="10432" spans="30:30" x14ac:dyDescent="0.3">
      <c r="AD10432" s="16"/>
    </row>
    <row r="10433" spans="30:30" x14ac:dyDescent="0.3">
      <c r="AD10433" s="16"/>
    </row>
    <row r="10434" spans="30:30" x14ac:dyDescent="0.3">
      <c r="AD10434" s="16"/>
    </row>
    <row r="10435" spans="30:30" x14ac:dyDescent="0.3">
      <c r="AD10435" s="16"/>
    </row>
    <row r="10436" spans="30:30" x14ac:dyDescent="0.3">
      <c r="AD10436" s="16"/>
    </row>
    <row r="10437" spans="30:30" x14ac:dyDescent="0.3">
      <c r="AD10437" s="16"/>
    </row>
    <row r="10438" spans="30:30" x14ac:dyDescent="0.3">
      <c r="AD10438" s="16"/>
    </row>
    <row r="10439" spans="30:30" x14ac:dyDescent="0.3">
      <c r="AD10439" s="16"/>
    </row>
    <row r="10440" spans="30:30" x14ac:dyDescent="0.3">
      <c r="AD10440" s="16"/>
    </row>
    <row r="10441" spans="30:30" x14ac:dyDescent="0.3">
      <c r="AD10441" s="16"/>
    </row>
    <row r="10442" spans="30:30" x14ac:dyDescent="0.3">
      <c r="AD10442" s="16"/>
    </row>
    <row r="10443" spans="30:30" x14ac:dyDescent="0.3">
      <c r="AD10443" s="16"/>
    </row>
    <row r="10444" spans="30:30" x14ac:dyDescent="0.3">
      <c r="AD10444" s="16"/>
    </row>
    <row r="10445" spans="30:30" x14ac:dyDescent="0.3">
      <c r="AD10445" s="16"/>
    </row>
    <row r="10446" spans="30:30" x14ac:dyDescent="0.3">
      <c r="AD10446" s="16"/>
    </row>
    <row r="10447" spans="30:30" x14ac:dyDescent="0.3">
      <c r="AD10447" s="16"/>
    </row>
    <row r="10448" spans="30:30" x14ac:dyDescent="0.3">
      <c r="AD10448" s="16"/>
    </row>
    <row r="10449" spans="30:30" x14ac:dyDescent="0.3">
      <c r="AD10449" s="16"/>
    </row>
    <row r="10450" spans="30:30" x14ac:dyDescent="0.3">
      <c r="AD10450" s="16"/>
    </row>
    <row r="10451" spans="30:30" x14ac:dyDescent="0.3">
      <c r="AD10451" s="16"/>
    </row>
    <row r="10452" spans="30:30" x14ac:dyDescent="0.3">
      <c r="AD10452" s="16"/>
    </row>
    <row r="10453" spans="30:30" x14ac:dyDescent="0.3">
      <c r="AD10453" s="16"/>
    </row>
    <row r="10454" spans="30:30" x14ac:dyDescent="0.3">
      <c r="AD10454" s="16"/>
    </row>
    <row r="10455" spans="30:30" x14ac:dyDescent="0.3">
      <c r="AD10455" s="16"/>
    </row>
    <row r="10456" spans="30:30" x14ac:dyDescent="0.3">
      <c r="AD10456" s="16"/>
    </row>
    <row r="10457" spans="30:30" x14ac:dyDescent="0.3">
      <c r="AD10457" s="16"/>
    </row>
    <row r="10458" spans="30:30" x14ac:dyDescent="0.3">
      <c r="AD10458" s="16"/>
    </row>
    <row r="10459" spans="30:30" x14ac:dyDescent="0.3">
      <c r="AD10459" s="16"/>
    </row>
    <row r="10460" spans="30:30" x14ac:dyDescent="0.3">
      <c r="AD10460" s="16"/>
    </row>
    <row r="10461" spans="30:30" x14ac:dyDescent="0.3">
      <c r="AD10461" s="16"/>
    </row>
    <row r="10462" spans="30:30" x14ac:dyDescent="0.3">
      <c r="AD10462" s="16"/>
    </row>
    <row r="10463" spans="30:30" x14ac:dyDescent="0.3">
      <c r="AD10463" s="16"/>
    </row>
    <row r="10464" spans="30:30" x14ac:dyDescent="0.3">
      <c r="AD10464" s="16"/>
    </row>
    <row r="10465" spans="30:30" x14ac:dyDescent="0.3">
      <c r="AD10465" s="16"/>
    </row>
    <row r="10466" spans="30:30" x14ac:dyDescent="0.3">
      <c r="AD10466" s="16"/>
    </row>
    <row r="10467" spans="30:30" x14ac:dyDescent="0.3">
      <c r="AD10467" s="16"/>
    </row>
    <row r="10468" spans="30:30" x14ac:dyDescent="0.3">
      <c r="AD10468" s="16"/>
    </row>
    <row r="10469" spans="30:30" x14ac:dyDescent="0.3">
      <c r="AD10469" s="16"/>
    </row>
    <row r="10470" spans="30:30" x14ac:dyDescent="0.3">
      <c r="AD10470" s="16"/>
    </row>
    <row r="10471" spans="30:30" x14ac:dyDescent="0.3">
      <c r="AD10471" s="16"/>
    </row>
    <row r="10472" spans="30:30" x14ac:dyDescent="0.3">
      <c r="AD10472" s="16"/>
    </row>
    <row r="10473" spans="30:30" x14ac:dyDescent="0.3">
      <c r="AD10473" s="16"/>
    </row>
    <row r="10474" spans="30:30" x14ac:dyDescent="0.3">
      <c r="AD10474" s="16"/>
    </row>
    <row r="10475" spans="30:30" x14ac:dyDescent="0.3">
      <c r="AD10475" s="16"/>
    </row>
    <row r="10476" spans="30:30" x14ac:dyDescent="0.3">
      <c r="AD10476" s="16"/>
    </row>
    <row r="10477" spans="30:30" x14ac:dyDescent="0.3">
      <c r="AD10477" s="16"/>
    </row>
    <row r="10478" spans="30:30" x14ac:dyDescent="0.3">
      <c r="AD10478" s="16"/>
    </row>
    <row r="10479" spans="30:30" x14ac:dyDescent="0.3">
      <c r="AD10479" s="16"/>
    </row>
    <row r="10480" spans="30:30" x14ac:dyDescent="0.3">
      <c r="AD10480" s="16"/>
    </row>
    <row r="10481" spans="30:30" x14ac:dyDescent="0.3">
      <c r="AD10481" s="16"/>
    </row>
    <row r="10482" spans="30:30" x14ac:dyDescent="0.3">
      <c r="AD10482" s="16"/>
    </row>
    <row r="10483" spans="30:30" x14ac:dyDescent="0.3">
      <c r="AD10483" s="16"/>
    </row>
    <row r="10484" spans="30:30" x14ac:dyDescent="0.3">
      <c r="AD10484" s="16"/>
    </row>
    <row r="10485" spans="30:30" x14ac:dyDescent="0.3">
      <c r="AD10485" s="16"/>
    </row>
    <row r="10486" spans="30:30" x14ac:dyDescent="0.3">
      <c r="AD10486" s="16"/>
    </row>
    <row r="10487" spans="30:30" x14ac:dyDescent="0.3">
      <c r="AD10487" s="16"/>
    </row>
    <row r="10488" spans="30:30" x14ac:dyDescent="0.3">
      <c r="AD10488" s="16"/>
    </row>
    <row r="10489" spans="30:30" x14ac:dyDescent="0.3">
      <c r="AD10489" s="16"/>
    </row>
    <row r="10490" spans="30:30" x14ac:dyDescent="0.3">
      <c r="AD10490" s="16"/>
    </row>
    <row r="10491" spans="30:30" x14ac:dyDescent="0.3">
      <c r="AD10491" s="16"/>
    </row>
    <row r="10492" spans="30:30" x14ac:dyDescent="0.3">
      <c r="AD10492" s="16"/>
    </row>
    <row r="10493" spans="30:30" x14ac:dyDescent="0.3">
      <c r="AD10493" s="16"/>
    </row>
    <row r="10494" spans="30:30" x14ac:dyDescent="0.3">
      <c r="AD10494" s="16"/>
    </row>
    <row r="10495" spans="30:30" x14ac:dyDescent="0.3">
      <c r="AD10495" s="16"/>
    </row>
    <row r="10496" spans="30:30" x14ac:dyDescent="0.3">
      <c r="AD10496" s="16"/>
    </row>
    <row r="10497" spans="30:30" x14ac:dyDescent="0.3">
      <c r="AD10497" s="16"/>
    </row>
    <row r="10498" spans="30:30" x14ac:dyDescent="0.3">
      <c r="AD10498" s="16"/>
    </row>
    <row r="10499" spans="30:30" x14ac:dyDescent="0.3">
      <c r="AD10499" s="16"/>
    </row>
    <row r="10500" spans="30:30" x14ac:dyDescent="0.3">
      <c r="AD10500" s="16"/>
    </row>
    <row r="10501" spans="30:30" x14ac:dyDescent="0.3">
      <c r="AD10501" s="16"/>
    </row>
    <row r="10502" spans="30:30" x14ac:dyDescent="0.3">
      <c r="AD10502" s="16"/>
    </row>
    <row r="10503" spans="30:30" x14ac:dyDescent="0.3">
      <c r="AD10503" s="16"/>
    </row>
    <row r="10504" spans="30:30" x14ac:dyDescent="0.3">
      <c r="AD10504" s="16"/>
    </row>
    <row r="10505" spans="30:30" x14ac:dyDescent="0.3">
      <c r="AD10505" s="16"/>
    </row>
    <row r="10506" spans="30:30" x14ac:dyDescent="0.3">
      <c r="AD10506" s="16"/>
    </row>
    <row r="10507" spans="30:30" x14ac:dyDescent="0.3">
      <c r="AD10507" s="16"/>
    </row>
    <row r="10508" spans="30:30" x14ac:dyDescent="0.3">
      <c r="AD10508" s="16"/>
    </row>
    <row r="10509" spans="30:30" x14ac:dyDescent="0.3">
      <c r="AD10509" s="16"/>
    </row>
    <row r="10510" spans="30:30" x14ac:dyDescent="0.3">
      <c r="AD10510" s="16"/>
    </row>
    <row r="10511" spans="30:30" x14ac:dyDescent="0.3">
      <c r="AD10511" s="16"/>
    </row>
    <row r="10512" spans="30:30" x14ac:dyDescent="0.3">
      <c r="AD10512" s="16"/>
    </row>
    <row r="10513" spans="30:30" x14ac:dyDescent="0.3">
      <c r="AD10513" s="16"/>
    </row>
    <row r="10514" spans="30:30" x14ac:dyDescent="0.3">
      <c r="AD10514" s="16"/>
    </row>
    <row r="10515" spans="30:30" x14ac:dyDescent="0.3">
      <c r="AD10515" s="16"/>
    </row>
    <row r="10516" spans="30:30" x14ac:dyDescent="0.3">
      <c r="AD10516" s="16"/>
    </row>
    <row r="10517" spans="30:30" x14ac:dyDescent="0.3">
      <c r="AD10517" s="16"/>
    </row>
    <row r="10518" spans="30:30" x14ac:dyDescent="0.3">
      <c r="AD10518" s="16"/>
    </row>
    <row r="10519" spans="30:30" x14ac:dyDescent="0.3">
      <c r="AD10519" s="16"/>
    </row>
    <row r="10520" spans="30:30" x14ac:dyDescent="0.3">
      <c r="AD10520" s="16"/>
    </row>
    <row r="10521" spans="30:30" x14ac:dyDescent="0.3">
      <c r="AD10521" s="16"/>
    </row>
    <row r="10522" spans="30:30" x14ac:dyDescent="0.3">
      <c r="AD10522" s="16"/>
    </row>
    <row r="10523" spans="30:30" x14ac:dyDescent="0.3">
      <c r="AD10523" s="16"/>
    </row>
    <row r="10524" spans="30:30" x14ac:dyDescent="0.3">
      <c r="AD10524" s="16"/>
    </row>
    <row r="10525" spans="30:30" x14ac:dyDescent="0.3">
      <c r="AD10525" s="16"/>
    </row>
    <row r="10526" spans="30:30" x14ac:dyDescent="0.3">
      <c r="AD10526" s="16"/>
    </row>
    <row r="10527" spans="30:30" x14ac:dyDescent="0.3">
      <c r="AD10527" s="16"/>
    </row>
    <row r="10528" spans="30:30" x14ac:dyDescent="0.3">
      <c r="AD10528" s="16"/>
    </row>
    <row r="10529" spans="30:30" x14ac:dyDescent="0.3">
      <c r="AD10529" s="16"/>
    </row>
    <row r="10530" spans="30:30" x14ac:dyDescent="0.3">
      <c r="AD10530" s="16"/>
    </row>
    <row r="10531" spans="30:30" x14ac:dyDescent="0.3">
      <c r="AD10531" s="16"/>
    </row>
    <row r="10532" spans="30:30" x14ac:dyDescent="0.3">
      <c r="AD10532" s="16"/>
    </row>
    <row r="10533" spans="30:30" x14ac:dyDescent="0.3">
      <c r="AD10533" s="16"/>
    </row>
    <row r="10534" spans="30:30" x14ac:dyDescent="0.3">
      <c r="AD10534" s="16"/>
    </row>
    <row r="10535" spans="30:30" x14ac:dyDescent="0.3">
      <c r="AD10535" s="16"/>
    </row>
    <row r="10536" spans="30:30" x14ac:dyDescent="0.3">
      <c r="AD10536" s="16"/>
    </row>
    <row r="10537" spans="30:30" x14ac:dyDescent="0.3">
      <c r="AD10537" s="16"/>
    </row>
    <row r="10538" spans="30:30" x14ac:dyDescent="0.3">
      <c r="AD10538" s="16"/>
    </row>
    <row r="10539" spans="30:30" x14ac:dyDescent="0.3">
      <c r="AD10539" s="16"/>
    </row>
    <row r="10540" spans="30:30" x14ac:dyDescent="0.3">
      <c r="AD10540" s="16"/>
    </row>
    <row r="10541" spans="30:30" x14ac:dyDescent="0.3">
      <c r="AD10541" s="16"/>
    </row>
    <row r="10542" spans="30:30" x14ac:dyDescent="0.3">
      <c r="AD10542" s="16"/>
    </row>
    <row r="10543" spans="30:30" x14ac:dyDescent="0.3">
      <c r="AD10543" s="16"/>
    </row>
    <row r="10544" spans="30:30" x14ac:dyDescent="0.3">
      <c r="AD10544" s="16"/>
    </row>
    <row r="10545" spans="30:30" x14ac:dyDescent="0.3">
      <c r="AD10545" s="16"/>
    </row>
    <row r="10546" spans="30:30" x14ac:dyDescent="0.3">
      <c r="AD10546" s="16"/>
    </row>
    <row r="10547" spans="30:30" x14ac:dyDescent="0.3">
      <c r="AD10547" s="16"/>
    </row>
    <row r="10548" spans="30:30" x14ac:dyDescent="0.3">
      <c r="AD10548" s="16"/>
    </row>
    <row r="10549" spans="30:30" x14ac:dyDescent="0.3">
      <c r="AD10549" s="16"/>
    </row>
    <row r="10550" spans="30:30" x14ac:dyDescent="0.3">
      <c r="AD10550" s="16"/>
    </row>
    <row r="10551" spans="30:30" x14ac:dyDescent="0.3">
      <c r="AD10551" s="16"/>
    </row>
    <row r="10552" spans="30:30" x14ac:dyDescent="0.3">
      <c r="AD10552" s="16"/>
    </row>
    <row r="10553" spans="30:30" x14ac:dyDescent="0.3">
      <c r="AD10553" s="16"/>
    </row>
    <row r="10554" spans="30:30" x14ac:dyDescent="0.3">
      <c r="AD10554" s="16"/>
    </row>
    <row r="10555" spans="30:30" x14ac:dyDescent="0.3">
      <c r="AD10555" s="16"/>
    </row>
    <row r="10556" spans="30:30" x14ac:dyDescent="0.3">
      <c r="AD10556" s="16"/>
    </row>
    <row r="10557" spans="30:30" x14ac:dyDescent="0.3">
      <c r="AD10557" s="16"/>
    </row>
    <row r="10558" spans="30:30" x14ac:dyDescent="0.3">
      <c r="AD10558" s="16"/>
    </row>
    <row r="10559" spans="30:30" x14ac:dyDescent="0.3">
      <c r="AD10559" s="16"/>
    </row>
    <row r="10560" spans="30:30" x14ac:dyDescent="0.3">
      <c r="AD10560" s="16"/>
    </row>
    <row r="10561" spans="30:30" x14ac:dyDescent="0.3">
      <c r="AD10561" s="16"/>
    </row>
    <row r="10562" spans="30:30" x14ac:dyDescent="0.3">
      <c r="AD10562" s="16"/>
    </row>
    <row r="10563" spans="30:30" x14ac:dyDescent="0.3">
      <c r="AD10563" s="16"/>
    </row>
    <row r="10564" spans="30:30" x14ac:dyDescent="0.3">
      <c r="AD10564" s="16"/>
    </row>
    <row r="10565" spans="30:30" x14ac:dyDescent="0.3">
      <c r="AD10565" s="16"/>
    </row>
    <row r="10566" spans="30:30" x14ac:dyDescent="0.3">
      <c r="AD10566" s="16"/>
    </row>
    <row r="10567" spans="30:30" x14ac:dyDescent="0.3">
      <c r="AD10567" s="16"/>
    </row>
    <row r="10568" spans="30:30" x14ac:dyDescent="0.3">
      <c r="AD10568" s="16"/>
    </row>
    <row r="10569" spans="30:30" x14ac:dyDescent="0.3">
      <c r="AD10569" s="16"/>
    </row>
    <row r="10570" spans="30:30" x14ac:dyDescent="0.3">
      <c r="AD10570" s="16"/>
    </row>
    <row r="10571" spans="30:30" x14ac:dyDescent="0.3">
      <c r="AD10571" s="16"/>
    </row>
    <row r="10572" spans="30:30" x14ac:dyDescent="0.3">
      <c r="AD10572" s="16"/>
    </row>
    <row r="10573" spans="30:30" x14ac:dyDescent="0.3">
      <c r="AD10573" s="16"/>
    </row>
    <row r="10574" spans="30:30" x14ac:dyDescent="0.3">
      <c r="AD10574" s="16"/>
    </row>
    <row r="10575" spans="30:30" x14ac:dyDescent="0.3">
      <c r="AD10575" s="16"/>
    </row>
    <row r="10576" spans="30:30" x14ac:dyDescent="0.3">
      <c r="AD10576" s="16"/>
    </row>
    <row r="10577" spans="30:30" x14ac:dyDescent="0.3">
      <c r="AD10577" s="16"/>
    </row>
    <row r="10578" spans="30:30" x14ac:dyDescent="0.3">
      <c r="AD10578" s="16"/>
    </row>
    <row r="10579" spans="30:30" x14ac:dyDescent="0.3">
      <c r="AD10579" s="16"/>
    </row>
    <row r="10580" spans="30:30" x14ac:dyDescent="0.3">
      <c r="AD10580" s="16"/>
    </row>
    <row r="10581" spans="30:30" x14ac:dyDescent="0.3">
      <c r="AD10581" s="16"/>
    </row>
    <row r="10582" spans="30:30" x14ac:dyDescent="0.3">
      <c r="AD10582" s="16"/>
    </row>
    <row r="10583" spans="30:30" x14ac:dyDescent="0.3">
      <c r="AD10583" s="16"/>
    </row>
    <row r="10584" spans="30:30" x14ac:dyDescent="0.3">
      <c r="AD10584" s="16"/>
    </row>
    <row r="10585" spans="30:30" x14ac:dyDescent="0.3">
      <c r="AD10585" s="16"/>
    </row>
    <row r="10586" spans="30:30" x14ac:dyDescent="0.3">
      <c r="AD10586" s="16"/>
    </row>
    <row r="10587" spans="30:30" x14ac:dyDescent="0.3">
      <c r="AD10587" s="16"/>
    </row>
    <row r="10588" spans="30:30" x14ac:dyDescent="0.3">
      <c r="AD10588" s="16"/>
    </row>
    <row r="10589" spans="30:30" x14ac:dyDescent="0.3">
      <c r="AD10589" s="16"/>
    </row>
    <row r="10590" spans="30:30" x14ac:dyDescent="0.3">
      <c r="AD10590" s="16"/>
    </row>
    <row r="10591" spans="30:30" x14ac:dyDescent="0.3">
      <c r="AD10591" s="16"/>
    </row>
    <row r="10592" spans="30:30" x14ac:dyDescent="0.3">
      <c r="AD10592" s="16"/>
    </row>
    <row r="10593" spans="30:30" x14ac:dyDescent="0.3">
      <c r="AD10593" s="16"/>
    </row>
    <row r="10594" spans="30:30" x14ac:dyDescent="0.3">
      <c r="AD10594" s="16"/>
    </row>
    <row r="10595" spans="30:30" x14ac:dyDescent="0.3">
      <c r="AD10595" s="16"/>
    </row>
    <row r="10596" spans="30:30" x14ac:dyDescent="0.3">
      <c r="AD10596" s="16"/>
    </row>
    <row r="10597" spans="30:30" x14ac:dyDescent="0.3">
      <c r="AD10597" s="16"/>
    </row>
    <row r="10598" spans="30:30" x14ac:dyDescent="0.3">
      <c r="AD10598" s="16"/>
    </row>
    <row r="10599" spans="30:30" x14ac:dyDescent="0.3">
      <c r="AD10599" s="16"/>
    </row>
    <row r="10600" spans="30:30" x14ac:dyDescent="0.3">
      <c r="AD10600" s="16"/>
    </row>
    <row r="10601" spans="30:30" x14ac:dyDescent="0.3">
      <c r="AD10601" s="16"/>
    </row>
    <row r="10602" spans="30:30" x14ac:dyDescent="0.3">
      <c r="AD10602" s="16"/>
    </row>
    <row r="10603" spans="30:30" x14ac:dyDescent="0.3">
      <c r="AD10603" s="16"/>
    </row>
    <row r="10604" spans="30:30" x14ac:dyDescent="0.3">
      <c r="AD10604" s="16"/>
    </row>
    <row r="10605" spans="30:30" x14ac:dyDescent="0.3">
      <c r="AD10605" s="16"/>
    </row>
    <row r="10606" spans="30:30" x14ac:dyDescent="0.3">
      <c r="AD10606" s="16"/>
    </row>
    <row r="10607" spans="30:30" x14ac:dyDescent="0.3">
      <c r="AD10607" s="16"/>
    </row>
    <row r="10608" spans="30:30" x14ac:dyDescent="0.3">
      <c r="AD10608" s="16"/>
    </row>
    <row r="10609" spans="30:30" x14ac:dyDescent="0.3">
      <c r="AD10609" s="16"/>
    </row>
    <row r="10610" spans="30:30" x14ac:dyDescent="0.3">
      <c r="AD10610" s="16"/>
    </row>
    <row r="10611" spans="30:30" x14ac:dyDescent="0.3">
      <c r="AD10611" s="16"/>
    </row>
    <row r="10612" spans="30:30" x14ac:dyDescent="0.3">
      <c r="AD10612" s="16"/>
    </row>
    <row r="10613" spans="30:30" x14ac:dyDescent="0.3">
      <c r="AD10613" s="16"/>
    </row>
    <row r="10614" spans="30:30" x14ac:dyDescent="0.3">
      <c r="AD10614" s="16"/>
    </row>
    <row r="10615" spans="30:30" x14ac:dyDescent="0.3">
      <c r="AD10615" s="16"/>
    </row>
    <row r="10616" spans="30:30" x14ac:dyDescent="0.3">
      <c r="AD10616" s="16"/>
    </row>
    <row r="10617" spans="30:30" x14ac:dyDescent="0.3">
      <c r="AD10617" s="16"/>
    </row>
    <row r="10618" spans="30:30" x14ac:dyDescent="0.3">
      <c r="AD10618" s="16"/>
    </row>
    <row r="10619" spans="30:30" x14ac:dyDescent="0.3">
      <c r="AD10619" s="16"/>
    </row>
    <row r="10620" spans="30:30" x14ac:dyDescent="0.3">
      <c r="AD10620" s="16"/>
    </row>
    <row r="10621" spans="30:30" x14ac:dyDescent="0.3">
      <c r="AD10621" s="16"/>
    </row>
    <row r="10622" spans="30:30" x14ac:dyDescent="0.3">
      <c r="AD10622" s="16"/>
    </row>
    <row r="10623" spans="30:30" x14ac:dyDescent="0.3">
      <c r="AD10623" s="16"/>
    </row>
    <row r="10624" spans="30:30" x14ac:dyDescent="0.3">
      <c r="AD10624" s="16"/>
    </row>
    <row r="10625" spans="30:30" x14ac:dyDescent="0.3">
      <c r="AD10625" s="16"/>
    </row>
    <row r="10626" spans="30:30" x14ac:dyDescent="0.3">
      <c r="AD10626" s="16"/>
    </row>
    <row r="10627" spans="30:30" x14ac:dyDescent="0.3">
      <c r="AD10627" s="16"/>
    </row>
    <row r="10628" spans="30:30" x14ac:dyDescent="0.3">
      <c r="AD10628" s="16"/>
    </row>
    <row r="10629" spans="30:30" x14ac:dyDescent="0.3">
      <c r="AD10629" s="16"/>
    </row>
    <row r="10630" spans="30:30" x14ac:dyDescent="0.3">
      <c r="AD10630" s="16"/>
    </row>
    <row r="10631" spans="30:30" x14ac:dyDescent="0.3">
      <c r="AD10631" s="16"/>
    </row>
    <row r="10632" spans="30:30" x14ac:dyDescent="0.3">
      <c r="AD10632" s="16"/>
    </row>
    <row r="10633" spans="30:30" x14ac:dyDescent="0.3">
      <c r="AD10633" s="16"/>
    </row>
    <row r="10634" spans="30:30" x14ac:dyDescent="0.3">
      <c r="AD10634" s="16"/>
    </row>
    <row r="10635" spans="30:30" x14ac:dyDescent="0.3">
      <c r="AD10635" s="16"/>
    </row>
    <row r="10636" spans="30:30" x14ac:dyDescent="0.3">
      <c r="AD10636" s="16"/>
    </row>
    <row r="10637" spans="30:30" x14ac:dyDescent="0.3">
      <c r="AD10637" s="16"/>
    </row>
    <row r="10638" spans="30:30" x14ac:dyDescent="0.3">
      <c r="AD10638" s="16"/>
    </row>
    <row r="10639" spans="30:30" x14ac:dyDescent="0.3">
      <c r="AD10639" s="16"/>
    </row>
    <row r="10640" spans="30:30" x14ac:dyDescent="0.3">
      <c r="AD10640" s="16"/>
    </row>
    <row r="10641" spans="30:30" x14ac:dyDescent="0.3">
      <c r="AD10641" s="16"/>
    </row>
    <row r="10642" spans="30:30" x14ac:dyDescent="0.3">
      <c r="AD10642" s="16"/>
    </row>
    <row r="10643" spans="30:30" x14ac:dyDescent="0.3">
      <c r="AD10643" s="16"/>
    </row>
    <row r="10644" spans="30:30" x14ac:dyDescent="0.3">
      <c r="AD10644" s="16"/>
    </row>
    <row r="10645" spans="30:30" x14ac:dyDescent="0.3">
      <c r="AD10645" s="16"/>
    </row>
    <row r="10646" spans="30:30" x14ac:dyDescent="0.3">
      <c r="AD10646" s="16"/>
    </row>
    <row r="10647" spans="30:30" x14ac:dyDescent="0.3">
      <c r="AD10647" s="16"/>
    </row>
    <row r="10648" spans="30:30" x14ac:dyDescent="0.3">
      <c r="AD10648" s="16"/>
    </row>
    <row r="10649" spans="30:30" x14ac:dyDescent="0.3">
      <c r="AD10649" s="16"/>
    </row>
    <row r="10650" spans="30:30" x14ac:dyDescent="0.3">
      <c r="AD10650" s="16"/>
    </row>
    <row r="10651" spans="30:30" x14ac:dyDescent="0.3">
      <c r="AD10651" s="16"/>
    </row>
    <row r="10652" spans="30:30" x14ac:dyDescent="0.3">
      <c r="AD10652" s="16"/>
    </row>
    <row r="10653" spans="30:30" x14ac:dyDescent="0.3">
      <c r="AD10653" s="16"/>
    </row>
    <row r="10654" spans="30:30" x14ac:dyDescent="0.3">
      <c r="AD10654" s="16"/>
    </row>
    <row r="10655" spans="30:30" x14ac:dyDescent="0.3">
      <c r="AD10655" s="16"/>
    </row>
    <row r="10656" spans="30:30" x14ac:dyDescent="0.3">
      <c r="AD10656" s="16"/>
    </row>
    <row r="10657" spans="30:30" x14ac:dyDescent="0.3">
      <c r="AD10657" s="16"/>
    </row>
    <row r="10658" spans="30:30" x14ac:dyDescent="0.3">
      <c r="AD10658" s="16"/>
    </row>
    <row r="10659" spans="30:30" x14ac:dyDescent="0.3">
      <c r="AD10659" s="16"/>
    </row>
    <row r="10660" spans="30:30" x14ac:dyDescent="0.3">
      <c r="AD10660" s="16"/>
    </row>
    <row r="10661" spans="30:30" x14ac:dyDescent="0.3">
      <c r="AD10661" s="16"/>
    </row>
    <row r="10662" spans="30:30" x14ac:dyDescent="0.3">
      <c r="AD10662" s="16"/>
    </row>
    <row r="10663" spans="30:30" x14ac:dyDescent="0.3">
      <c r="AD10663" s="16"/>
    </row>
    <row r="10664" spans="30:30" x14ac:dyDescent="0.3">
      <c r="AD10664" s="16"/>
    </row>
    <row r="10665" spans="30:30" x14ac:dyDescent="0.3">
      <c r="AD10665" s="16"/>
    </row>
    <row r="10666" spans="30:30" x14ac:dyDescent="0.3">
      <c r="AD10666" s="16"/>
    </row>
    <row r="10667" spans="30:30" x14ac:dyDescent="0.3">
      <c r="AD10667" s="16"/>
    </row>
    <row r="10668" spans="30:30" x14ac:dyDescent="0.3">
      <c r="AD10668" s="16"/>
    </row>
    <row r="10669" spans="30:30" x14ac:dyDescent="0.3">
      <c r="AD10669" s="16"/>
    </row>
    <row r="10670" spans="30:30" x14ac:dyDescent="0.3">
      <c r="AD10670" s="16"/>
    </row>
    <row r="10671" spans="30:30" x14ac:dyDescent="0.3">
      <c r="AD10671" s="16"/>
    </row>
    <row r="10672" spans="30:30" x14ac:dyDescent="0.3">
      <c r="AD10672" s="16"/>
    </row>
    <row r="10673" spans="30:30" x14ac:dyDescent="0.3">
      <c r="AD10673" s="16"/>
    </row>
    <row r="10674" spans="30:30" x14ac:dyDescent="0.3">
      <c r="AD10674" s="16"/>
    </row>
    <row r="10675" spans="30:30" x14ac:dyDescent="0.3">
      <c r="AD10675" s="16"/>
    </row>
    <row r="10676" spans="30:30" x14ac:dyDescent="0.3">
      <c r="AD10676" s="16"/>
    </row>
    <row r="10677" spans="30:30" x14ac:dyDescent="0.3">
      <c r="AD10677" s="16"/>
    </row>
    <row r="10678" spans="30:30" x14ac:dyDescent="0.3">
      <c r="AD10678" s="16"/>
    </row>
    <row r="10679" spans="30:30" x14ac:dyDescent="0.3">
      <c r="AD10679" s="16"/>
    </row>
    <row r="10680" spans="30:30" x14ac:dyDescent="0.3">
      <c r="AD10680" s="16"/>
    </row>
    <row r="10681" spans="30:30" x14ac:dyDescent="0.3">
      <c r="AD10681" s="16"/>
    </row>
    <row r="10682" spans="30:30" x14ac:dyDescent="0.3">
      <c r="AD10682" s="16"/>
    </row>
    <row r="10683" spans="30:30" x14ac:dyDescent="0.3">
      <c r="AD10683" s="16"/>
    </row>
    <row r="10684" spans="30:30" x14ac:dyDescent="0.3">
      <c r="AD10684" s="16"/>
    </row>
    <row r="10685" spans="30:30" x14ac:dyDescent="0.3">
      <c r="AD10685" s="16"/>
    </row>
    <row r="10686" spans="30:30" x14ac:dyDescent="0.3">
      <c r="AD10686" s="16"/>
    </row>
    <row r="10687" spans="30:30" x14ac:dyDescent="0.3">
      <c r="AD10687" s="16"/>
    </row>
    <row r="10688" spans="30:30" x14ac:dyDescent="0.3">
      <c r="AD10688" s="16"/>
    </row>
    <row r="10689" spans="30:30" x14ac:dyDescent="0.3">
      <c r="AD10689" s="16"/>
    </row>
    <row r="10690" spans="30:30" x14ac:dyDescent="0.3">
      <c r="AD10690" s="16"/>
    </row>
    <row r="10691" spans="30:30" x14ac:dyDescent="0.3">
      <c r="AD10691" s="16"/>
    </row>
    <row r="10692" spans="30:30" x14ac:dyDescent="0.3">
      <c r="AD10692" s="16"/>
    </row>
    <row r="10693" spans="30:30" x14ac:dyDescent="0.3">
      <c r="AD10693" s="16"/>
    </row>
    <row r="10694" spans="30:30" x14ac:dyDescent="0.3">
      <c r="AD10694" s="16"/>
    </row>
    <row r="10695" spans="30:30" x14ac:dyDescent="0.3">
      <c r="AD10695" s="16"/>
    </row>
    <row r="10696" spans="30:30" x14ac:dyDescent="0.3">
      <c r="AD10696" s="16"/>
    </row>
    <row r="10697" spans="30:30" x14ac:dyDescent="0.3">
      <c r="AD10697" s="16"/>
    </row>
    <row r="10698" spans="30:30" x14ac:dyDescent="0.3">
      <c r="AD10698" s="16"/>
    </row>
    <row r="10699" spans="30:30" x14ac:dyDescent="0.3">
      <c r="AD10699" s="16"/>
    </row>
    <row r="10700" spans="30:30" x14ac:dyDescent="0.3">
      <c r="AD10700" s="16"/>
    </row>
    <row r="10701" spans="30:30" x14ac:dyDescent="0.3">
      <c r="AD10701" s="16"/>
    </row>
    <row r="10702" spans="30:30" x14ac:dyDescent="0.3">
      <c r="AD10702" s="16"/>
    </row>
    <row r="10703" spans="30:30" x14ac:dyDescent="0.3">
      <c r="AD10703" s="16"/>
    </row>
    <row r="10704" spans="30:30" x14ac:dyDescent="0.3">
      <c r="AD10704" s="16"/>
    </row>
    <row r="10705" spans="30:30" x14ac:dyDescent="0.3">
      <c r="AD10705" s="16"/>
    </row>
    <row r="10706" spans="30:30" x14ac:dyDescent="0.3">
      <c r="AD10706" s="16"/>
    </row>
    <row r="10707" spans="30:30" x14ac:dyDescent="0.3">
      <c r="AD10707" s="16"/>
    </row>
    <row r="10708" spans="30:30" x14ac:dyDescent="0.3">
      <c r="AD10708" s="16"/>
    </row>
    <row r="10709" spans="30:30" x14ac:dyDescent="0.3">
      <c r="AD10709" s="16"/>
    </row>
    <row r="10710" spans="30:30" x14ac:dyDescent="0.3">
      <c r="AD10710" s="16"/>
    </row>
    <row r="10711" spans="30:30" x14ac:dyDescent="0.3">
      <c r="AD10711" s="16"/>
    </row>
    <row r="10712" spans="30:30" x14ac:dyDescent="0.3">
      <c r="AD10712" s="16"/>
    </row>
    <row r="10713" spans="30:30" x14ac:dyDescent="0.3">
      <c r="AD10713" s="16"/>
    </row>
    <row r="10714" spans="30:30" x14ac:dyDescent="0.3">
      <c r="AD10714" s="16"/>
    </row>
    <row r="10715" spans="30:30" x14ac:dyDescent="0.3">
      <c r="AD10715" s="16"/>
    </row>
    <row r="10716" spans="30:30" x14ac:dyDescent="0.3">
      <c r="AD10716" s="16"/>
    </row>
    <row r="10717" spans="30:30" x14ac:dyDescent="0.3">
      <c r="AD10717" s="16"/>
    </row>
    <row r="10718" spans="30:30" x14ac:dyDescent="0.3">
      <c r="AD10718" s="16"/>
    </row>
    <row r="10719" spans="30:30" x14ac:dyDescent="0.3">
      <c r="AD10719" s="16"/>
    </row>
    <row r="10720" spans="30:30" x14ac:dyDescent="0.3">
      <c r="AD10720" s="16"/>
    </row>
    <row r="10721" spans="30:30" x14ac:dyDescent="0.3">
      <c r="AD10721" s="16"/>
    </row>
    <row r="10722" spans="30:30" x14ac:dyDescent="0.3">
      <c r="AD10722" s="16"/>
    </row>
    <row r="10723" spans="30:30" x14ac:dyDescent="0.3">
      <c r="AD10723" s="16"/>
    </row>
    <row r="10724" spans="30:30" x14ac:dyDescent="0.3">
      <c r="AD10724" s="16"/>
    </row>
    <row r="10725" spans="30:30" x14ac:dyDescent="0.3">
      <c r="AD10725" s="16"/>
    </row>
    <row r="10726" spans="30:30" x14ac:dyDescent="0.3">
      <c r="AD10726" s="16"/>
    </row>
    <row r="10727" spans="30:30" x14ac:dyDescent="0.3">
      <c r="AD10727" s="16"/>
    </row>
    <row r="10728" spans="30:30" x14ac:dyDescent="0.3">
      <c r="AD10728" s="16"/>
    </row>
    <row r="10729" spans="30:30" x14ac:dyDescent="0.3">
      <c r="AD10729" s="16"/>
    </row>
    <row r="10730" spans="30:30" x14ac:dyDescent="0.3">
      <c r="AD10730" s="16"/>
    </row>
    <row r="10731" spans="30:30" x14ac:dyDescent="0.3">
      <c r="AD10731" s="16"/>
    </row>
    <row r="10732" spans="30:30" x14ac:dyDescent="0.3">
      <c r="AD10732" s="16"/>
    </row>
    <row r="10733" spans="30:30" x14ac:dyDescent="0.3">
      <c r="AD10733" s="16"/>
    </row>
    <row r="10734" spans="30:30" x14ac:dyDescent="0.3">
      <c r="AD10734" s="16"/>
    </row>
    <row r="10735" spans="30:30" x14ac:dyDescent="0.3">
      <c r="AD10735" s="16"/>
    </row>
    <row r="10736" spans="30:30" x14ac:dyDescent="0.3">
      <c r="AD10736" s="16"/>
    </row>
    <row r="10737" spans="30:30" x14ac:dyDescent="0.3">
      <c r="AD10737" s="16"/>
    </row>
    <row r="10738" spans="30:30" x14ac:dyDescent="0.3">
      <c r="AD10738" s="16"/>
    </row>
    <row r="10739" spans="30:30" x14ac:dyDescent="0.3">
      <c r="AD10739" s="16"/>
    </row>
    <row r="10740" spans="30:30" x14ac:dyDescent="0.3">
      <c r="AD10740" s="16"/>
    </row>
    <row r="10741" spans="30:30" x14ac:dyDescent="0.3">
      <c r="AD10741" s="16"/>
    </row>
    <row r="10742" spans="30:30" x14ac:dyDescent="0.3">
      <c r="AD10742" s="16"/>
    </row>
    <row r="10743" spans="30:30" x14ac:dyDescent="0.3">
      <c r="AD10743" s="16"/>
    </row>
    <row r="10744" spans="30:30" x14ac:dyDescent="0.3">
      <c r="AD10744" s="16"/>
    </row>
    <row r="10745" spans="30:30" x14ac:dyDescent="0.3">
      <c r="AD10745" s="16"/>
    </row>
    <row r="10746" spans="30:30" x14ac:dyDescent="0.3">
      <c r="AD10746" s="16"/>
    </row>
    <row r="10747" spans="30:30" x14ac:dyDescent="0.3">
      <c r="AD10747" s="16"/>
    </row>
    <row r="10748" spans="30:30" x14ac:dyDescent="0.3">
      <c r="AD10748" s="16"/>
    </row>
    <row r="10749" spans="30:30" x14ac:dyDescent="0.3">
      <c r="AD10749" s="16"/>
    </row>
    <row r="10750" spans="30:30" x14ac:dyDescent="0.3">
      <c r="AD10750" s="16"/>
    </row>
    <row r="10751" spans="30:30" x14ac:dyDescent="0.3">
      <c r="AD10751" s="16"/>
    </row>
    <row r="10752" spans="30:30" x14ac:dyDescent="0.3">
      <c r="AD10752" s="16"/>
    </row>
    <row r="10753" spans="30:30" x14ac:dyDescent="0.3">
      <c r="AD10753" s="16"/>
    </row>
    <row r="10754" spans="30:30" x14ac:dyDescent="0.3">
      <c r="AD10754" s="16"/>
    </row>
    <row r="10755" spans="30:30" x14ac:dyDescent="0.3">
      <c r="AD10755" s="16"/>
    </row>
    <row r="10756" spans="30:30" x14ac:dyDescent="0.3">
      <c r="AD10756" s="16"/>
    </row>
    <row r="10757" spans="30:30" x14ac:dyDescent="0.3">
      <c r="AD10757" s="16"/>
    </row>
    <row r="10758" spans="30:30" x14ac:dyDescent="0.3">
      <c r="AD10758" s="16"/>
    </row>
    <row r="10759" spans="30:30" x14ac:dyDescent="0.3">
      <c r="AD10759" s="16"/>
    </row>
    <row r="10760" spans="30:30" x14ac:dyDescent="0.3">
      <c r="AD10760" s="16"/>
    </row>
    <row r="10761" spans="30:30" x14ac:dyDescent="0.3">
      <c r="AD10761" s="16"/>
    </row>
    <row r="10762" spans="30:30" x14ac:dyDescent="0.3">
      <c r="AD10762" s="16"/>
    </row>
    <row r="10763" spans="30:30" x14ac:dyDescent="0.3">
      <c r="AD10763" s="16"/>
    </row>
    <row r="10764" spans="30:30" x14ac:dyDescent="0.3">
      <c r="AD10764" s="16"/>
    </row>
    <row r="10765" spans="30:30" x14ac:dyDescent="0.3">
      <c r="AD10765" s="16"/>
    </row>
    <row r="10766" spans="30:30" x14ac:dyDescent="0.3">
      <c r="AD10766" s="16"/>
    </row>
    <row r="10767" spans="30:30" x14ac:dyDescent="0.3">
      <c r="AD10767" s="16"/>
    </row>
    <row r="10768" spans="30:30" x14ac:dyDescent="0.3">
      <c r="AD10768" s="16"/>
    </row>
    <row r="10769" spans="30:30" x14ac:dyDescent="0.3">
      <c r="AD10769" s="16"/>
    </row>
    <row r="10770" spans="30:30" x14ac:dyDescent="0.3">
      <c r="AD10770" s="16"/>
    </row>
    <row r="10771" spans="30:30" x14ac:dyDescent="0.3">
      <c r="AD10771" s="16"/>
    </row>
    <row r="10772" spans="30:30" x14ac:dyDescent="0.3">
      <c r="AD10772" s="16"/>
    </row>
    <row r="10773" spans="30:30" x14ac:dyDescent="0.3">
      <c r="AD10773" s="16"/>
    </row>
    <row r="10774" spans="30:30" x14ac:dyDescent="0.3">
      <c r="AD10774" s="16"/>
    </row>
    <row r="10775" spans="30:30" x14ac:dyDescent="0.3">
      <c r="AD10775" s="16"/>
    </row>
    <row r="10776" spans="30:30" x14ac:dyDescent="0.3">
      <c r="AD10776" s="16"/>
    </row>
    <row r="10777" spans="30:30" x14ac:dyDescent="0.3">
      <c r="AD10777" s="16"/>
    </row>
    <row r="10778" spans="30:30" x14ac:dyDescent="0.3">
      <c r="AD10778" s="16"/>
    </row>
    <row r="10779" spans="30:30" x14ac:dyDescent="0.3">
      <c r="AD10779" s="16"/>
    </row>
    <row r="10780" spans="30:30" x14ac:dyDescent="0.3">
      <c r="AD10780" s="16"/>
    </row>
    <row r="10781" spans="30:30" x14ac:dyDescent="0.3">
      <c r="AD10781" s="16"/>
    </row>
    <row r="10782" spans="30:30" x14ac:dyDescent="0.3">
      <c r="AD10782" s="16"/>
    </row>
    <row r="10783" spans="30:30" x14ac:dyDescent="0.3">
      <c r="AD10783" s="16"/>
    </row>
    <row r="10784" spans="30:30" x14ac:dyDescent="0.3">
      <c r="AD10784" s="16"/>
    </row>
    <row r="10785" spans="30:30" x14ac:dyDescent="0.3">
      <c r="AD10785" s="16"/>
    </row>
    <row r="10786" spans="30:30" x14ac:dyDescent="0.3">
      <c r="AD10786" s="16"/>
    </row>
    <row r="10787" spans="30:30" x14ac:dyDescent="0.3">
      <c r="AD10787" s="16"/>
    </row>
    <row r="10788" spans="30:30" x14ac:dyDescent="0.3">
      <c r="AD10788" s="16"/>
    </row>
    <row r="10789" spans="30:30" x14ac:dyDescent="0.3">
      <c r="AD10789" s="16"/>
    </row>
    <row r="10790" spans="30:30" x14ac:dyDescent="0.3">
      <c r="AD10790" s="16"/>
    </row>
    <row r="10791" spans="30:30" x14ac:dyDescent="0.3">
      <c r="AD10791" s="16"/>
    </row>
    <row r="10792" spans="30:30" x14ac:dyDescent="0.3">
      <c r="AD10792" s="16"/>
    </row>
    <row r="10793" spans="30:30" x14ac:dyDescent="0.3">
      <c r="AD10793" s="16"/>
    </row>
    <row r="10794" spans="30:30" x14ac:dyDescent="0.3">
      <c r="AD10794" s="16"/>
    </row>
    <row r="10795" spans="30:30" x14ac:dyDescent="0.3">
      <c r="AD10795" s="16"/>
    </row>
    <row r="10796" spans="30:30" x14ac:dyDescent="0.3">
      <c r="AD10796" s="16"/>
    </row>
    <row r="10797" spans="30:30" x14ac:dyDescent="0.3">
      <c r="AD10797" s="16"/>
    </row>
    <row r="10798" spans="30:30" x14ac:dyDescent="0.3">
      <c r="AD10798" s="16"/>
    </row>
    <row r="10799" spans="30:30" x14ac:dyDescent="0.3">
      <c r="AD10799" s="16"/>
    </row>
    <row r="10800" spans="30:30" x14ac:dyDescent="0.3">
      <c r="AD10800" s="16"/>
    </row>
    <row r="10801" spans="30:30" x14ac:dyDescent="0.3">
      <c r="AD10801" s="16"/>
    </row>
    <row r="10802" spans="30:30" x14ac:dyDescent="0.3">
      <c r="AD10802" s="16"/>
    </row>
    <row r="10803" spans="30:30" x14ac:dyDescent="0.3">
      <c r="AD10803" s="16"/>
    </row>
    <row r="10804" spans="30:30" x14ac:dyDescent="0.3">
      <c r="AD10804" s="16"/>
    </row>
    <row r="10805" spans="30:30" x14ac:dyDescent="0.3">
      <c r="AD10805" s="16"/>
    </row>
    <row r="10806" spans="30:30" x14ac:dyDescent="0.3">
      <c r="AD10806" s="16"/>
    </row>
    <row r="10807" spans="30:30" x14ac:dyDescent="0.3">
      <c r="AD10807" s="16"/>
    </row>
    <row r="10808" spans="30:30" x14ac:dyDescent="0.3">
      <c r="AD10808" s="16"/>
    </row>
    <row r="10809" spans="30:30" x14ac:dyDescent="0.3">
      <c r="AD10809" s="16"/>
    </row>
    <row r="10810" spans="30:30" x14ac:dyDescent="0.3">
      <c r="AD10810" s="16"/>
    </row>
    <row r="10811" spans="30:30" x14ac:dyDescent="0.3">
      <c r="AD10811" s="16"/>
    </row>
    <row r="10812" spans="30:30" x14ac:dyDescent="0.3">
      <c r="AD10812" s="16"/>
    </row>
    <row r="10813" spans="30:30" x14ac:dyDescent="0.3">
      <c r="AD10813" s="16"/>
    </row>
    <row r="10814" spans="30:30" x14ac:dyDescent="0.3">
      <c r="AD10814" s="16"/>
    </row>
    <row r="10815" spans="30:30" x14ac:dyDescent="0.3">
      <c r="AD10815" s="16"/>
    </row>
    <row r="10816" spans="30:30" x14ac:dyDescent="0.3">
      <c r="AD10816" s="16"/>
    </row>
    <row r="10817" spans="30:30" x14ac:dyDescent="0.3">
      <c r="AD10817" s="16"/>
    </row>
    <row r="10818" spans="30:30" x14ac:dyDescent="0.3">
      <c r="AD10818" s="16"/>
    </row>
    <row r="10819" spans="30:30" x14ac:dyDescent="0.3">
      <c r="AD10819" s="16"/>
    </row>
    <row r="10820" spans="30:30" x14ac:dyDescent="0.3">
      <c r="AD10820" s="16"/>
    </row>
    <row r="10821" spans="30:30" x14ac:dyDescent="0.3">
      <c r="AD10821" s="16"/>
    </row>
    <row r="10822" spans="30:30" x14ac:dyDescent="0.3">
      <c r="AD10822" s="16"/>
    </row>
    <row r="10823" spans="30:30" x14ac:dyDescent="0.3">
      <c r="AD10823" s="16"/>
    </row>
    <row r="10824" spans="30:30" x14ac:dyDescent="0.3">
      <c r="AD10824" s="16"/>
    </row>
    <row r="10825" spans="30:30" x14ac:dyDescent="0.3">
      <c r="AD10825" s="16"/>
    </row>
    <row r="10826" spans="30:30" x14ac:dyDescent="0.3">
      <c r="AD10826" s="16"/>
    </row>
    <row r="10827" spans="30:30" x14ac:dyDescent="0.3">
      <c r="AD10827" s="16"/>
    </row>
    <row r="10828" spans="30:30" x14ac:dyDescent="0.3">
      <c r="AD10828" s="16"/>
    </row>
    <row r="10829" spans="30:30" x14ac:dyDescent="0.3">
      <c r="AD10829" s="16"/>
    </row>
    <row r="10830" spans="30:30" x14ac:dyDescent="0.3">
      <c r="AD10830" s="16"/>
    </row>
    <row r="10831" spans="30:30" x14ac:dyDescent="0.3">
      <c r="AD10831" s="16"/>
    </row>
    <row r="10832" spans="30:30" x14ac:dyDescent="0.3">
      <c r="AD10832" s="16"/>
    </row>
    <row r="10833" spans="30:30" x14ac:dyDescent="0.3">
      <c r="AD10833" s="16"/>
    </row>
    <row r="10834" spans="30:30" x14ac:dyDescent="0.3">
      <c r="AD10834" s="16"/>
    </row>
    <row r="10835" spans="30:30" x14ac:dyDescent="0.3">
      <c r="AD10835" s="16"/>
    </row>
    <row r="10836" spans="30:30" x14ac:dyDescent="0.3">
      <c r="AD10836" s="16"/>
    </row>
    <row r="10837" spans="30:30" x14ac:dyDescent="0.3">
      <c r="AD10837" s="16"/>
    </row>
    <row r="10838" spans="30:30" x14ac:dyDescent="0.3">
      <c r="AD10838" s="16"/>
    </row>
    <row r="10839" spans="30:30" x14ac:dyDescent="0.3">
      <c r="AD10839" s="16"/>
    </row>
    <row r="10840" spans="30:30" x14ac:dyDescent="0.3">
      <c r="AD10840" s="16"/>
    </row>
    <row r="10841" spans="30:30" x14ac:dyDescent="0.3">
      <c r="AD10841" s="16"/>
    </row>
    <row r="10842" spans="30:30" x14ac:dyDescent="0.3">
      <c r="AD10842" s="16"/>
    </row>
    <row r="10843" spans="30:30" x14ac:dyDescent="0.3">
      <c r="AD10843" s="16"/>
    </row>
    <row r="10844" spans="30:30" x14ac:dyDescent="0.3">
      <c r="AD10844" s="16"/>
    </row>
    <row r="10845" spans="30:30" x14ac:dyDescent="0.3">
      <c r="AD10845" s="16"/>
    </row>
    <row r="10846" spans="30:30" x14ac:dyDescent="0.3">
      <c r="AD10846" s="16"/>
    </row>
    <row r="10847" spans="30:30" x14ac:dyDescent="0.3">
      <c r="AD10847" s="16"/>
    </row>
    <row r="10848" spans="30:30" x14ac:dyDescent="0.3">
      <c r="AD10848" s="16"/>
    </row>
    <row r="10849" spans="30:30" x14ac:dyDescent="0.3">
      <c r="AD10849" s="16"/>
    </row>
    <row r="10850" spans="30:30" x14ac:dyDescent="0.3">
      <c r="AD10850" s="16"/>
    </row>
    <row r="10851" spans="30:30" x14ac:dyDescent="0.3">
      <c r="AD10851" s="16"/>
    </row>
    <row r="10852" spans="30:30" x14ac:dyDescent="0.3">
      <c r="AD10852" s="16"/>
    </row>
    <row r="10853" spans="30:30" x14ac:dyDescent="0.3">
      <c r="AD10853" s="16"/>
    </row>
    <row r="10854" spans="30:30" x14ac:dyDescent="0.3">
      <c r="AD10854" s="16"/>
    </row>
    <row r="10855" spans="30:30" x14ac:dyDescent="0.3">
      <c r="AD10855" s="16"/>
    </row>
    <row r="10856" spans="30:30" x14ac:dyDescent="0.3">
      <c r="AD10856" s="16"/>
    </row>
    <row r="10857" spans="30:30" x14ac:dyDescent="0.3">
      <c r="AD10857" s="16"/>
    </row>
    <row r="10858" spans="30:30" x14ac:dyDescent="0.3">
      <c r="AD10858" s="16"/>
    </row>
    <row r="10859" spans="30:30" x14ac:dyDescent="0.3">
      <c r="AD10859" s="16"/>
    </row>
    <row r="10860" spans="30:30" x14ac:dyDescent="0.3">
      <c r="AD10860" s="16"/>
    </row>
    <row r="10861" spans="30:30" x14ac:dyDescent="0.3">
      <c r="AD10861" s="16"/>
    </row>
    <row r="10862" spans="30:30" x14ac:dyDescent="0.3">
      <c r="AD10862" s="16"/>
    </row>
    <row r="10863" spans="30:30" x14ac:dyDescent="0.3">
      <c r="AD10863" s="16"/>
    </row>
    <row r="10864" spans="30:30" x14ac:dyDescent="0.3">
      <c r="AD10864" s="16"/>
    </row>
    <row r="10865" spans="30:30" x14ac:dyDescent="0.3">
      <c r="AD10865" s="16"/>
    </row>
    <row r="10866" spans="30:30" x14ac:dyDescent="0.3">
      <c r="AD10866" s="16"/>
    </row>
    <row r="10867" spans="30:30" x14ac:dyDescent="0.3">
      <c r="AD10867" s="16"/>
    </row>
    <row r="10868" spans="30:30" x14ac:dyDescent="0.3">
      <c r="AD10868" s="16"/>
    </row>
    <row r="10869" spans="30:30" x14ac:dyDescent="0.3">
      <c r="AD10869" s="16"/>
    </row>
    <row r="10870" spans="30:30" x14ac:dyDescent="0.3">
      <c r="AD10870" s="16"/>
    </row>
    <row r="10871" spans="30:30" x14ac:dyDescent="0.3">
      <c r="AD10871" s="16"/>
    </row>
    <row r="10872" spans="30:30" x14ac:dyDescent="0.3">
      <c r="AD10872" s="16"/>
    </row>
    <row r="10873" spans="30:30" x14ac:dyDescent="0.3">
      <c r="AD10873" s="16"/>
    </row>
    <row r="10874" spans="30:30" x14ac:dyDescent="0.3">
      <c r="AD10874" s="16"/>
    </row>
    <row r="10875" spans="30:30" x14ac:dyDescent="0.3">
      <c r="AD10875" s="16"/>
    </row>
    <row r="10876" spans="30:30" x14ac:dyDescent="0.3">
      <c r="AD10876" s="16"/>
    </row>
    <row r="10877" spans="30:30" x14ac:dyDescent="0.3">
      <c r="AD10877" s="16"/>
    </row>
    <row r="10878" spans="30:30" x14ac:dyDescent="0.3">
      <c r="AD10878" s="16"/>
    </row>
    <row r="10879" spans="30:30" x14ac:dyDescent="0.3">
      <c r="AD10879" s="16"/>
    </row>
    <row r="10880" spans="30:30" x14ac:dyDescent="0.3">
      <c r="AD10880" s="16"/>
    </row>
    <row r="10881" spans="30:30" x14ac:dyDescent="0.3">
      <c r="AD10881" s="16"/>
    </row>
    <row r="10882" spans="30:30" x14ac:dyDescent="0.3">
      <c r="AD10882" s="16"/>
    </row>
    <row r="10883" spans="30:30" x14ac:dyDescent="0.3">
      <c r="AD10883" s="16"/>
    </row>
    <row r="10884" spans="30:30" x14ac:dyDescent="0.3">
      <c r="AD10884" s="16"/>
    </row>
    <row r="10885" spans="30:30" x14ac:dyDescent="0.3">
      <c r="AD10885" s="16"/>
    </row>
    <row r="10886" spans="30:30" x14ac:dyDescent="0.3">
      <c r="AD10886" s="16"/>
    </row>
    <row r="10887" spans="30:30" x14ac:dyDescent="0.3">
      <c r="AD10887" s="16"/>
    </row>
    <row r="10888" spans="30:30" x14ac:dyDescent="0.3">
      <c r="AD10888" s="16"/>
    </row>
    <row r="10889" spans="30:30" x14ac:dyDescent="0.3">
      <c r="AD10889" s="16"/>
    </row>
    <row r="10890" spans="30:30" x14ac:dyDescent="0.3">
      <c r="AD10890" s="16"/>
    </row>
    <row r="10891" spans="30:30" x14ac:dyDescent="0.3">
      <c r="AD10891" s="16"/>
    </row>
    <row r="10892" spans="30:30" x14ac:dyDescent="0.3">
      <c r="AD10892" s="16"/>
    </row>
    <row r="10893" spans="30:30" x14ac:dyDescent="0.3">
      <c r="AD10893" s="16"/>
    </row>
    <row r="10894" spans="30:30" x14ac:dyDescent="0.3">
      <c r="AD10894" s="16"/>
    </row>
    <row r="10895" spans="30:30" x14ac:dyDescent="0.3">
      <c r="AD10895" s="16"/>
    </row>
    <row r="10896" spans="30:30" x14ac:dyDescent="0.3">
      <c r="AD10896" s="16"/>
    </row>
    <row r="10897" spans="30:30" x14ac:dyDescent="0.3">
      <c r="AD10897" s="16"/>
    </row>
    <row r="10898" spans="30:30" x14ac:dyDescent="0.3">
      <c r="AD10898" s="16"/>
    </row>
    <row r="10899" spans="30:30" x14ac:dyDescent="0.3">
      <c r="AD10899" s="16"/>
    </row>
    <row r="10900" spans="30:30" x14ac:dyDescent="0.3">
      <c r="AD10900" s="16"/>
    </row>
    <row r="10901" spans="30:30" x14ac:dyDescent="0.3">
      <c r="AD10901" s="16"/>
    </row>
    <row r="10902" spans="30:30" x14ac:dyDescent="0.3">
      <c r="AD10902" s="16"/>
    </row>
    <row r="10903" spans="30:30" x14ac:dyDescent="0.3">
      <c r="AD10903" s="16"/>
    </row>
    <row r="10904" spans="30:30" x14ac:dyDescent="0.3">
      <c r="AD10904" s="16"/>
    </row>
    <row r="10905" spans="30:30" x14ac:dyDescent="0.3">
      <c r="AD10905" s="16"/>
    </row>
    <row r="10906" spans="30:30" x14ac:dyDescent="0.3">
      <c r="AD10906" s="16"/>
    </row>
    <row r="10907" spans="30:30" x14ac:dyDescent="0.3">
      <c r="AD10907" s="16"/>
    </row>
    <row r="10908" spans="30:30" x14ac:dyDescent="0.3">
      <c r="AD10908" s="16"/>
    </row>
    <row r="10909" spans="30:30" x14ac:dyDescent="0.3">
      <c r="AD10909" s="16"/>
    </row>
    <row r="10910" spans="30:30" x14ac:dyDescent="0.3">
      <c r="AD10910" s="16"/>
    </row>
    <row r="10911" spans="30:30" x14ac:dyDescent="0.3">
      <c r="AD10911" s="16"/>
    </row>
    <row r="10912" spans="30:30" x14ac:dyDescent="0.3">
      <c r="AD10912" s="16"/>
    </row>
    <row r="10913" spans="30:30" x14ac:dyDescent="0.3">
      <c r="AD10913" s="16"/>
    </row>
    <row r="10914" spans="30:30" x14ac:dyDescent="0.3">
      <c r="AD10914" s="16"/>
    </row>
    <row r="10915" spans="30:30" x14ac:dyDescent="0.3">
      <c r="AD10915" s="16"/>
    </row>
    <row r="10916" spans="30:30" x14ac:dyDescent="0.3">
      <c r="AD10916" s="16"/>
    </row>
    <row r="10917" spans="30:30" x14ac:dyDescent="0.3">
      <c r="AD10917" s="16"/>
    </row>
    <row r="10918" spans="30:30" x14ac:dyDescent="0.3">
      <c r="AD10918" s="16"/>
    </row>
    <row r="10919" spans="30:30" x14ac:dyDescent="0.3">
      <c r="AD10919" s="16"/>
    </row>
    <row r="10920" spans="30:30" x14ac:dyDescent="0.3">
      <c r="AD10920" s="16"/>
    </row>
    <row r="10921" spans="30:30" x14ac:dyDescent="0.3">
      <c r="AD10921" s="16"/>
    </row>
    <row r="10922" spans="30:30" x14ac:dyDescent="0.3">
      <c r="AD10922" s="16"/>
    </row>
    <row r="10923" spans="30:30" x14ac:dyDescent="0.3">
      <c r="AD10923" s="16"/>
    </row>
    <row r="10924" spans="30:30" x14ac:dyDescent="0.3">
      <c r="AD10924" s="16"/>
    </row>
    <row r="10925" spans="30:30" x14ac:dyDescent="0.3">
      <c r="AD10925" s="16"/>
    </row>
    <row r="10926" spans="30:30" x14ac:dyDescent="0.3">
      <c r="AD10926" s="16"/>
    </row>
    <row r="10927" spans="30:30" x14ac:dyDescent="0.3">
      <c r="AD10927" s="16"/>
    </row>
    <row r="10928" spans="30:30" x14ac:dyDescent="0.3">
      <c r="AD10928" s="16"/>
    </row>
    <row r="10929" spans="30:30" x14ac:dyDescent="0.3">
      <c r="AD10929" s="16"/>
    </row>
    <row r="10930" spans="30:30" x14ac:dyDescent="0.3">
      <c r="AD10930" s="16"/>
    </row>
    <row r="10931" spans="30:30" x14ac:dyDescent="0.3">
      <c r="AD10931" s="16"/>
    </row>
    <row r="10932" spans="30:30" x14ac:dyDescent="0.3">
      <c r="AD10932" s="16"/>
    </row>
    <row r="10933" spans="30:30" x14ac:dyDescent="0.3">
      <c r="AD10933" s="16"/>
    </row>
    <row r="10934" spans="30:30" x14ac:dyDescent="0.3">
      <c r="AD10934" s="16"/>
    </row>
    <row r="10935" spans="30:30" x14ac:dyDescent="0.3">
      <c r="AD10935" s="16"/>
    </row>
    <row r="10936" spans="30:30" x14ac:dyDescent="0.3">
      <c r="AD10936" s="16"/>
    </row>
    <row r="10937" spans="30:30" x14ac:dyDescent="0.3">
      <c r="AD10937" s="16"/>
    </row>
    <row r="10938" spans="30:30" x14ac:dyDescent="0.3">
      <c r="AD10938" s="16"/>
    </row>
    <row r="10939" spans="30:30" x14ac:dyDescent="0.3">
      <c r="AD10939" s="16"/>
    </row>
    <row r="10940" spans="30:30" x14ac:dyDescent="0.3">
      <c r="AD10940" s="16"/>
    </row>
    <row r="10941" spans="30:30" x14ac:dyDescent="0.3">
      <c r="AD10941" s="16"/>
    </row>
    <row r="10942" spans="30:30" x14ac:dyDescent="0.3">
      <c r="AD10942" s="16"/>
    </row>
    <row r="10943" spans="30:30" x14ac:dyDescent="0.3">
      <c r="AD10943" s="16"/>
    </row>
    <row r="10944" spans="30:30" x14ac:dyDescent="0.3">
      <c r="AD10944" s="16"/>
    </row>
    <row r="10945" spans="30:30" x14ac:dyDescent="0.3">
      <c r="AD10945" s="16"/>
    </row>
    <row r="10946" spans="30:30" x14ac:dyDescent="0.3">
      <c r="AD10946" s="16"/>
    </row>
    <row r="10947" spans="30:30" x14ac:dyDescent="0.3">
      <c r="AD10947" s="16"/>
    </row>
    <row r="10948" spans="30:30" x14ac:dyDescent="0.3">
      <c r="AD10948" s="16"/>
    </row>
    <row r="10949" spans="30:30" x14ac:dyDescent="0.3">
      <c r="AD10949" s="16"/>
    </row>
    <row r="10950" spans="30:30" x14ac:dyDescent="0.3">
      <c r="AD10950" s="16"/>
    </row>
    <row r="10951" spans="30:30" x14ac:dyDescent="0.3">
      <c r="AD10951" s="16"/>
    </row>
    <row r="10952" spans="30:30" x14ac:dyDescent="0.3">
      <c r="AD10952" s="16"/>
    </row>
    <row r="10953" spans="30:30" x14ac:dyDescent="0.3">
      <c r="AD10953" s="16"/>
    </row>
    <row r="10954" spans="30:30" x14ac:dyDescent="0.3">
      <c r="AD10954" s="16"/>
    </row>
    <row r="10955" spans="30:30" x14ac:dyDescent="0.3">
      <c r="AD10955" s="16"/>
    </row>
    <row r="10956" spans="30:30" x14ac:dyDescent="0.3">
      <c r="AD10956" s="16"/>
    </row>
    <row r="10957" spans="30:30" x14ac:dyDescent="0.3">
      <c r="AD10957" s="16"/>
    </row>
    <row r="10958" spans="30:30" x14ac:dyDescent="0.3">
      <c r="AD10958" s="16"/>
    </row>
    <row r="10959" spans="30:30" x14ac:dyDescent="0.3">
      <c r="AD10959" s="16"/>
    </row>
    <row r="10960" spans="30:30" x14ac:dyDescent="0.3">
      <c r="AD10960" s="16"/>
    </row>
    <row r="10961" spans="30:30" x14ac:dyDescent="0.3">
      <c r="AD10961" s="16"/>
    </row>
    <row r="10962" spans="30:30" x14ac:dyDescent="0.3">
      <c r="AD10962" s="16"/>
    </row>
    <row r="10963" spans="30:30" x14ac:dyDescent="0.3">
      <c r="AD10963" s="16"/>
    </row>
    <row r="10964" spans="30:30" x14ac:dyDescent="0.3">
      <c r="AD10964" s="16"/>
    </row>
    <row r="10965" spans="30:30" x14ac:dyDescent="0.3">
      <c r="AD10965" s="16"/>
    </row>
    <row r="10966" spans="30:30" x14ac:dyDescent="0.3">
      <c r="AD10966" s="16"/>
    </row>
    <row r="10967" spans="30:30" x14ac:dyDescent="0.3">
      <c r="AD10967" s="16"/>
    </row>
    <row r="10968" spans="30:30" x14ac:dyDescent="0.3">
      <c r="AD10968" s="16"/>
    </row>
    <row r="10969" spans="30:30" x14ac:dyDescent="0.3">
      <c r="AD10969" s="16"/>
    </row>
    <row r="10970" spans="30:30" x14ac:dyDescent="0.3">
      <c r="AD10970" s="16"/>
    </row>
    <row r="10971" spans="30:30" x14ac:dyDescent="0.3">
      <c r="AD10971" s="16"/>
    </row>
    <row r="10972" spans="30:30" x14ac:dyDescent="0.3">
      <c r="AD10972" s="16"/>
    </row>
    <row r="10973" spans="30:30" x14ac:dyDescent="0.3">
      <c r="AD10973" s="16"/>
    </row>
    <row r="10974" spans="30:30" x14ac:dyDescent="0.3">
      <c r="AD10974" s="16"/>
    </row>
    <row r="10975" spans="30:30" x14ac:dyDescent="0.3">
      <c r="AD10975" s="16"/>
    </row>
    <row r="10976" spans="30:30" x14ac:dyDescent="0.3">
      <c r="AD10976" s="16"/>
    </row>
    <row r="10977" spans="30:30" x14ac:dyDescent="0.3">
      <c r="AD10977" s="16"/>
    </row>
    <row r="10978" spans="30:30" x14ac:dyDescent="0.3">
      <c r="AD10978" s="16"/>
    </row>
    <row r="10979" spans="30:30" x14ac:dyDescent="0.3">
      <c r="AD10979" s="16"/>
    </row>
    <row r="10980" spans="30:30" x14ac:dyDescent="0.3">
      <c r="AD10980" s="16"/>
    </row>
    <row r="10981" spans="30:30" x14ac:dyDescent="0.3">
      <c r="AD10981" s="16"/>
    </row>
    <row r="10982" spans="30:30" x14ac:dyDescent="0.3">
      <c r="AD10982" s="16"/>
    </row>
    <row r="10983" spans="30:30" x14ac:dyDescent="0.3">
      <c r="AD10983" s="16"/>
    </row>
    <row r="10984" spans="30:30" x14ac:dyDescent="0.3">
      <c r="AD10984" s="16"/>
    </row>
    <row r="10985" spans="30:30" x14ac:dyDescent="0.3">
      <c r="AD10985" s="16"/>
    </row>
    <row r="10986" spans="30:30" x14ac:dyDescent="0.3">
      <c r="AD10986" s="16"/>
    </row>
    <row r="10987" spans="30:30" x14ac:dyDescent="0.3">
      <c r="AD10987" s="16"/>
    </row>
    <row r="10988" spans="30:30" x14ac:dyDescent="0.3">
      <c r="AD10988" s="16"/>
    </row>
    <row r="10989" spans="30:30" x14ac:dyDescent="0.3">
      <c r="AD10989" s="16"/>
    </row>
    <row r="10990" spans="30:30" x14ac:dyDescent="0.3">
      <c r="AD10990" s="16"/>
    </row>
    <row r="10991" spans="30:30" x14ac:dyDescent="0.3">
      <c r="AD10991" s="16"/>
    </row>
    <row r="10992" spans="30:30" x14ac:dyDescent="0.3">
      <c r="AD10992" s="16"/>
    </row>
    <row r="10993" spans="30:30" x14ac:dyDescent="0.3">
      <c r="AD10993" s="16"/>
    </row>
    <row r="10994" spans="30:30" x14ac:dyDescent="0.3">
      <c r="AD10994" s="16"/>
    </row>
    <row r="10995" spans="30:30" x14ac:dyDescent="0.3">
      <c r="AD10995" s="16"/>
    </row>
    <row r="10996" spans="30:30" x14ac:dyDescent="0.3">
      <c r="AD10996" s="16"/>
    </row>
    <row r="10997" spans="30:30" x14ac:dyDescent="0.3">
      <c r="AD10997" s="16"/>
    </row>
    <row r="10998" spans="30:30" x14ac:dyDescent="0.3">
      <c r="AD10998" s="16"/>
    </row>
    <row r="10999" spans="30:30" x14ac:dyDescent="0.3">
      <c r="AD10999" s="16"/>
    </row>
    <row r="11000" spans="30:30" x14ac:dyDescent="0.3">
      <c r="AD11000" s="16"/>
    </row>
    <row r="11001" spans="30:30" x14ac:dyDescent="0.3">
      <c r="AD11001" s="16"/>
    </row>
    <row r="11002" spans="30:30" x14ac:dyDescent="0.3">
      <c r="AD11002" s="16"/>
    </row>
    <row r="11003" spans="30:30" x14ac:dyDescent="0.3">
      <c r="AD11003" s="16"/>
    </row>
    <row r="11004" spans="30:30" x14ac:dyDescent="0.3">
      <c r="AD11004" s="16"/>
    </row>
    <row r="11005" spans="30:30" x14ac:dyDescent="0.3">
      <c r="AD11005" s="16"/>
    </row>
    <row r="11006" spans="30:30" x14ac:dyDescent="0.3">
      <c r="AD11006" s="16"/>
    </row>
    <row r="11007" spans="30:30" x14ac:dyDescent="0.3">
      <c r="AD11007" s="16"/>
    </row>
    <row r="11008" spans="30:30" x14ac:dyDescent="0.3">
      <c r="AD11008" s="16"/>
    </row>
    <row r="11009" spans="30:30" x14ac:dyDescent="0.3">
      <c r="AD11009" s="16"/>
    </row>
    <row r="11010" spans="30:30" x14ac:dyDescent="0.3">
      <c r="AD11010" s="16"/>
    </row>
    <row r="11011" spans="30:30" x14ac:dyDescent="0.3">
      <c r="AD11011" s="16"/>
    </row>
    <row r="11012" spans="30:30" x14ac:dyDescent="0.3">
      <c r="AD11012" s="16"/>
    </row>
    <row r="11013" spans="30:30" x14ac:dyDescent="0.3">
      <c r="AD11013" s="16"/>
    </row>
    <row r="11014" spans="30:30" x14ac:dyDescent="0.3">
      <c r="AD11014" s="16"/>
    </row>
    <row r="11015" spans="30:30" x14ac:dyDescent="0.3">
      <c r="AD11015" s="16"/>
    </row>
    <row r="11016" spans="30:30" x14ac:dyDescent="0.3">
      <c r="AD11016" s="16"/>
    </row>
    <row r="11017" spans="30:30" x14ac:dyDescent="0.3">
      <c r="AD11017" s="16"/>
    </row>
    <row r="11018" spans="30:30" x14ac:dyDescent="0.3">
      <c r="AD11018" s="16"/>
    </row>
    <row r="11019" spans="30:30" x14ac:dyDescent="0.3">
      <c r="AD11019" s="16"/>
    </row>
    <row r="11020" spans="30:30" x14ac:dyDescent="0.3">
      <c r="AD11020" s="16"/>
    </row>
    <row r="11021" spans="30:30" x14ac:dyDescent="0.3">
      <c r="AD11021" s="16"/>
    </row>
    <row r="11022" spans="30:30" x14ac:dyDescent="0.3">
      <c r="AD11022" s="16"/>
    </row>
    <row r="11023" spans="30:30" x14ac:dyDescent="0.3">
      <c r="AD11023" s="16"/>
    </row>
    <row r="11024" spans="30:30" x14ac:dyDescent="0.3">
      <c r="AD11024" s="16"/>
    </row>
    <row r="11025" spans="30:30" x14ac:dyDescent="0.3">
      <c r="AD11025" s="16"/>
    </row>
    <row r="11026" spans="30:30" x14ac:dyDescent="0.3">
      <c r="AD11026" s="16"/>
    </row>
    <row r="11027" spans="30:30" x14ac:dyDescent="0.3">
      <c r="AD11027" s="16"/>
    </row>
    <row r="11028" spans="30:30" x14ac:dyDescent="0.3">
      <c r="AD11028" s="16"/>
    </row>
    <row r="11029" spans="30:30" x14ac:dyDescent="0.3">
      <c r="AD11029" s="16"/>
    </row>
    <row r="11030" spans="30:30" x14ac:dyDescent="0.3">
      <c r="AD11030" s="16"/>
    </row>
    <row r="11031" spans="30:30" x14ac:dyDescent="0.3">
      <c r="AD11031" s="16"/>
    </row>
    <row r="11032" spans="30:30" x14ac:dyDescent="0.3">
      <c r="AD11032" s="16"/>
    </row>
    <row r="11033" spans="30:30" x14ac:dyDescent="0.3">
      <c r="AD11033" s="16"/>
    </row>
    <row r="11034" spans="30:30" x14ac:dyDescent="0.3">
      <c r="AD11034" s="16"/>
    </row>
    <row r="11035" spans="30:30" x14ac:dyDescent="0.3">
      <c r="AD11035" s="16"/>
    </row>
    <row r="11036" spans="30:30" x14ac:dyDescent="0.3">
      <c r="AD11036" s="16"/>
    </row>
    <row r="11037" spans="30:30" x14ac:dyDescent="0.3">
      <c r="AD11037" s="16"/>
    </row>
    <row r="11038" spans="30:30" x14ac:dyDescent="0.3">
      <c r="AD11038" s="16"/>
    </row>
    <row r="11039" spans="30:30" x14ac:dyDescent="0.3">
      <c r="AD11039" s="16"/>
    </row>
    <row r="11040" spans="30:30" x14ac:dyDescent="0.3">
      <c r="AD11040" s="16"/>
    </row>
    <row r="11041" spans="30:30" x14ac:dyDescent="0.3">
      <c r="AD11041" s="16"/>
    </row>
    <row r="11042" spans="30:30" x14ac:dyDescent="0.3">
      <c r="AD11042" s="16"/>
    </row>
    <row r="11043" spans="30:30" x14ac:dyDescent="0.3">
      <c r="AD11043" s="16"/>
    </row>
    <row r="11044" spans="30:30" x14ac:dyDescent="0.3">
      <c r="AD11044" s="16"/>
    </row>
    <row r="11045" spans="30:30" x14ac:dyDescent="0.3">
      <c r="AD11045" s="16"/>
    </row>
    <row r="11046" spans="30:30" x14ac:dyDescent="0.3">
      <c r="AD11046" s="16"/>
    </row>
    <row r="11047" spans="30:30" x14ac:dyDescent="0.3">
      <c r="AD11047" s="16"/>
    </row>
    <row r="11048" spans="30:30" x14ac:dyDescent="0.3">
      <c r="AD11048" s="16"/>
    </row>
    <row r="11049" spans="30:30" x14ac:dyDescent="0.3">
      <c r="AD11049" s="16"/>
    </row>
    <row r="11050" spans="30:30" x14ac:dyDescent="0.3">
      <c r="AD11050" s="16"/>
    </row>
    <row r="11051" spans="30:30" x14ac:dyDescent="0.3">
      <c r="AD11051" s="16"/>
    </row>
    <row r="11052" spans="30:30" x14ac:dyDescent="0.3">
      <c r="AD11052" s="16"/>
    </row>
    <row r="11053" spans="30:30" x14ac:dyDescent="0.3">
      <c r="AD11053" s="16"/>
    </row>
    <row r="11054" spans="30:30" x14ac:dyDescent="0.3">
      <c r="AD11054" s="16"/>
    </row>
    <row r="11055" spans="30:30" x14ac:dyDescent="0.3">
      <c r="AD11055" s="16"/>
    </row>
    <row r="11056" spans="30:30" x14ac:dyDescent="0.3">
      <c r="AD11056" s="16"/>
    </row>
    <row r="11057" spans="30:30" x14ac:dyDescent="0.3">
      <c r="AD11057" s="16"/>
    </row>
    <row r="11058" spans="30:30" x14ac:dyDescent="0.3">
      <c r="AD11058" s="16"/>
    </row>
    <row r="11059" spans="30:30" x14ac:dyDescent="0.3">
      <c r="AD11059" s="16"/>
    </row>
    <row r="11060" spans="30:30" x14ac:dyDescent="0.3">
      <c r="AD11060" s="16"/>
    </row>
    <row r="11061" spans="30:30" x14ac:dyDescent="0.3">
      <c r="AD11061" s="16"/>
    </row>
    <row r="11062" spans="30:30" x14ac:dyDescent="0.3">
      <c r="AD11062" s="16"/>
    </row>
    <row r="11063" spans="30:30" x14ac:dyDescent="0.3">
      <c r="AD11063" s="16"/>
    </row>
    <row r="11064" spans="30:30" x14ac:dyDescent="0.3">
      <c r="AD11064" s="16"/>
    </row>
    <row r="11065" spans="30:30" x14ac:dyDescent="0.3">
      <c r="AD11065" s="16"/>
    </row>
    <row r="11066" spans="30:30" x14ac:dyDescent="0.3">
      <c r="AD11066" s="16"/>
    </row>
    <row r="11067" spans="30:30" x14ac:dyDescent="0.3">
      <c r="AD11067" s="16"/>
    </row>
    <row r="11068" spans="30:30" x14ac:dyDescent="0.3">
      <c r="AD11068" s="16"/>
    </row>
    <row r="11069" spans="30:30" x14ac:dyDescent="0.3">
      <c r="AD11069" s="16"/>
    </row>
    <row r="11070" spans="30:30" x14ac:dyDescent="0.3">
      <c r="AD11070" s="16"/>
    </row>
    <row r="11071" spans="30:30" x14ac:dyDescent="0.3">
      <c r="AD11071" s="16"/>
    </row>
    <row r="11072" spans="30:30" x14ac:dyDescent="0.3">
      <c r="AD11072" s="16"/>
    </row>
    <row r="11073" spans="30:30" x14ac:dyDescent="0.3">
      <c r="AD11073" s="16"/>
    </row>
    <row r="11074" spans="30:30" x14ac:dyDescent="0.3">
      <c r="AD11074" s="16"/>
    </row>
    <row r="11075" spans="30:30" x14ac:dyDescent="0.3">
      <c r="AD11075" s="16"/>
    </row>
    <row r="11076" spans="30:30" x14ac:dyDescent="0.3">
      <c r="AD11076" s="16"/>
    </row>
    <row r="11077" spans="30:30" x14ac:dyDescent="0.3">
      <c r="AD11077" s="16"/>
    </row>
    <row r="11078" spans="30:30" x14ac:dyDescent="0.3">
      <c r="AD11078" s="16"/>
    </row>
    <row r="11079" spans="30:30" x14ac:dyDescent="0.3">
      <c r="AD11079" s="16"/>
    </row>
    <row r="11080" spans="30:30" x14ac:dyDescent="0.3">
      <c r="AD11080" s="16"/>
    </row>
    <row r="11081" spans="30:30" x14ac:dyDescent="0.3">
      <c r="AD11081" s="16"/>
    </row>
    <row r="11082" spans="30:30" x14ac:dyDescent="0.3">
      <c r="AD11082" s="16"/>
    </row>
    <row r="11083" spans="30:30" x14ac:dyDescent="0.3">
      <c r="AD11083" s="16"/>
    </row>
    <row r="11084" spans="30:30" x14ac:dyDescent="0.3">
      <c r="AD11084" s="16"/>
    </row>
    <row r="11085" spans="30:30" x14ac:dyDescent="0.3">
      <c r="AD11085" s="16"/>
    </row>
    <row r="11086" spans="30:30" x14ac:dyDescent="0.3">
      <c r="AD11086" s="16"/>
    </row>
    <row r="11087" spans="30:30" x14ac:dyDescent="0.3">
      <c r="AD11087" s="16"/>
    </row>
    <row r="11088" spans="30:30" x14ac:dyDescent="0.3">
      <c r="AD11088" s="16"/>
    </row>
    <row r="11089" spans="30:30" x14ac:dyDescent="0.3">
      <c r="AD11089" s="16"/>
    </row>
    <row r="11090" spans="30:30" x14ac:dyDescent="0.3">
      <c r="AD11090" s="16"/>
    </row>
    <row r="11091" spans="30:30" x14ac:dyDescent="0.3">
      <c r="AD11091" s="16"/>
    </row>
    <row r="11092" spans="30:30" x14ac:dyDescent="0.3">
      <c r="AD11092" s="16"/>
    </row>
    <row r="11093" spans="30:30" x14ac:dyDescent="0.3">
      <c r="AD11093" s="16"/>
    </row>
    <row r="11094" spans="30:30" x14ac:dyDescent="0.3">
      <c r="AD11094" s="16"/>
    </row>
    <row r="11095" spans="30:30" x14ac:dyDescent="0.3">
      <c r="AD11095" s="16"/>
    </row>
    <row r="11096" spans="30:30" x14ac:dyDescent="0.3">
      <c r="AD11096" s="16"/>
    </row>
    <row r="11097" spans="30:30" x14ac:dyDescent="0.3">
      <c r="AD11097" s="16"/>
    </row>
    <row r="11098" spans="30:30" x14ac:dyDescent="0.3">
      <c r="AD11098" s="16"/>
    </row>
    <row r="11099" spans="30:30" x14ac:dyDescent="0.3">
      <c r="AD11099" s="16"/>
    </row>
    <row r="11100" spans="30:30" x14ac:dyDescent="0.3">
      <c r="AD11100" s="16"/>
    </row>
    <row r="11101" spans="30:30" x14ac:dyDescent="0.3">
      <c r="AD11101" s="16"/>
    </row>
    <row r="11102" spans="30:30" x14ac:dyDescent="0.3">
      <c r="AD11102" s="16"/>
    </row>
    <row r="11103" spans="30:30" x14ac:dyDescent="0.3">
      <c r="AD11103" s="16"/>
    </row>
    <row r="11104" spans="30:30" x14ac:dyDescent="0.3">
      <c r="AD11104" s="16"/>
    </row>
    <row r="11105" spans="30:30" x14ac:dyDescent="0.3">
      <c r="AD11105" s="16"/>
    </row>
    <row r="11106" spans="30:30" x14ac:dyDescent="0.3">
      <c r="AD11106" s="16"/>
    </row>
    <row r="11107" spans="30:30" x14ac:dyDescent="0.3">
      <c r="AD11107" s="16"/>
    </row>
    <row r="11108" spans="30:30" x14ac:dyDescent="0.3">
      <c r="AD11108" s="16"/>
    </row>
    <row r="11109" spans="30:30" x14ac:dyDescent="0.3">
      <c r="AD11109" s="16"/>
    </row>
    <row r="11110" spans="30:30" x14ac:dyDescent="0.3">
      <c r="AD11110" s="16"/>
    </row>
    <row r="11111" spans="30:30" x14ac:dyDescent="0.3">
      <c r="AD11111" s="16"/>
    </row>
    <row r="11112" spans="30:30" x14ac:dyDescent="0.3">
      <c r="AD11112" s="16"/>
    </row>
    <row r="11113" spans="30:30" x14ac:dyDescent="0.3">
      <c r="AD11113" s="16"/>
    </row>
    <row r="11114" spans="30:30" x14ac:dyDescent="0.3">
      <c r="AD11114" s="16"/>
    </row>
    <row r="11115" spans="30:30" x14ac:dyDescent="0.3">
      <c r="AD11115" s="16"/>
    </row>
    <row r="11116" spans="30:30" x14ac:dyDescent="0.3">
      <c r="AD11116" s="16"/>
    </row>
    <row r="11117" spans="30:30" x14ac:dyDescent="0.3">
      <c r="AD11117" s="16"/>
    </row>
    <row r="11118" spans="30:30" x14ac:dyDescent="0.3">
      <c r="AD11118" s="16"/>
    </row>
    <row r="11119" spans="30:30" x14ac:dyDescent="0.3">
      <c r="AD11119" s="16"/>
    </row>
    <row r="11120" spans="30:30" x14ac:dyDescent="0.3">
      <c r="AD11120" s="16"/>
    </row>
    <row r="11121" spans="30:30" x14ac:dyDescent="0.3">
      <c r="AD11121" s="16"/>
    </row>
    <row r="11122" spans="30:30" x14ac:dyDescent="0.3">
      <c r="AD11122" s="16"/>
    </row>
    <row r="11123" spans="30:30" x14ac:dyDescent="0.3">
      <c r="AD11123" s="16"/>
    </row>
    <row r="11124" spans="30:30" x14ac:dyDescent="0.3">
      <c r="AD11124" s="16"/>
    </row>
    <row r="11125" spans="30:30" x14ac:dyDescent="0.3">
      <c r="AD11125" s="16"/>
    </row>
    <row r="11126" spans="30:30" x14ac:dyDescent="0.3">
      <c r="AD11126" s="16"/>
    </row>
    <row r="11127" spans="30:30" x14ac:dyDescent="0.3">
      <c r="AD11127" s="16"/>
    </row>
    <row r="11128" spans="30:30" x14ac:dyDescent="0.3">
      <c r="AD11128" s="16"/>
    </row>
    <row r="11129" spans="30:30" x14ac:dyDescent="0.3">
      <c r="AD11129" s="16"/>
    </row>
    <row r="11130" spans="30:30" x14ac:dyDescent="0.3">
      <c r="AD11130" s="16"/>
    </row>
    <row r="11131" spans="30:30" x14ac:dyDescent="0.3">
      <c r="AD11131" s="16"/>
    </row>
    <row r="11132" spans="30:30" x14ac:dyDescent="0.3">
      <c r="AD11132" s="16"/>
    </row>
    <row r="11133" spans="30:30" x14ac:dyDescent="0.3">
      <c r="AD11133" s="16"/>
    </row>
    <row r="11134" spans="30:30" x14ac:dyDescent="0.3">
      <c r="AD11134" s="16"/>
    </row>
    <row r="11135" spans="30:30" x14ac:dyDescent="0.3">
      <c r="AD11135" s="16"/>
    </row>
    <row r="11136" spans="30:30" x14ac:dyDescent="0.3">
      <c r="AD11136" s="16"/>
    </row>
    <row r="11137" spans="30:30" x14ac:dyDescent="0.3">
      <c r="AD11137" s="16"/>
    </row>
    <row r="11138" spans="30:30" x14ac:dyDescent="0.3">
      <c r="AD11138" s="16"/>
    </row>
    <row r="11139" spans="30:30" x14ac:dyDescent="0.3">
      <c r="AD11139" s="16"/>
    </row>
    <row r="11140" spans="30:30" x14ac:dyDescent="0.3">
      <c r="AD11140" s="16"/>
    </row>
    <row r="11141" spans="30:30" x14ac:dyDescent="0.3">
      <c r="AD11141" s="16"/>
    </row>
    <row r="11142" spans="30:30" x14ac:dyDescent="0.3">
      <c r="AD11142" s="16"/>
    </row>
    <row r="11143" spans="30:30" x14ac:dyDescent="0.3">
      <c r="AD11143" s="16"/>
    </row>
    <row r="11144" spans="30:30" x14ac:dyDescent="0.3">
      <c r="AD11144" s="16"/>
    </row>
    <row r="11145" spans="30:30" x14ac:dyDescent="0.3">
      <c r="AD11145" s="16"/>
    </row>
    <row r="11146" spans="30:30" x14ac:dyDescent="0.3">
      <c r="AD11146" s="16"/>
    </row>
    <row r="11147" spans="30:30" x14ac:dyDescent="0.3">
      <c r="AD11147" s="16"/>
    </row>
    <row r="11148" spans="30:30" x14ac:dyDescent="0.3">
      <c r="AD11148" s="16"/>
    </row>
    <row r="11149" spans="30:30" x14ac:dyDescent="0.3">
      <c r="AD11149" s="16"/>
    </row>
    <row r="11150" spans="30:30" x14ac:dyDescent="0.3">
      <c r="AD11150" s="16"/>
    </row>
    <row r="11151" spans="30:30" x14ac:dyDescent="0.3">
      <c r="AD11151" s="16"/>
    </row>
    <row r="11152" spans="30:30" x14ac:dyDescent="0.3">
      <c r="AD11152" s="16"/>
    </row>
    <row r="11153" spans="30:30" x14ac:dyDescent="0.3">
      <c r="AD11153" s="16"/>
    </row>
    <row r="11154" spans="30:30" x14ac:dyDescent="0.3">
      <c r="AD11154" s="16"/>
    </row>
    <row r="11155" spans="30:30" x14ac:dyDescent="0.3">
      <c r="AD11155" s="16"/>
    </row>
    <row r="11156" spans="30:30" x14ac:dyDescent="0.3">
      <c r="AD11156" s="16"/>
    </row>
    <row r="11157" spans="30:30" x14ac:dyDescent="0.3">
      <c r="AD11157" s="16"/>
    </row>
    <row r="11158" spans="30:30" x14ac:dyDescent="0.3">
      <c r="AD11158" s="16"/>
    </row>
    <row r="11159" spans="30:30" x14ac:dyDescent="0.3">
      <c r="AD11159" s="16"/>
    </row>
    <row r="11160" spans="30:30" x14ac:dyDescent="0.3">
      <c r="AD11160" s="16"/>
    </row>
    <row r="11161" spans="30:30" x14ac:dyDescent="0.3">
      <c r="AD11161" s="16"/>
    </row>
    <row r="11162" spans="30:30" x14ac:dyDescent="0.3">
      <c r="AD11162" s="16"/>
    </row>
    <row r="11163" spans="30:30" x14ac:dyDescent="0.3">
      <c r="AD11163" s="16"/>
    </row>
    <row r="11164" spans="30:30" x14ac:dyDescent="0.3">
      <c r="AD11164" s="16"/>
    </row>
    <row r="11165" spans="30:30" x14ac:dyDescent="0.3">
      <c r="AD11165" s="16"/>
    </row>
    <row r="11166" spans="30:30" x14ac:dyDescent="0.3">
      <c r="AD11166" s="16"/>
    </row>
    <row r="11167" spans="30:30" x14ac:dyDescent="0.3">
      <c r="AD11167" s="16"/>
    </row>
    <row r="11168" spans="30:30" x14ac:dyDescent="0.3">
      <c r="AD11168" s="16"/>
    </row>
    <row r="11169" spans="30:30" x14ac:dyDescent="0.3">
      <c r="AD11169" s="16"/>
    </row>
    <row r="11170" spans="30:30" x14ac:dyDescent="0.3">
      <c r="AD11170" s="16"/>
    </row>
    <row r="11171" spans="30:30" x14ac:dyDescent="0.3">
      <c r="AD11171" s="16"/>
    </row>
    <row r="11172" spans="30:30" x14ac:dyDescent="0.3">
      <c r="AD11172" s="16"/>
    </row>
    <row r="11173" spans="30:30" x14ac:dyDescent="0.3">
      <c r="AD11173" s="16"/>
    </row>
    <row r="11174" spans="30:30" x14ac:dyDescent="0.3">
      <c r="AD11174" s="16"/>
    </row>
    <row r="11175" spans="30:30" x14ac:dyDescent="0.3">
      <c r="AD11175" s="16"/>
    </row>
    <row r="11176" spans="30:30" x14ac:dyDescent="0.3">
      <c r="AD11176" s="16"/>
    </row>
    <row r="11177" spans="30:30" x14ac:dyDescent="0.3">
      <c r="AD11177" s="16"/>
    </row>
    <row r="11178" spans="30:30" x14ac:dyDescent="0.3">
      <c r="AD11178" s="16"/>
    </row>
    <row r="11179" spans="30:30" x14ac:dyDescent="0.3">
      <c r="AD11179" s="16"/>
    </row>
    <row r="11180" spans="30:30" x14ac:dyDescent="0.3">
      <c r="AD11180" s="16"/>
    </row>
    <row r="11181" spans="30:30" x14ac:dyDescent="0.3">
      <c r="AD11181" s="16"/>
    </row>
    <row r="11182" spans="30:30" x14ac:dyDescent="0.3">
      <c r="AD11182" s="16"/>
    </row>
    <row r="11183" spans="30:30" x14ac:dyDescent="0.3">
      <c r="AD11183" s="16"/>
    </row>
    <row r="11184" spans="30:30" x14ac:dyDescent="0.3">
      <c r="AD11184" s="16"/>
    </row>
    <row r="11185" spans="30:30" x14ac:dyDescent="0.3">
      <c r="AD11185" s="16"/>
    </row>
    <row r="11186" spans="30:30" x14ac:dyDescent="0.3">
      <c r="AD11186" s="16"/>
    </row>
    <row r="11187" spans="30:30" x14ac:dyDescent="0.3">
      <c r="AD11187" s="16"/>
    </row>
    <row r="11188" spans="30:30" x14ac:dyDescent="0.3">
      <c r="AD11188" s="16"/>
    </row>
    <row r="11189" spans="30:30" x14ac:dyDescent="0.3">
      <c r="AD11189" s="16"/>
    </row>
    <row r="11190" spans="30:30" x14ac:dyDescent="0.3">
      <c r="AD11190" s="16"/>
    </row>
    <row r="11191" spans="30:30" x14ac:dyDescent="0.3">
      <c r="AD11191" s="16"/>
    </row>
    <row r="11192" spans="30:30" x14ac:dyDescent="0.3">
      <c r="AD11192" s="16"/>
    </row>
    <row r="11193" spans="30:30" x14ac:dyDescent="0.3">
      <c r="AD11193" s="16"/>
    </row>
    <row r="11194" spans="30:30" x14ac:dyDescent="0.3">
      <c r="AD11194" s="16"/>
    </row>
    <row r="11195" spans="30:30" x14ac:dyDescent="0.3">
      <c r="AD11195" s="16"/>
    </row>
    <row r="11196" spans="30:30" x14ac:dyDescent="0.3">
      <c r="AD11196" s="16"/>
    </row>
    <row r="11197" spans="30:30" x14ac:dyDescent="0.3">
      <c r="AD11197" s="16"/>
    </row>
    <row r="11198" spans="30:30" x14ac:dyDescent="0.3">
      <c r="AD11198" s="16"/>
    </row>
    <row r="11199" spans="30:30" x14ac:dyDescent="0.3">
      <c r="AD11199" s="16"/>
    </row>
    <row r="11200" spans="30:30" x14ac:dyDescent="0.3">
      <c r="AD11200" s="16"/>
    </row>
    <row r="11201" spans="30:30" x14ac:dyDescent="0.3">
      <c r="AD11201" s="16"/>
    </row>
    <row r="11202" spans="30:30" x14ac:dyDescent="0.3">
      <c r="AD11202" s="16"/>
    </row>
    <row r="11203" spans="30:30" x14ac:dyDescent="0.3">
      <c r="AD11203" s="16"/>
    </row>
    <row r="11204" spans="30:30" x14ac:dyDescent="0.3">
      <c r="AD11204" s="16"/>
    </row>
    <row r="11205" spans="30:30" x14ac:dyDescent="0.3">
      <c r="AD11205" s="16"/>
    </row>
    <row r="11206" spans="30:30" x14ac:dyDescent="0.3">
      <c r="AD11206" s="16"/>
    </row>
    <row r="11207" spans="30:30" x14ac:dyDescent="0.3">
      <c r="AD11207" s="16"/>
    </row>
    <row r="11208" spans="30:30" x14ac:dyDescent="0.3">
      <c r="AD11208" s="16"/>
    </row>
    <row r="11209" spans="30:30" x14ac:dyDescent="0.3">
      <c r="AD11209" s="16"/>
    </row>
    <row r="11210" spans="30:30" x14ac:dyDescent="0.3">
      <c r="AD11210" s="16"/>
    </row>
    <row r="11211" spans="30:30" x14ac:dyDescent="0.3">
      <c r="AD11211" s="16"/>
    </row>
    <row r="11212" spans="30:30" x14ac:dyDescent="0.3">
      <c r="AD11212" s="16"/>
    </row>
    <row r="11213" spans="30:30" x14ac:dyDescent="0.3">
      <c r="AD11213" s="16"/>
    </row>
    <row r="11214" spans="30:30" x14ac:dyDescent="0.3">
      <c r="AD11214" s="16"/>
    </row>
    <row r="11215" spans="30:30" x14ac:dyDescent="0.3">
      <c r="AD11215" s="16"/>
    </row>
    <row r="11216" spans="30:30" x14ac:dyDescent="0.3">
      <c r="AD11216" s="16"/>
    </row>
    <row r="11217" spans="30:30" x14ac:dyDescent="0.3">
      <c r="AD11217" s="16"/>
    </row>
    <row r="11218" spans="30:30" x14ac:dyDescent="0.3">
      <c r="AD11218" s="16"/>
    </row>
    <row r="11219" spans="30:30" x14ac:dyDescent="0.3">
      <c r="AD11219" s="16"/>
    </row>
    <row r="11220" spans="30:30" x14ac:dyDescent="0.3">
      <c r="AD11220" s="16"/>
    </row>
    <row r="11221" spans="30:30" x14ac:dyDescent="0.3">
      <c r="AD11221" s="16"/>
    </row>
    <row r="11222" spans="30:30" x14ac:dyDescent="0.3">
      <c r="AD11222" s="16"/>
    </row>
    <row r="11223" spans="30:30" x14ac:dyDescent="0.3">
      <c r="AD11223" s="16"/>
    </row>
    <row r="11224" spans="30:30" x14ac:dyDescent="0.3">
      <c r="AD11224" s="16"/>
    </row>
    <row r="11225" spans="30:30" x14ac:dyDescent="0.3">
      <c r="AD11225" s="16"/>
    </row>
    <row r="11226" spans="30:30" x14ac:dyDescent="0.3">
      <c r="AD11226" s="16"/>
    </row>
    <row r="11227" spans="30:30" x14ac:dyDescent="0.3">
      <c r="AD11227" s="16"/>
    </row>
    <row r="11228" spans="30:30" x14ac:dyDescent="0.3">
      <c r="AD11228" s="16"/>
    </row>
    <row r="11229" spans="30:30" x14ac:dyDescent="0.3">
      <c r="AD11229" s="16"/>
    </row>
    <row r="11230" spans="30:30" x14ac:dyDescent="0.3">
      <c r="AD11230" s="16"/>
    </row>
    <row r="11231" spans="30:30" x14ac:dyDescent="0.3">
      <c r="AD11231" s="16"/>
    </row>
    <row r="11232" spans="30:30" x14ac:dyDescent="0.3">
      <c r="AD11232" s="16"/>
    </row>
    <row r="11233" spans="30:30" x14ac:dyDescent="0.3">
      <c r="AD11233" s="16"/>
    </row>
    <row r="11234" spans="30:30" x14ac:dyDescent="0.3">
      <c r="AD11234" s="16"/>
    </row>
    <row r="11235" spans="30:30" x14ac:dyDescent="0.3">
      <c r="AD11235" s="16"/>
    </row>
    <row r="11236" spans="30:30" x14ac:dyDescent="0.3">
      <c r="AD11236" s="16"/>
    </row>
    <row r="11237" spans="30:30" x14ac:dyDescent="0.3">
      <c r="AD11237" s="16"/>
    </row>
    <row r="11238" spans="30:30" x14ac:dyDescent="0.3">
      <c r="AD11238" s="16"/>
    </row>
    <row r="11239" spans="30:30" x14ac:dyDescent="0.3">
      <c r="AD11239" s="16"/>
    </row>
    <row r="11240" spans="30:30" x14ac:dyDescent="0.3">
      <c r="AD11240" s="16"/>
    </row>
    <row r="11241" spans="30:30" x14ac:dyDescent="0.3">
      <c r="AD11241" s="16"/>
    </row>
    <row r="11242" spans="30:30" x14ac:dyDescent="0.3">
      <c r="AD11242" s="16"/>
    </row>
    <row r="11243" spans="30:30" x14ac:dyDescent="0.3">
      <c r="AD11243" s="16"/>
    </row>
    <row r="11244" spans="30:30" x14ac:dyDescent="0.3">
      <c r="AD11244" s="16"/>
    </row>
    <row r="11245" spans="30:30" x14ac:dyDescent="0.3">
      <c r="AD11245" s="16"/>
    </row>
    <row r="11246" spans="30:30" x14ac:dyDescent="0.3">
      <c r="AD11246" s="16"/>
    </row>
    <row r="11247" spans="30:30" x14ac:dyDescent="0.3">
      <c r="AD11247" s="16"/>
    </row>
    <row r="11248" spans="30:30" x14ac:dyDescent="0.3">
      <c r="AD11248" s="16"/>
    </row>
    <row r="11249" spans="30:30" x14ac:dyDescent="0.3">
      <c r="AD11249" s="16"/>
    </row>
    <row r="11250" spans="30:30" x14ac:dyDescent="0.3">
      <c r="AD11250" s="16"/>
    </row>
    <row r="11251" spans="30:30" x14ac:dyDescent="0.3">
      <c r="AD11251" s="16"/>
    </row>
    <row r="11252" spans="30:30" x14ac:dyDescent="0.3">
      <c r="AD11252" s="16"/>
    </row>
    <row r="11253" spans="30:30" x14ac:dyDescent="0.3">
      <c r="AD11253" s="16"/>
    </row>
    <row r="11254" spans="30:30" x14ac:dyDescent="0.3">
      <c r="AD11254" s="16"/>
    </row>
    <row r="11255" spans="30:30" x14ac:dyDescent="0.3">
      <c r="AD11255" s="16"/>
    </row>
    <row r="11256" spans="30:30" x14ac:dyDescent="0.3">
      <c r="AD11256" s="16"/>
    </row>
    <row r="11257" spans="30:30" x14ac:dyDescent="0.3">
      <c r="AD11257" s="16"/>
    </row>
    <row r="11258" spans="30:30" x14ac:dyDescent="0.3">
      <c r="AD11258" s="16"/>
    </row>
    <row r="11259" spans="30:30" x14ac:dyDescent="0.3">
      <c r="AD11259" s="16"/>
    </row>
    <row r="11260" spans="30:30" x14ac:dyDescent="0.3">
      <c r="AD11260" s="16"/>
    </row>
    <row r="11261" spans="30:30" x14ac:dyDescent="0.3">
      <c r="AD11261" s="16"/>
    </row>
    <row r="11262" spans="30:30" x14ac:dyDescent="0.3">
      <c r="AD11262" s="16"/>
    </row>
    <row r="11263" spans="30:30" x14ac:dyDescent="0.3">
      <c r="AD11263" s="16"/>
    </row>
    <row r="11264" spans="30:30" x14ac:dyDescent="0.3">
      <c r="AD11264" s="16"/>
    </row>
    <row r="11265" spans="30:30" x14ac:dyDescent="0.3">
      <c r="AD11265" s="16"/>
    </row>
    <row r="11266" spans="30:30" x14ac:dyDescent="0.3">
      <c r="AD11266" s="16"/>
    </row>
    <row r="11267" spans="30:30" x14ac:dyDescent="0.3">
      <c r="AD11267" s="16"/>
    </row>
    <row r="11268" spans="30:30" x14ac:dyDescent="0.3">
      <c r="AD11268" s="16"/>
    </row>
    <row r="11269" spans="30:30" x14ac:dyDescent="0.3">
      <c r="AD11269" s="16"/>
    </row>
    <row r="11270" spans="30:30" x14ac:dyDescent="0.3">
      <c r="AD11270" s="16"/>
    </row>
    <row r="11271" spans="30:30" x14ac:dyDescent="0.3">
      <c r="AD11271" s="16"/>
    </row>
    <row r="11272" spans="30:30" x14ac:dyDescent="0.3">
      <c r="AD11272" s="16"/>
    </row>
    <row r="11273" spans="30:30" x14ac:dyDescent="0.3">
      <c r="AD11273" s="16"/>
    </row>
    <row r="11274" spans="30:30" x14ac:dyDescent="0.3">
      <c r="AD11274" s="16"/>
    </row>
    <row r="11275" spans="30:30" x14ac:dyDescent="0.3">
      <c r="AD11275" s="16"/>
    </row>
    <row r="11276" spans="30:30" x14ac:dyDescent="0.3">
      <c r="AD11276" s="16"/>
    </row>
    <row r="11277" spans="30:30" x14ac:dyDescent="0.3">
      <c r="AD11277" s="16"/>
    </row>
    <row r="11278" spans="30:30" x14ac:dyDescent="0.3">
      <c r="AD11278" s="16"/>
    </row>
    <row r="11279" spans="30:30" x14ac:dyDescent="0.3">
      <c r="AD11279" s="16"/>
    </row>
    <row r="11280" spans="30:30" x14ac:dyDescent="0.3">
      <c r="AD11280" s="16"/>
    </row>
    <row r="11281" spans="30:30" x14ac:dyDescent="0.3">
      <c r="AD11281" s="16"/>
    </row>
    <row r="11282" spans="30:30" x14ac:dyDescent="0.3">
      <c r="AD11282" s="16"/>
    </row>
    <row r="11283" spans="30:30" x14ac:dyDescent="0.3">
      <c r="AD11283" s="16"/>
    </row>
    <row r="11284" spans="30:30" x14ac:dyDescent="0.3">
      <c r="AD11284" s="16"/>
    </row>
    <row r="11285" spans="30:30" x14ac:dyDescent="0.3">
      <c r="AD11285" s="16"/>
    </row>
    <row r="11286" spans="30:30" x14ac:dyDescent="0.3">
      <c r="AD11286" s="16"/>
    </row>
    <row r="11287" spans="30:30" x14ac:dyDescent="0.3">
      <c r="AD11287" s="16"/>
    </row>
    <row r="11288" spans="30:30" x14ac:dyDescent="0.3">
      <c r="AD11288" s="16"/>
    </row>
    <row r="11289" spans="30:30" x14ac:dyDescent="0.3">
      <c r="AD11289" s="16"/>
    </row>
    <row r="11290" spans="30:30" x14ac:dyDescent="0.3">
      <c r="AD11290" s="16"/>
    </row>
    <row r="11291" spans="30:30" x14ac:dyDescent="0.3">
      <c r="AD11291" s="16"/>
    </row>
    <row r="11292" spans="30:30" x14ac:dyDescent="0.3">
      <c r="AD11292" s="16"/>
    </row>
    <row r="11293" spans="30:30" x14ac:dyDescent="0.3">
      <c r="AD11293" s="16"/>
    </row>
    <row r="11294" spans="30:30" x14ac:dyDescent="0.3">
      <c r="AD11294" s="16"/>
    </row>
    <row r="11295" spans="30:30" x14ac:dyDescent="0.3">
      <c r="AD11295" s="16"/>
    </row>
    <row r="11296" spans="30:30" x14ac:dyDescent="0.3">
      <c r="AD11296" s="16"/>
    </row>
    <row r="11297" spans="30:30" x14ac:dyDescent="0.3">
      <c r="AD11297" s="16"/>
    </row>
    <row r="11298" spans="30:30" x14ac:dyDescent="0.3">
      <c r="AD11298" s="16"/>
    </row>
    <row r="11299" spans="30:30" x14ac:dyDescent="0.3">
      <c r="AD11299" s="16"/>
    </row>
    <row r="11300" spans="30:30" x14ac:dyDescent="0.3">
      <c r="AD11300" s="16"/>
    </row>
    <row r="11301" spans="30:30" x14ac:dyDescent="0.3">
      <c r="AD11301" s="16"/>
    </row>
    <row r="11302" spans="30:30" x14ac:dyDescent="0.3">
      <c r="AD11302" s="16"/>
    </row>
    <row r="11303" spans="30:30" x14ac:dyDescent="0.3">
      <c r="AD11303" s="16"/>
    </row>
    <row r="11304" spans="30:30" x14ac:dyDescent="0.3">
      <c r="AD11304" s="16"/>
    </row>
    <row r="11305" spans="30:30" x14ac:dyDescent="0.3">
      <c r="AD11305" s="16"/>
    </row>
    <row r="11306" spans="30:30" x14ac:dyDescent="0.3">
      <c r="AD11306" s="16"/>
    </row>
    <row r="11307" spans="30:30" x14ac:dyDescent="0.3">
      <c r="AD11307" s="16"/>
    </row>
    <row r="11308" spans="30:30" x14ac:dyDescent="0.3">
      <c r="AD11308" s="16"/>
    </row>
    <row r="11309" spans="30:30" x14ac:dyDescent="0.3">
      <c r="AD11309" s="16"/>
    </row>
    <row r="11310" spans="30:30" x14ac:dyDescent="0.3">
      <c r="AD11310" s="16"/>
    </row>
    <row r="11311" spans="30:30" x14ac:dyDescent="0.3">
      <c r="AD11311" s="16"/>
    </row>
    <row r="11312" spans="30:30" x14ac:dyDescent="0.3">
      <c r="AD11312" s="16"/>
    </row>
    <row r="11313" spans="30:30" x14ac:dyDescent="0.3">
      <c r="AD11313" s="16"/>
    </row>
    <row r="11314" spans="30:30" x14ac:dyDescent="0.3">
      <c r="AD11314" s="16"/>
    </row>
    <row r="11315" spans="30:30" x14ac:dyDescent="0.3">
      <c r="AD11315" s="16"/>
    </row>
    <row r="11316" spans="30:30" x14ac:dyDescent="0.3">
      <c r="AD11316" s="16"/>
    </row>
    <row r="11317" spans="30:30" x14ac:dyDescent="0.3">
      <c r="AD11317" s="16"/>
    </row>
    <row r="11318" spans="30:30" x14ac:dyDescent="0.3">
      <c r="AD11318" s="16"/>
    </row>
    <row r="11319" spans="30:30" x14ac:dyDescent="0.3">
      <c r="AD11319" s="16"/>
    </row>
    <row r="11320" spans="30:30" x14ac:dyDescent="0.3">
      <c r="AD11320" s="16"/>
    </row>
    <row r="11321" spans="30:30" x14ac:dyDescent="0.3">
      <c r="AD11321" s="16"/>
    </row>
    <row r="11322" spans="30:30" x14ac:dyDescent="0.3">
      <c r="AD11322" s="16"/>
    </row>
    <row r="11323" spans="30:30" x14ac:dyDescent="0.3">
      <c r="AD11323" s="16"/>
    </row>
    <row r="11324" spans="30:30" x14ac:dyDescent="0.3">
      <c r="AD11324" s="16"/>
    </row>
    <row r="11325" spans="30:30" x14ac:dyDescent="0.3">
      <c r="AD11325" s="16"/>
    </row>
    <row r="11326" spans="30:30" x14ac:dyDescent="0.3">
      <c r="AD11326" s="16"/>
    </row>
    <row r="11327" spans="30:30" x14ac:dyDescent="0.3">
      <c r="AD11327" s="16"/>
    </row>
    <row r="11328" spans="30:30" x14ac:dyDescent="0.3">
      <c r="AD11328" s="16"/>
    </row>
    <row r="11329" spans="30:30" x14ac:dyDescent="0.3">
      <c r="AD11329" s="16"/>
    </row>
    <row r="11330" spans="30:30" x14ac:dyDescent="0.3">
      <c r="AD11330" s="16"/>
    </row>
    <row r="11331" spans="30:30" x14ac:dyDescent="0.3">
      <c r="AD11331" s="16"/>
    </row>
    <row r="11332" spans="30:30" x14ac:dyDescent="0.3">
      <c r="AD11332" s="16"/>
    </row>
    <row r="11333" spans="30:30" x14ac:dyDescent="0.3">
      <c r="AD11333" s="16"/>
    </row>
    <row r="11334" spans="30:30" x14ac:dyDescent="0.3">
      <c r="AD11334" s="16"/>
    </row>
    <row r="11335" spans="30:30" x14ac:dyDescent="0.3">
      <c r="AD11335" s="16"/>
    </row>
    <row r="11336" spans="30:30" x14ac:dyDescent="0.3">
      <c r="AD11336" s="16"/>
    </row>
    <row r="11337" spans="30:30" x14ac:dyDescent="0.3">
      <c r="AD11337" s="16"/>
    </row>
    <row r="11338" spans="30:30" x14ac:dyDescent="0.3">
      <c r="AD11338" s="16"/>
    </row>
    <row r="11339" spans="30:30" x14ac:dyDescent="0.3">
      <c r="AD11339" s="16"/>
    </row>
    <row r="11340" spans="30:30" x14ac:dyDescent="0.3">
      <c r="AD11340" s="16"/>
    </row>
    <row r="11341" spans="30:30" x14ac:dyDescent="0.3">
      <c r="AD11341" s="16"/>
    </row>
    <row r="11342" spans="30:30" x14ac:dyDescent="0.3">
      <c r="AD11342" s="16"/>
    </row>
    <row r="11343" spans="30:30" x14ac:dyDescent="0.3">
      <c r="AD11343" s="16"/>
    </row>
    <row r="11344" spans="30:30" x14ac:dyDescent="0.3">
      <c r="AD11344" s="16"/>
    </row>
    <row r="11345" spans="30:30" x14ac:dyDescent="0.3">
      <c r="AD11345" s="16"/>
    </row>
    <row r="11346" spans="30:30" x14ac:dyDescent="0.3">
      <c r="AD11346" s="16"/>
    </row>
    <row r="11347" spans="30:30" x14ac:dyDescent="0.3">
      <c r="AD11347" s="16"/>
    </row>
    <row r="11348" spans="30:30" x14ac:dyDescent="0.3">
      <c r="AD11348" s="16"/>
    </row>
    <row r="11349" spans="30:30" x14ac:dyDescent="0.3">
      <c r="AD11349" s="16"/>
    </row>
    <row r="11350" spans="30:30" x14ac:dyDescent="0.3">
      <c r="AD11350" s="16"/>
    </row>
    <row r="11351" spans="30:30" x14ac:dyDescent="0.3">
      <c r="AD11351" s="16"/>
    </row>
    <row r="11352" spans="30:30" x14ac:dyDescent="0.3">
      <c r="AD11352" s="16"/>
    </row>
    <row r="11353" spans="30:30" x14ac:dyDescent="0.3">
      <c r="AD11353" s="16"/>
    </row>
    <row r="11354" spans="30:30" x14ac:dyDescent="0.3">
      <c r="AD11354" s="16"/>
    </row>
    <row r="11355" spans="30:30" x14ac:dyDescent="0.3">
      <c r="AD11355" s="16"/>
    </row>
    <row r="11356" spans="30:30" x14ac:dyDescent="0.3">
      <c r="AD11356" s="16"/>
    </row>
    <row r="11357" spans="30:30" x14ac:dyDescent="0.3">
      <c r="AD11357" s="16"/>
    </row>
    <row r="11358" spans="30:30" x14ac:dyDescent="0.3">
      <c r="AD11358" s="16"/>
    </row>
    <row r="11359" spans="30:30" x14ac:dyDescent="0.3">
      <c r="AD11359" s="16"/>
    </row>
    <row r="11360" spans="30:30" x14ac:dyDescent="0.3">
      <c r="AD11360" s="16"/>
    </row>
    <row r="11361" spans="30:30" x14ac:dyDescent="0.3">
      <c r="AD11361" s="16"/>
    </row>
    <row r="11362" spans="30:30" x14ac:dyDescent="0.3">
      <c r="AD11362" s="16"/>
    </row>
    <row r="11363" spans="30:30" x14ac:dyDescent="0.3">
      <c r="AD11363" s="16"/>
    </row>
    <row r="11364" spans="30:30" x14ac:dyDescent="0.3">
      <c r="AD11364" s="16"/>
    </row>
    <row r="11365" spans="30:30" x14ac:dyDescent="0.3">
      <c r="AD11365" s="16"/>
    </row>
    <row r="11366" spans="30:30" x14ac:dyDescent="0.3">
      <c r="AD11366" s="16"/>
    </row>
    <row r="11367" spans="30:30" x14ac:dyDescent="0.3">
      <c r="AD11367" s="16"/>
    </row>
    <row r="11368" spans="30:30" x14ac:dyDescent="0.3">
      <c r="AD11368" s="16"/>
    </row>
    <row r="11369" spans="30:30" x14ac:dyDescent="0.3">
      <c r="AD11369" s="16"/>
    </row>
    <row r="11370" spans="30:30" x14ac:dyDescent="0.3">
      <c r="AD11370" s="16"/>
    </row>
    <row r="11371" spans="30:30" x14ac:dyDescent="0.3">
      <c r="AD11371" s="16"/>
    </row>
    <row r="11372" spans="30:30" x14ac:dyDescent="0.3">
      <c r="AD11372" s="16"/>
    </row>
    <row r="11373" spans="30:30" x14ac:dyDescent="0.3">
      <c r="AD11373" s="16"/>
    </row>
    <row r="11374" spans="30:30" x14ac:dyDescent="0.3">
      <c r="AD11374" s="16"/>
    </row>
    <row r="11375" spans="30:30" x14ac:dyDescent="0.3">
      <c r="AD11375" s="16"/>
    </row>
    <row r="11376" spans="30:30" x14ac:dyDescent="0.3">
      <c r="AD11376" s="16"/>
    </row>
    <row r="11377" spans="30:30" x14ac:dyDescent="0.3">
      <c r="AD11377" s="16"/>
    </row>
    <row r="11378" spans="30:30" x14ac:dyDescent="0.3">
      <c r="AD11378" s="16"/>
    </row>
    <row r="11379" spans="30:30" x14ac:dyDescent="0.3">
      <c r="AD11379" s="16"/>
    </row>
    <row r="11380" spans="30:30" x14ac:dyDescent="0.3">
      <c r="AD11380" s="16"/>
    </row>
    <row r="11381" spans="30:30" x14ac:dyDescent="0.3">
      <c r="AD11381" s="16"/>
    </row>
    <row r="11382" spans="30:30" x14ac:dyDescent="0.3">
      <c r="AD11382" s="16"/>
    </row>
    <row r="11383" spans="30:30" x14ac:dyDescent="0.3">
      <c r="AD11383" s="16"/>
    </row>
    <row r="11384" spans="30:30" x14ac:dyDescent="0.3">
      <c r="AD11384" s="16"/>
    </row>
    <row r="11385" spans="30:30" x14ac:dyDescent="0.3">
      <c r="AD11385" s="16"/>
    </row>
    <row r="11386" spans="30:30" x14ac:dyDescent="0.3">
      <c r="AD11386" s="16"/>
    </row>
    <row r="11387" spans="30:30" x14ac:dyDescent="0.3">
      <c r="AD11387" s="16"/>
    </row>
    <row r="11388" spans="30:30" x14ac:dyDescent="0.3">
      <c r="AD11388" s="16"/>
    </row>
    <row r="11389" spans="30:30" x14ac:dyDescent="0.3">
      <c r="AD11389" s="16"/>
    </row>
    <row r="11390" spans="30:30" x14ac:dyDescent="0.3">
      <c r="AD11390" s="16"/>
    </row>
    <row r="11391" spans="30:30" x14ac:dyDescent="0.3">
      <c r="AD11391" s="16"/>
    </row>
    <row r="11392" spans="30:30" x14ac:dyDescent="0.3">
      <c r="AD11392" s="16"/>
    </row>
    <row r="11393" spans="30:30" x14ac:dyDescent="0.3">
      <c r="AD11393" s="16"/>
    </row>
    <row r="11394" spans="30:30" x14ac:dyDescent="0.3">
      <c r="AD11394" s="16"/>
    </row>
    <row r="11395" spans="30:30" x14ac:dyDescent="0.3">
      <c r="AD11395" s="16"/>
    </row>
    <row r="11396" spans="30:30" x14ac:dyDescent="0.3">
      <c r="AD11396" s="16"/>
    </row>
    <row r="11397" spans="30:30" x14ac:dyDescent="0.3">
      <c r="AD11397" s="16"/>
    </row>
    <row r="11398" spans="30:30" x14ac:dyDescent="0.3">
      <c r="AD11398" s="16"/>
    </row>
    <row r="11399" spans="30:30" x14ac:dyDescent="0.3">
      <c r="AD11399" s="16"/>
    </row>
    <row r="11400" spans="30:30" x14ac:dyDescent="0.3">
      <c r="AD11400" s="16"/>
    </row>
    <row r="11401" spans="30:30" x14ac:dyDescent="0.3">
      <c r="AD11401" s="16"/>
    </row>
    <row r="11402" spans="30:30" x14ac:dyDescent="0.3">
      <c r="AD11402" s="16"/>
    </row>
    <row r="11403" spans="30:30" x14ac:dyDescent="0.3">
      <c r="AD11403" s="16"/>
    </row>
    <row r="11404" spans="30:30" x14ac:dyDescent="0.3">
      <c r="AD11404" s="16"/>
    </row>
    <row r="11405" spans="30:30" x14ac:dyDescent="0.3">
      <c r="AD11405" s="16"/>
    </row>
    <row r="11406" spans="30:30" x14ac:dyDescent="0.3">
      <c r="AD11406" s="16"/>
    </row>
    <row r="11407" spans="30:30" x14ac:dyDescent="0.3">
      <c r="AD11407" s="16"/>
    </row>
    <row r="11408" spans="30:30" x14ac:dyDescent="0.3">
      <c r="AD11408" s="16"/>
    </row>
    <row r="11409" spans="30:30" x14ac:dyDescent="0.3">
      <c r="AD11409" s="16"/>
    </row>
    <row r="11410" spans="30:30" x14ac:dyDescent="0.3">
      <c r="AD11410" s="16"/>
    </row>
    <row r="11411" spans="30:30" x14ac:dyDescent="0.3">
      <c r="AD11411" s="16"/>
    </row>
    <row r="11412" spans="30:30" x14ac:dyDescent="0.3">
      <c r="AD11412" s="16"/>
    </row>
    <row r="11413" spans="30:30" x14ac:dyDescent="0.3">
      <c r="AD11413" s="16"/>
    </row>
    <row r="11414" spans="30:30" x14ac:dyDescent="0.3">
      <c r="AD11414" s="16"/>
    </row>
    <row r="11415" spans="30:30" x14ac:dyDescent="0.3">
      <c r="AD11415" s="16"/>
    </row>
    <row r="11416" spans="30:30" x14ac:dyDescent="0.3">
      <c r="AD11416" s="16"/>
    </row>
    <row r="11417" spans="30:30" x14ac:dyDescent="0.3">
      <c r="AD11417" s="16"/>
    </row>
    <row r="11418" spans="30:30" x14ac:dyDescent="0.3">
      <c r="AD11418" s="16"/>
    </row>
    <row r="11419" spans="30:30" x14ac:dyDescent="0.3">
      <c r="AD11419" s="16"/>
    </row>
    <row r="11420" spans="30:30" x14ac:dyDescent="0.3">
      <c r="AD11420" s="16"/>
    </row>
    <row r="11421" spans="30:30" x14ac:dyDescent="0.3">
      <c r="AD11421" s="16"/>
    </row>
    <row r="11422" spans="30:30" x14ac:dyDescent="0.3">
      <c r="AD11422" s="16"/>
    </row>
    <row r="11423" spans="30:30" x14ac:dyDescent="0.3">
      <c r="AD11423" s="16"/>
    </row>
    <row r="11424" spans="30:30" x14ac:dyDescent="0.3">
      <c r="AD11424" s="16"/>
    </row>
    <row r="11425" spans="30:30" x14ac:dyDescent="0.3">
      <c r="AD11425" s="16"/>
    </row>
    <row r="11426" spans="30:30" x14ac:dyDescent="0.3">
      <c r="AD11426" s="16"/>
    </row>
    <row r="11427" spans="30:30" x14ac:dyDescent="0.3">
      <c r="AD11427" s="16"/>
    </row>
    <row r="11428" spans="30:30" x14ac:dyDescent="0.3">
      <c r="AD11428" s="16"/>
    </row>
    <row r="11429" spans="30:30" x14ac:dyDescent="0.3">
      <c r="AD11429" s="16"/>
    </row>
    <row r="11430" spans="30:30" x14ac:dyDescent="0.3">
      <c r="AD11430" s="16"/>
    </row>
    <row r="11431" spans="30:30" x14ac:dyDescent="0.3">
      <c r="AD11431" s="16"/>
    </row>
    <row r="11432" spans="30:30" x14ac:dyDescent="0.3">
      <c r="AD11432" s="16"/>
    </row>
    <row r="11433" spans="30:30" x14ac:dyDescent="0.3">
      <c r="AD11433" s="16"/>
    </row>
    <row r="11434" spans="30:30" x14ac:dyDescent="0.3">
      <c r="AD11434" s="16"/>
    </row>
    <row r="11435" spans="30:30" x14ac:dyDescent="0.3">
      <c r="AD11435" s="16"/>
    </row>
    <row r="11436" spans="30:30" x14ac:dyDescent="0.3">
      <c r="AD11436" s="16"/>
    </row>
    <row r="11437" spans="30:30" x14ac:dyDescent="0.3">
      <c r="AD11437" s="16"/>
    </row>
    <row r="11438" spans="30:30" x14ac:dyDescent="0.3">
      <c r="AD11438" s="16"/>
    </row>
    <row r="11439" spans="30:30" x14ac:dyDescent="0.3">
      <c r="AD11439" s="16"/>
    </row>
    <row r="11440" spans="30:30" x14ac:dyDescent="0.3">
      <c r="AD11440" s="16"/>
    </row>
    <row r="11441" spans="30:30" x14ac:dyDescent="0.3">
      <c r="AD11441" s="16"/>
    </row>
    <row r="11442" spans="30:30" x14ac:dyDescent="0.3">
      <c r="AD11442" s="16"/>
    </row>
    <row r="11443" spans="30:30" x14ac:dyDescent="0.3">
      <c r="AD11443" s="16"/>
    </row>
    <row r="11444" spans="30:30" x14ac:dyDescent="0.3">
      <c r="AD11444" s="16"/>
    </row>
    <row r="11445" spans="30:30" x14ac:dyDescent="0.3">
      <c r="AD11445" s="16"/>
    </row>
    <row r="11446" spans="30:30" x14ac:dyDescent="0.3">
      <c r="AD11446" s="16"/>
    </row>
    <row r="11447" spans="30:30" x14ac:dyDescent="0.3">
      <c r="AD11447" s="16"/>
    </row>
    <row r="11448" spans="30:30" x14ac:dyDescent="0.3">
      <c r="AD11448" s="16"/>
    </row>
    <row r="11449" spans="30:30" x14ac:dyDescent="0.3">
      <c r="AD11449" s="16"/>
    </row>
    <row r="11450" spans="30:30" x14ac:dyDescent="0.3">
      <c r="AD11450" s="16"/>
    </row>
    <row r="11451" spans="30:30" x14ac:dyDescent="0.3">
      <c r="AD11451" s="16"/>
    </row>
    <row r="11452" spans="30:30" x14ac:dyDescent="0.3">
      <c r="AD11452" s="16"/>
    </row>
    <row r="11453" spans="30:30" x14ac:dyDescent="0.3">
      <c r="AD11453" s="16"/>
    </row>
    <row r="11454" spans="30:30" x14ac:dyDescent="0.3">
      <c r="AD11454" s="16"/>
    </row>
    <row r="11455" spans="30:30" x14ac:dyDescent="0.3">
      <c r="AD11455" s="16"/>
    </row>
    <row r="11456" spans="30:30" x14ac:dyDescent="0.3">
      <c r="AD11456" s="16"/>
    </row>
    <row r="11457" spans="30:30" x14ac:dyDescent="0.3">
      <c r="AD11457" s="16"/>
    </row>
    <row r="11458" spans="30:30" x14ac:dyDescent="0.3">
      <c r="AD11458" s="16"/>
    </row>
    <row r="11459" spans="30:30" x14ac:dyDescent="0.3">
      <c r="AD11459" s="16"/>
    </row>
    <row r="11460" spans="30:30" x14ac:dyDescent="0.3">
      <c r="AD11460" s="16"/>
    </row>
    <row r="11461" spans="30:30" x14ac:dyDescent="0.3">
      <c r="AD11461" s="16"/>
    </row>
    <row r="11462" spans="30:30" x14ac:dyDescent="0.3">
      <c r="AD11462" s="16"/>
    </row>
    <row r="11463" spans="30:30" x14ac:dyDescent="0.3">
      <c r="AD11463" s="16"/>
    </row>
    <row r="11464" spans="30:30" x14ac:dyDescent="0.3">
      <c r="AD11464" s="16"/>
    </row>
    <row r="11465" spans="30:30" x14ac:dyDescent="0.3">
      <c r="AD11465" s="16"/>
    </row>
    <row r="11466" spans="30:30" x14ac:dyDescent="0.3">
      <c r="AD11466" s="16"/>
    </row>
    <row r="11467" spans="30:30" x14ac:dyDescent="0.3">
      <c r="AD11467" s="16"/>
    </row>
    <row r="11468" spans="30:30" x14ac:dyDescent="0.3">
      <c r="AD11468" s="16"/>
    </row>
    <row r="11469" spans="30:30" x14ac:dyDescent="0.3">
      <c r="AD11469" s="16"/>
    </row>
    <row r="11470" spans="30:30" x14ac:dyDescent="0.3">
      <c r="AD11470" s="16"/>
    </row>
    <row r="11471" spans="30:30" x14ac:dyDescent="0.3">
      <c r="AD11471" s="16"/>
    </row>
    <row r="11472" spans="30:30" x14ac:dyDescent="0.3">
      <c r="AD11472" s="16"/>
    </row>
    <row r="11473" spans="30:30" x14ac:dyDescent="0.3">
      <c r="AD11473" s="16"/>
    </row>
    <row r="11474" spans="30:30" x14ac:dyDescent="0.3">
      <c r="AD11474" s="16"/>
    </row>
    <row r="11475" spans="30:30" x14ac:dyDescent="0.3">
      <c r="AD11475" s="16"/>
    </row>
    <row r="11476" spans="30:30" x14ac:dyDescent="0.3">
      <c r="AD11476" s="16"/>
    </row>
    <row r="11477" spans="30:30" x14ac:dyDescent="0.3">
      <c r="AD11477" s="16"/>
    </row>
    <row r="11478" spans="30:30" x14ac:dyDescent="0.3">
      <c r="AD11478" s="16"/>
    </row>
    <row r="11479" spans="30:30" x14ac:dyDescent="0.3">
      <c r="AD11479" s="16"/>
    </row>
    <row r="11480" spans="30:30" x14ac:dyDescent="0.3">
      <c r="AD11480" s="16"/>
    </row>
    <row r="11481" spans="30:30" x14ac:dyDescent="0.3">
      <c r="AD11481" s="16"/>
    </row>
    <row r="11482" spans="30:30" x14ac:dyDescent="0.3">
      <c r="AD11482" s="16"/>
    </row>
    <row r="11483" spans="30:30" x14ac:dyDescent="0.3">
      <c r="AD11483" s="16"/>
    </row>
    <row r="11484" spans="30:30" x14ac:dyDescent="0.3">
      <c r="AD11484" s="16"/>
    </row>
    <row r="11485" spans="30:30" x14ac:dyDescent="0.3">
      <c r="AD11485" s="16"/>
    </row>
    <row r="11486" spans="30:30" x14ac:dyDescent="0.3">
      <c r="AD11486" s="16"/>
    </row>
    <row r="11487" spans="30:30" x14ac:dyDescent="0.3">
      <c r="AD11487" s="16"/>
    </row>
    <row r="11488" spans="30:30" x14ac:dyDescent="0.3">
      <c r="AD11488" s="16"/>
    </row>
    <row r="11489" spans="30:30" x14ac:dyDescent="0.3">
      <c r="AD11489" s="16"/>
    </row>
    <row r="11490" spans="30:30" x14ac:dyDescent="0.3">
      <c r="AD11490" s="16"/>
    </row>
    <row r="11491" spans="30:30" x14ac:dyDescent="0.3">
      <c r="AD11491" s="16"/>
    </row>
    <row r="11492" spans="30:30" x14ac:dyDescent="0.3">
      <c r="AD11492" s="16"/>
    </row>
    <row r="11493" spans="30:30" x14ac:dyDescent="0.3">
      <c r="AD11493" s="16"/>
    </row>
    <row r="11494" spans="30:30" x14ac:dyDescent="0.3">
      <c r="AD11494" s="16"/>
    </row>
    <row r="11495" spans="30:30" x14ac:dyDescent="0.3">
      <c r="AD11495" s="16"/>
    </row>
    <row r="11496" spans="30:30" x14ac:dyDescent="0.3">
      <c r="AD11496" s="16"/>
    </row>
    <row r="11497" spans="30:30" x14ac:dyDescent="0.3">
      <c r="AD11497" s="16"/>
    </row>
    <row r="11498" spans="30:30" x14ac:dyDescent="0.3">
      <c r="AD11498" s="16"/>
    </row>
    <row r="11499" spans="30:30" x14ac:dyDescent="0.3">
      <c r="AD11499" s="16"/>
    </row>
    <row r="11500" spans="30:30" x14ac:dyDescent="0.3">
      <c r="AD11500" s="16"/>
    </row>
    <row r="11501" spans="30:30" x14ac:dyDescent="0.3">
      <c r="AD11501" s="16"/>
    </row>
    <row r="11502" spans="30:30" x14ac:dyDescent="0.3">
      <c r="AD11502" s="16"/>
    </row>
    <row r="11503" spans="30:30" x14ac:dyDescent="0.3">
      <c r="AD11503" s="16"/>
    </row>
    <row r="11504" spans="30:30" x14ac:dyDescent="0.3">
      <c r="AD11504" s="16"/>
    </row>
    <row r="11505" spans="30:30" x14ac:dyDescent="0.3">
      <c r="AD11505" s="16"/>
    </row>
    <row r="11506" spans="30:30" x14ac:dyDescent="0.3">
      <c r="AD11506" s="16"/>
    </row>
    <row r="11507" spans="30:30" x14ac:dyDescent="0.3">
      <c r="AD11507" s="16"/>
    </row>
    <row r="11508" spans="30:30" x14ac:dyDescent="0.3">
      <c r="AD11508" s="16"/>
    </row>
    <row r="11509" spans="30:30" x14ac:dyDescent="0.3">
      <c r="AD11509" s="16"/>
    </row>
    <row r="11510" spans="30:30" x14ac:dyDescent="0.3">
      <c r="AD11510" s="16"/>
    </row>
    <row r="11511" spans="30:30" x14ac:dyDescent="0.3">
      <c r="AD11511" s="16"/>
    </row>
    <row r="11512" spans="30:30" x14ac:dyDescent="0.3">
      <c r="AD11512" s="16"/>
    </row>
    <row r="11513" spans="30:30" x14ac:dyDescent="0.3">
      <c r="AD11513" s="16"/>
    </row>
    <row r="11514" spans="30:30" x14ac:dyDescent="0.3">
      <c r="AD11514" s="16"/>
    </row>
    <row r="11515" spans="30:30" x14ac:dyDescent="0.3">
      <c r="AD11515" s="16"/>
    </row>
    <row r="11516" spans="30:30" x14ac:dyDescent="0.3">
      <c r="AD11516" s="16"/>
    </row>
    <row r="11517" spans="30:30" x14ac:dyDescent="0.3">
      <c r="AD11517" s="16"/>
    </row>
    <row r="11518" spans="30:30" x14ac:dyDescent="0.3">
      <c r="AD11518" s="16"/>
    </row>
    <row r="11519" spans="30:30" x14ac:dyDescent="0.3">
      <c r="AD11519" s="16"/>
    </row>
    <row r="11520" spans="30:30" x14ac:dyDescent="0.3">
      <c r="AD11520" s="16"/>
    </row>
    <row r="11521" spans="30:30" x14ac:dyDescent="0.3">
      <c r="AD11521" s="16"/>
    </row>
    <row r="11522" spans="30:30" x14ac:dyDescent="0.3">
      <c r="AD11522" s="16"/>
    </row>
    <row r="11523" spans="30:30" x14ac:dyDescent="0.3">
      <c r="AD11523" s="16"/>
    </row>
    <row r="11524" spans="30:30" x14ac:dyDescent="0.3">
      <c r="AD11524" s="16"/>
    </row>
    <row r="11525" spans="30:30" x14ac:dyDescent="0.3">
      <c r="AD11525" s="16"/>
    </row>
    <row r="11526" spans="30:30" x14ac:dyDescent="0.3">
      <c r="AD11526" s="16"/>
    </row>
    <row r="11527" spans="30:30" x14ac:dyDescent="0.3">
      <c r="AD11527" s="16"/>
    </row>
    <row r="11528" spans="30:30" x14ac:dyDescent="0.3">
      <c r="AD11528" s="16"/>
    </row>
    <row r="11529" spans="30:30" x14ac:dyDescent="0.3">
      <c r="AD11529" s="16"/>
    </row>
    <row r="11530" spans="30:30" x14ac:dyDescent="0.3">
      <c r="AD11530" s="16"/>
    </row>
    <row r="11531" spans="30:30" x14ac:dyDescent="0.3">
      <c r="AD11531" s="16"/>
    </row>
    <row r="11532" spans="30:30" x14ac:dyDescent="0.3">
      <c r="AD11532" s="16"/>
    </row>
    <row r="11533" spans="30:30" x14ac:dyDescent="0.3">
      <c r="AD11533" s="16"/>
    </row>
    <row r="11534" spans="30:30" x14ac:dyDescent="0.3">
      <c r="AD11534" s="16"/>
    </row>
    <row r="11535" spans="30:30" x14ac:dyDescent="0.3">
      <c r="AD11535" s="16"/>
    </row>
    <row r="11536" spans="30:30" x14ac:dyDescent="0.3">
      <c r="AD11536" s="16"/>
    </row>
    <row r="11537" spans="30:30" x14ac:dyDescent="0.3">
      <c r="AD11537" s="16"/>
    </row>
    <row r="11538" spans="30:30" x14ac:dyDescent="0.3">
      <c r="AD11538" s="16"/>
    </row>
    <row r="11539" spans="30:30" x14ac:dyDescent="0.3">
      <c r="AD11539" s="16"/>
    </row>
    <row r="11540" spans="30:30" x14ac:dyDescent="0.3">
      <c r="AD11540" s="16"/>
    </row>
    <row r="11541" spans="30:30" x14ac:dyDescent="0.3">
      <c r="AD11541" s="16"/>
    </row>
    <row r="11542" spans="30:30" x14ac:dyDescent="0.3">
      <c r="AD11542" s="16"/>
    </row>
    <row r="11543" spans="30:30" x14ac:dyDescent="0.3">
      <c r="AD11543" s="16"/>
    </row>
    <row r="11544" spans="30:30" x14ac:dyDescent="0.3">
      <c r="AD11544" s="16"/>
    </row>
    <row r="11545" spans="30:30" x14ac:dyDescent="0.3">
      <c r="AD11545" s="16"/>
    </row>
    <row r="11546" spans="30:30" x14ac:dyDescent="0.3">
      <c r="AD11546" s="16"/>
    </row>
    <row r="11547" spans="30:30" x14ac:dyDescent="0.3">
      <c r="AD11547" s="16"/>
    </row>
    <row r="11548" spans="30:30" x14ac:dyDescent="0.3">
      <c r="AD11548" s="16"/>
    </row>
    <row r="11549" spans="30:30" x14ac:dyDescent="0.3">
      <c r="AD11549" s="16"/>
    </row>
    <row r="11550" spans="30:30" x14ac:dyDescent="0.3">
      <c r="AD11550" s="16"/>
    </row>
    <row r="11551" spans="30:30" x14ac:dyDescent="0.3">
      <c r="AD11551" s="16"/>
    </row>
    <row r="11552" spans="30:30" x14ac:dyDescent="0.3">
      <c r="AD11552" s="16"/>
    </row>
    <row r="11553" spans="30:30" x14ac:dyDescent="0.3">
      <c r="AD11553" s="16"/>
    </row>
    <row r="11554" spans="30:30" x14ac:dyDescent="0.3">
      <c r="AD11554" s="16"/>
    </row>
    <row r="11555" spans="30:30" x14ac:dyDescent="0.3">
      <c r="AD11555" s="16"/>
    </row>
    <row r="11556" spans="30:30" x14ac:dyDescent="0.3">
      <c r="AD11556" s="16"/>
    </row>
    <row r="11557" spans="30:30" x14ac:dyDescent="0.3">
      <c r="AD11557" s="16"/>
    </row>
    <row r="11558" spans="30:30" x14ac:dyDescent="0.3">
      <c r="AD11558" s="16"/>
    </row>
    <row r="11559" spans="30:30" x14ac:dyDescent="0.3">
      <c r="AD11559" s="16"/>
    </row>
    <row r="11560" spans="30:30" x14ac:dyDescent="0.3">
      <c r="AD11560" s="16"/>
    </row>
    <row r="11561" spans="30:30" x14ac:dyDescent="0.3">
      <c r="AD11561" s="16"/>
    </row>
    <row r="11562" spans="30:30" x14ac:dyDescent="0.3">
      <c r="AD11562" s="16"/>
    </row>
    <row r="11563" spans="30:30" x14ac:dyDescent="0.3">
      <c r="AD11563" s="16"/>
    </row>
    <row r="11564" spans="30:30" x14ac:dyDescent="0.3">
      <c r="AD11564" s="16"/>
    </row>
    <row r="11565" spans="30:30" x14ac:dyDescent="0.3">
      <c r="AD11565" s="16"/>
    </row>
    <row r="11566" spans="30:30" x14ac:dyDescent="0.3">
      <c r="AD11566" s="16"/>
    </row>
    <row r="11567" spans="30:30" x14ac:dyDescent="0.3">
      <c r="AD11567" s="16"/>
    </row>
    <row r="11568" spans="30:30" x14ac:dyDescent="0.3">
      <c r="AD11568" s="16"/>
    </row>
    <row r="11569" spans="30:30" x14ac:dyDescent="0.3">
      <c r="AD11569" s="16"/>
    </row>
    <row r="11570" spans="30:30" x14ac:dyDescent="0.3">
      <c r="AD11570" s="16"/>
    </row>
    <row r="11571" spans="30:30" x14ac:dyDescent="0.3">
      <c r="AD11571" s="16"/>
    </row>
    <row r="11572" spans="30:30" x14ac:dyDescent="0.3">
      <c r="AD11572" s="16"/>
    </row>
    <row r="11573" spans="30:30" x14ac:dyDescent="0.3">
      <c r="AD11573" s="16"/>
    </row>
    <row r="11574" spans="30:30" x14ac:dyDescent="0.3">
      <c r="AD11574" s="16"/>
    </row>
    <row r="11575" spans="30:30" x14ac:dyDescent="0.3">
      <c r="AD11575" s="16"/>
    </row>
    <row r="11576" spans="30:30" x14ac:dyDescent="0.3">
      <c r="AD11576" s="16"/>
    </row>
    <row r="11577" spans="30:30" x14ac:dyDescent="0.3">
      <c r="AD11577" s="16"/>
    </row>
    <row r="11578" spans="30:30" x14ac:dyDescent="0.3">
      <c r="AD11578" s="16"/>
    </row>
    <row r="11579" spans="30:30" x14ac:dyDescent="0.3">
      <c r="AD11579" s="16"/>
    </row>
    <row r="11580" spans="30:30" x14ac:dyDescent="0.3">
      <c r="AD11580" s="16"/>
    </row>
    <row r="11581" spans="30:30" x14ac:dyDescent="0.3">
      <c r="AD11581" s="16"/>
    </row>
    <row r="11582" spans="30:30" x14ac:dyDescent="0.3">
      <c r="AD11582" s="16"/>
    </row>
    <row r="11583" spans="30:30" x14ac:dyDescent="0.3">
      <c r="AD11583" s="16"/>
    </row>
    <row r="11584" spans="30:30" x14ac:dyDescent="0.3">
      <c r="AD11584" s="16"/>
    </row>
    <row r="11585" spans="30:30" x14ac:dyDescent="0.3">
      <c r="AD11585" s="16"/>
    </row>
    <row r="11586" spans="30:30" x14ac:dyDescent="0.3">
      <c r="AD11586" s="16"/>
    </row>
    <row r="11587" spans="30:30" x14ac:dyDescent="0.3">
      <c r="AD11587" s="16"/>
    </row>
    <row r="11588" spans="30:30" x14ac:dyDescent="0.3">
      <c r="AD11588" s="16"/>
    </row>
    <row r="11589" spans="30:30" x14ac:dyDescent="0.3">
      <c r="AD11589" s="16"/>
    </row>
    <row r="11590" spans="30:30" x14ac:dyDescent="0.3">
      <c r="AD11590" s="16"/>
    </row>
    <row r="11591" spans="30:30" x14ac:dyDescent="0.3">
      <c r="AD11591" s="16"/>
    </row>
    <row r="11592" spans="30:30" x14ac:dyDescent="0.3">
      <c r="AD11592" s="16"/>
    </row>
    <row r="11593" spans="30:30" x14ac:dyDescent="0.3">
      <c r="AD11593" s="16"/>
    </row>
    <row r="11594" spans="30:30" x14ac:dyDescent="0.3">
      <c r="AD11594" s="16"/>
    </row>
    <row r="11595" spans="30:30" x14ac:dyDescent="0.3">
      <c r="AD11595" s="16"/>
    </row>
    <row r="11596" spans="30:30" x14ac:dyDescent="0.3">
      <c r="AD11596" s="16"/>
    </row>
    <row r="11597" spans="30:30" x14ac:dyDescent="0.3">
      <c r="AD11597" s="16"/>
    </row>
    <row r="11598" spans="30:30" x14ac:dyDescent="0.3">
      <c r="AD11598" s="16"/>
    </row>
    <row r="11599" spans="30:30" x14ac:dyDescent="0.3">
      <c r="AD11599" s="16"/>
    </row>
    <row r="11600" spans="30:30" x14ac:dyDescent="0.3">
      <c r="AD11600" s="16"/>
    </row>
    <row r="11601" spans="30:30" x14ac:dyDescent="0.3">
      <c r="AD11601" s="16"/>
    </row>
    <row r="11602" spans="30:30" x14ac:dyDescent="0.3">
      <c r="AD11602" s="16"/>
    </row>
    <row r="11603" spans="30:30" x14ac:dyDescent="0.3">
      <c r="AD11603" s="16"/>
    </row>
    <row r="11604" spans="30:30" x14ac:dyDescent="0.3">
      <c r="AD11604" s="16"/>
    </row>
    <row r="11605" spans="30:30" x14ac:dyDescent="0.3">
      <c r="AD11605" s="16"/>
    </row>
    <row r="11606" spans="30:30" x14ac:dyDescent="0.3">
      <c r="AD11606" s="16"/>
    </row>
    <row r="11607" spans="30:30" x14ac:dyDescent="0.3">
      <c r="AD11607" s="16"/>
    </row>
    <row r="11608" spans="30:30" x14ac:dyDescent="0.3">
      <c r="AD11608" s="16"/>
    </row>
    <row r="11609" spans="30:30" x14ac:dyDescent="0.3">
      <c r="AD11609" s="16"/>
    </row>
    <row r="11610" spans="30:30" x14ac:dyDescent="0.3">
      <c r="AD11610" s="16"/>
    </row>
    <row r="11611" spans="30:30" x14ac:dyDescent="0.3">
      <c r="AD11611" s="16"/>
    </row>
    <row r="11612" spans="30:30" x14ac:dyDescent="0.3">
      <c r="AD11612" s="16"/>
    </row>
    <row r="11613" spans="30:30" x14ac:dyDescent="0.3">
      <c r="AD11613" s="16"/>
    </row>
    <row r="11614" spans="30:30" x14ac:dyDescent="0.3">
      <c r="AD11614" s="16"/>
    </row>
    <row r="11615" spans="30:30" x14ac:dyDescent="0.3">
      <c r="AD11615" s="16"/>
    </row>
    <row r="11616" spans="30:30" x14ac:dyDescent="0.3">
      <c r="AD11616" s="16"/>
    </row>
    <row r="11617" spans="30:30" x14ac:dyDescent="0.3">
      <c r="AD11617" s="16"/>
    </row>
    <row r="11618" spans="30:30" x14ac:dyDescent="0.3">
      <c r="AD11618" s="16"/>
    </row>
    <row r="11619" spans="30:30" x14ac:dyDescent="0.3">
      <c r="AD11619" s="16"/>
    </row>
    <row r="11620" spans="30:30" x14ac:dyDescent="0.3">
      <c r="AD11620" s="16"/>
    </row>
    <row r="11621" spans="30:30" x14ac:dyDescent="0.3">
      <c r="AD11621" s="16"/>
    </row>
    <row r="11622" spans="30:30" x14ac:dyDescent="0.3">
      <c r="AD11622" s="16"/>
    </row>
    <row r="11623" spans="30:30" x14ac:dyDescent="0.3">
      <c r="AD11623" s="16"/>
    </row>
    <row r="11624" spans="30:30" x14ac:dyDescent="0.3">
      <c r="AD11624" s="16"/>
    </row>
    <row r="11625" spans="30:30" x14ac:dyDescent="0.3">
      <c r="AD11625" s="16"/>
    </row>
    <row r="11626" spans="30:30" x14ac:dyDescent="0.3">
      <c r="AD11626" s="16"/>
    </row>
    <row r="11627" spans="30:30" x14ac:dyDescent="0.3">
      <c r="AD11627" s="16"/>
    </row>
    <row r="11628" spans="30:30" x14ac:dyDescent="0.3">
      <c r="AD11628" s="16"/>
    </row>
    <row r="11629" spans="30:30" x14ac:dyDescent="0.3">
      <c r="AD11629" s="16"/>
    </row>
    <row r="11630" spans="30:30" x14ac:dyDescent="0.3">
      <c r="AD11630" s="16"/>
    </row>
    <row r="11631" spans="30:30" x14ac:dyDescent="0.3">
      <c r="AD11631" s="16"/>
    </row>
    <row r="11632" spans="30:30" x14ac:dyDescent="0.3">
      <c r="AD11632" s="16"/>
    </row>
    <row r="11633" spans="30:30" x14ac:dyDescent="0.3">
      <c r="AD11633" s="16"/>
    </row>
    <row r="11634" spans="30:30" x14ac:dyDescent="0.3">
      <c r="AD11634" s="16"/>
    </row>
    <row r="11635" spans="30:30" x14ac:dyDescent="0.3">
      <c r="AD11635" s="16"/>
    </row>
    <row r="11636" spans="30:30" x14ac:dyDescent="0.3">
      <c r="AD11636" s="16"/>
    </row>
    <row r="11637" spans="30:30" x14ac:dyDescent="0.3">
      <c r="AD11637" s="16"/>
    </row>
    <row r="11638" spans="30:30" x14ac:dyDescent="0.3">
      <c r="AD11638" s="16"/>
    </row>
    <row r="11639" spans="30:30" x14ac:dyDescent="0.3">
      <c r="AD11639" s="16"/>
    </row>
    <row r="11640" spans="30:30" x14ac:dyDescent="0.3">
      <c r="AD11640" s="16"/>
    </row>
    <row r="11641" spans="30:30" x14ac:dyDescent="0.3">
      <c r="AD11641" s="16"/>
    </row>
    <row r="11642" spans="30:30" x14ac:dyDescent="0.3">
      <c r="AD11642" s="16"/>
    </row>
    <row r="11643" spans="30:30" x14ac:dyDescent="0.3">
      <c r="AD11643" s="16"/>
    </row>
    <row r="11644" spans="30:30" x14ac:dyDescent="0.3">
      <c r="AD11644" s="16"/>
    </row>
    <row r="11645" spans="30:30" x14ac:dyDescent="0.3">
      <c r="AD11645" s="16"/>
    </row>
    <row r="11646" spans="30:30" x14ac:dyDescent="0.3">
      <c r="AD11646" s="16"/>
    </row>
    <row r="11647" spans="30:30" x14ac:dyDescent="0.3">
      <c r="AD11647" s="16"/>
    </row>
    <row r="11648" spans="30:30" x14ac:dyDescent="0.3">
      <c r="AD11648" s="16"/>
    </row>
    <row r="11649" spans="30:30" x14ac:dyDescent="0.3">
      <c r="AD11649" s="16"/>
    </row>
    <row r="11650" spans="30:30" x14ac:dyDescent="0.3">
      <c r="AD11650" s="16"/>
    </row>
    <row r="11651" spans="30:30" x14ac:dyDescent="0.3">
      <c r="AD11651" s="16"/>
    </row>
    <row r="11652" spans="30:30" x14ac:dyDescent="0.3">
      <c r="AD11652" s="16"/>
    </row>
    <row r="11653" spans="30:30" x14ac:dyDescent="0.3">
      <c r="AD11653" s="16"/>
    </row>
    <row r="11654" spans="30:30" x14ac:dyDescent="0.3">
      <c r="AD11654" s="16"/>
    </row>
    <row r="11655" spans="30:30" x14ac:dyDescent="0.3">
      <c r="AD11655" s="16"/>
    </row>
    <row r="11656" spans="30:30" x14ac:dyDescent="0.3">
      <c r="AD11656" s="16"/>
    </row>
    <row r="11657" spans="30:30" x14ac:dyDescent="0.3">
      <c r="AD11657" s="16"/>
    </row>
    <row r="11658" spans="30:30" x14ac:dyDescent="0.3">
      <c r="AD11658" s="16"/>
    </row>
    <row r="11659" spans="30:30" x14ac:dyDescent="0.3">
      <c r="AD11659" s="16"/>
    </row>
    <row r="11660" spans="30:30" x14ac:dyDescent="0.3">
      <c r="AD11660" s="16"/>
    </row>
    <row r="11661" spans="30:30" x14ac:dyDescent="0.3">
      <c r="AD11661" s="16"/>
    </row>
    <row r="11662" spans="30:30" x14ac:dyDescent="0.3">
      <c r="AD11662" s="16"/>
    </row>
    <row r="11663" spans="30:30" x14ac:dyDescent="0.3">
      <c r="AD11663" s="16"/>
    </row>
    <row r="11664" spans="30:30" x14ac:dyDescent="0.3">
      <c r="AD11664" s="16"/>
    </row>
    <row r="11665" spans="30:30" x14ac:dyDescent="0.3">
      <c r="AD11665" s="16"/>
    </row>
    <row r="11666" spans="30:30" x14ac:dyDescent="0.3">
      <c r="AD11666" s="16"/>
    </row>
    <row r="11667" spans="30:30" x14ac:dyDescent="0.3">
      <c r="AD11667" s="16"/>
    </row>
    <row r="11668" spans="30:30" x14ac:dyDescent="0.3">
      <c r="AD11668" s="16"/>
    </row>
    <row r="11669" spans="30:30" x14ac:dyDescent="0.3">
      <c r="AD11669" s="16"/>
    </row>
    <row r="11670" spans="30:30" x14ac:dyDescent="0.3">
      <c r="AD11670" s="16"/>
    </row>
    <row r="11671" spans="30:30" x14ac:dyDescent="0.3">
      <c r="AD11671" s="16"/>
    </row>
    <row r="11672" spans="30:30" x14ac:dyDescent="0.3">
      <c r="AD11672" s="16"/>
    </row>
    <row r="11673" spans="30:30" x14ac:dyDescent="0.3">
      <c r="AD11673" s="16"/>
    </row>
    <row r="11674" spans="30:30" x14ac:dyDescent="0.3">
      <c r="AD11674" s="16"/>
    </row>
    <row r="11675" spans="30:30" x14ac:dyDescent="0.3">
      <c r="AD11675" s="16"/>
    </row>
    <row r="11676" spans="30:30" x14ac:dyDescent="0.3">
      <c r="AD11676" s="16"/>
    </row>
    <row r="11677" spans="30:30" x14ac:dyDescent="0.3">
      <c r="AD11677" s="16"/>
    </row>
    <row r="11678" spans="30:30" x14ac:dyDescent="0.3">
      <c r="AD11678" s="16"/>
    </row>
    <row r="11679" spans="30:30" x14ac:dyDescent="0.3">
      <c r="AD11679" s="16"/>
    </row>
    <row r="11680" spans="30:30" x14ac:dyDescent="0.3">
      <c r="AD11680" s="16"/>
    </row>
    <row r="11681" spans="30:30" x14ac:dyDescent="0.3">
      <c r="AD11681" s="16"/>
    </row>
    <row r="11682" spans="30:30" x14ac:dyDescent="0.3">
      <c r="AD11682" s="16"/>
    </row>
    <row r="11683" spans="30:30" x14ac:dyDescent="0.3">
      <c r="AD11683" s="16"/>
    </row>
    <row r="11684" spans="30:30" x14ac:dyDescent="0.3">
      <c r="AD11684" s="16"/>
    </row>
    <row r="11685" spans="30:30" x14ac:dyDescent="0.3">
      <c r="AD11685" s="16"/>
    </row>
    <row r="11686" spans="30:30" x14ac:dyDescent="0.3">
      <c r="AD11686" s="16"/>
    </row>
    <row r="11687" spans="30:30" x14ac:dyDescent="0.3">
      <c r="AD11687" s="16"/>
    </row>
    <row r="11688" spans="30:30" x14ac:dyDescent="0.3">
      <c r="AD11688" s="16"/>
    </row>
    <row r="11689" spans="30:30" x14ac:dyDescent="0.3">
      <c r="AD11689" s="16"/>
    </row>
    <row r="11690" spans="30:30" x14ac:dyDescent="0.3">
      <c r="AD11690" s="16"/>
    </row>
    <row r="11691" spans="30:30" x14ac:dyDescent="0.3">
      <c r="AD11691" s="16"/>
    </row>
    <row r="11692" spans="30:30" x14ac:dyDescent="0.3">
      <c r="AD11692" s="16"/>
    </row>
    <row r="11693" spans="30:30" x14ac:dyDescent="0.3">
      <c r="AD11693" s="16"/>
    </row>
    <row r="11694" spans="30:30" x14ac:dyDescent="0.3">
      <c r="AD11694" s="16"/>
    </row>
    <row r="11695" spans="30:30" x14ac:dyDescent="0.3">
      <c r="AD11695" s="16"/>
    </row>
    <row r="11696" spans="30:30" x14ac:dyDescent="0.3">
      <c r="AD11696" s="16"/>
    </row>
    <row r="11697" spans="30:30" x14ac:dyDescent="0.3">
      <c r="AD11697" s="16"/>
    </row>
    <row r="11698" spans="30:30" x14ac:dyDescent="0.3">
      <c r="AD11698" s="16"/>
    </row>
    <row r="11699" spans="30:30" x14ac:dyDescent="0.3">
      <c r="AD11699" s="16"/>
    </row>
    <row r="11700" spans="30:30" x14ac:dyDescent="0.3">
      <c r="AD11700" s="16"/>
    </row>
    <row r="11701" spans="30:30" x14ac:dyDescent="0.3">
      <c r="AD11701" s="16"/>
    </row>
    <row r="11702" spans="30:30" x14ac:dyDescent="0.3">
      <c r="AD11702" s="16"/>
    </row>
    <row r="11703" spans="30:30" x14ac:dyDescent="0.3">
      <c r="AD11703" s="16"/>
    </row>
    <row r="11704" spans="30:30" x14ac:dyDescent="0.3">
      <c r="AD11704" s="16"/>
    </row>
    <row r="11705" spans="30:30" x14ac:dyDescent="0.3">
      <c r="AD11705" s="16"/>
    </row>
    <row r="11706" spans="30:30" x14ac:dyDescent="0.3">
      <c r="AD11706" s="16"/>
    </row>
    <row r="11707" spans="30:30" x14ac:dyDescent="0.3">
      <c r="AD11707" s="16"/>
    </row>
    <row r="11708" spans="30:30" x14ac:dyDescent="0.3">
      <c r="AD11708" s="16"/>
    </row>
    <row r="11709" spans="30:30" x14ac:dyDescent="0.3">
      <c r="AD11709" s="16"/>
    </row>
    <row r="11710" spans="30:30" x14ac:dyDescent="0.3">
      <c r="AD11710" s="16"/>
    </row>
    <row r="11711" spans="30:30" x14ac:dyDescent="0.3">
      <c r="AD11711" s="16"/>
    </row>
    <row r="11712" spans="30:30" x14ac:dyDescent="0.3">
      <c r="AD11712" s="16"/>
    </row>
    <row r="11713" spans="30:30" x14ac:dyDescent="0.3">
      <c r="AD11713" s="16"/>
    </row>
    <row r="11714" spans="30:30" x14ac:dyDescent="0.3">
      <c r="AD11714" s="16"/>
    </row>
    <row r="11715" spans="30:30" x14ac:dyDescent="0.3">
      <c r="AD11715" s="16"/>
    </row>
    <row r="11716" spans="30:30" x14ac:dyDescent="0.3">
      <c r="AD11716" s="16"/>
    </row>
    <row r="11717" spans="30:30" x14ac:dyDescent="0.3">
      <c r="AD11717" s="16"/>
    </row>
    <row r="11718" spans="30:30" x14ac:dyDescent="0.3">
      <c r="AD11718" s="16"/>
    </row>
    <row r="11719" spans="30:30" x14ac:dyDescent="0.3">
      <c r="AD11719" s="16"/>
    </row>
    <row r="11720" spans="30:30" x14ac:dyDescent="0.3">
      <c r="AD11720" s="16"/>
    </row>
    <row r="11721" spans="30:30" x14ac:dyDescent="0.3">
      <c r="AD11721" s="16"/>
    </row>
    <row r="11722" spans="30:30" x14ac:dyDescent="0.3">
      <c r="AD11722" s="16"/>
    </row>
    <row r="11723" spans="30:30" x14ac:dyDescent="0.3">
      <c r="AD11723" s="16"/>
    </row>
    <row r="11724" spans="30:30" x14ac:dyDescent="0.3">
      <c r="AD11724" s="16"/>
    </row>
    <row r="11725" spans="30:30" x14ac:dyDescent="0.3">
      <c r="AD11725" s="16"/>
    </row>
    <row r="11726" spans="30:30" x14ac:dyDescent="0.3">
      <c r="AD11726" s="16"/>
    </row>
    <row r="11727" spans="30:30" x14ac:dyDescent="0.3">
      <c r="AD11727" s="16"/>
    </row>
    <row r="11728" spans="30:30" x14ac:dyDescent="0.3">
      <c r="AD11728" s="16"/>
    </row>
    <row r="11729" spans="30:30" x14ac:dyDescent="0.3">
      <c r="AD11729" s="16"/>
    </row>
    <row r="11730" spans="30:30" x14ac:dyDescent="0.3">
      <c r="AD11730" s="16"/>
    </row>
    <row r="11731" spans="30:30" x14ac:dyDescent="0.3">
      <c r="AD11731" s="16"/>
    </row>
    <row r="11732" spans="30:30" x14ac:dyDescent="0.3">
      <c r="AD11732" s="16"/>
    </row>
    <row r="11733" spans="30:30" x14ac:dyDescent="0.3">
      <c r="AD11733" s="16"/>
    </row>
    <row r="11734" spans="30:30" x14ac:dyDescent="0.3">
      <c r="AD11734" s="16"/>
    </row>
    <row r="11735" spans="30:30" x14ac:dyDescent="0.3">
      <c r="AD11735" s="16"/>
    </row>
    <row r="11736" spans="30:30" x14ac:dyDescent="0.3">
      <c r="AD11736" s="16"/>
    </row>
    <row r="11737" spans="30:30" x14ac:dyDescent="0.3">
      <c r="AD11737" s="16"/>
    </row>
    <row r="11738" spans="30:30" x14ac:dyDescent="0.3">
      <c r="AD11738" s="16"/>
    </row>
    <row r="11739" spans="30:30" x14ac:dyDescent="0.3">
      <c r="AD11739" s="16"/>
    </row>
    <row r="11740" spans="30:30" x14ac:dyDescent="0.3">
      <c r="AD11740" s="16"/>
    </row>
    <row r="11741" spans="30:30" x14ac:dyDescent="0.3">
      <c r="AD11741" s="16"/>
    </row>
    <row r="11742" spans="30:30" x14ac:dyDescent="0.3">
      <c r="AD11742" s="16"/>
    </row>
    <row r="11743" spans="30:30" x14ac:dyDescent="0.3">
      <c r="AD11743" s="16"/>
    </row>
    <row r="11744" spans="30:30" x14ac:dyDescent="0.3">
      <c r="AD11744" s="16"/>
    </row>
    <row r="11745" spans="30:30" x14ac:dyDescent="0.3">
      <c r="AD11745" s="16"/>
    </row>
    <row r="11746" spans="30:30" x14ac:dyDescent="0.3">
      <c r="AD11746" s="16"/>
    </row>
    <row r="11747" spans="30:30" x14ac:dyDescent="0.3">
      <c r="AD11747" s="16"/>
    </row>
    <row r="11748" spans="30:30" x14ac:dyDescent="0.3">
      <c r="AD11748" s="16"/>
    </row>
    <row r="11749" spans="30:30" x14ac:dyDescent="0.3">
      <c r="AD11749" s="16"/>
    </row>
    <row r="11750" spans="30:30" x14ac:dyDescent="0.3">
      <c r="AD11750" s="16"/>
    </row>
    <row r="11751" spans="30:30" x14ac:dyDescent="0.3">
      <c r="AD11751" s="16"/>
    </row>
    <row r="11752" spans="30:30" x14ac:dyDescent="0.3">
      <c r="AD11752" s="16"/>
    </row>
    <row r="11753" spans="30:30" x14ac:dyDescent="0.3">
      <c r="AD11753" s="16"/>
    </row>
    <row r="11754" spans="30:30" x14ac:dyDescent="0.3">
      <c r="AD11754" s="16"/>
    </row>
    <row r="11755" spans="30:30" x14ac:dyDescent="0.3">
      <c r="AD11755" s="16"/>
    </row>
    <row r="11756" spans="30:30" x14ac:dyDescent="0.3">
      <c r="AD11756" s="16"/>
    </row>
    <row r="11757" spans="30:30" x14ac:dyDescent="0.3">
      <c r="AD11757" s="16"/>
    </row>
    <row r="11758" spans="30:30" x14ac:dyDescent="0.3">
      <c r="AD11758" s="16"/>
    </row>
    <row r="11759" spans="30:30" x14ac:dyDescent="0.3">
      <c r="AD11759" s="16"/>
    </row>
    <row r="11760" spans="30:30" x14ac:dyDescent="0.3">
      <c r="AD11760" s="16"/>
    </row>
    <row r="11761" spans="30:30" x14ac:dyDescent="0.3">
      <c r="AD11761" s="16"/>
    </row>
    <row r="11762" spans="30:30" x14ac:dyDescent="0.3">
      <c r="AD11762" s="16"/>
    </row>
    <row r="11763" spans="30:30" x14ac:dyDescent="0.3">
      <c r="AD11763" s="16"/>
    </row>
    <row r="11764" spans="30:30" x14ac:dyDescent="0.3">
      <c r="AD11764" s="16"/>
    </row>
    <row r="11765" spans="30:30" x14ac:dyDescent="0.3">
      <c r="AD11765" s="16"/>
    </row>
    <row r="11766" spans="30:30" x14ac:dyDescent="0.3">
      <c r="AD11766" s="16"/>
    </row>
    <row r="11767" spans="30:30" x14ac:dyDescent="0.3">
      <c r="AD11767" s="16"/>
    </row>
    <row r="11768" spans="30:30" x14ac:dyDescent="0.3">
      <c r="AD11768" s="16"/>
    </row>
    <row r="11769" spans="30:30" x14ac:dyDescent="0.3">
      <c r="AD11769" s="16"/>
    </row>
    <row r="11770" spans="30:30" x14ac:dyDescent="0.3">
      <c r="AD11770" s="16"/>
    </row>
    <row r="11771" spans="30:30" x14ac:dyDescent="0.3">
      <c r="AD11771" s="16"/>
    </row>
    <row r="11772" spans="30:30" x14ac:dyDescent="0.3">
      <c r="AD11772" s="16"/>
    </row>
    <row r="11773" spans="30:30" x14ac:dyDescent="0.3">
      <c r="AD11773" s="16"/>
    </row>
    <row r="11774" spans="30:30" x14ac:dyDescent="0.3">
      <c r="AD11774" s="16"/>
    </row>
    <row r="11775" spans="30:30" x14ac:dyDescent="0.3">
      <c r="AD11775" s="16"/>
    </row>
    <row r="11776" spans="30:30" x14ac:dyDescent="0.3">
      <c r="AD11776" s="16"/>
    </row>
    <row r="11777" spans="30:30" x14ac:dyDescent="0.3">
      <c r="AD11777" s="16"/>
    </row>
    <row r="11778" spans="30:30" x14ac:dyDescent="0.3">
      <c r="AD11778" s="16"/>
    </row>
    <row r="11779" spans="30:30" x14ac:dyDescent="0.3">
      <c r="AD11779" s="16"/>
    </row>
    <row r="11780" spans="30:30" x14ac:dyDescent="0.3">
      <c r="AD11780" s="16"/>
    </row>
    <row r="11781" spans="30:30" x14ac:dyDescent="0.3">
      <c r="AD11781" s="16"/>
    </row>
    <row r="11782" spans="30:30" x14ac:dyDescent="0.3">
      <c r="AD11782" s="16"/>
    </row>
    <row r="11783" spans="30:30" x14ac:dyDescent="0.3">
      <c r="AD11783" s="16"/>
    </row>
    <row r="11784" spans="30:30" x14ac:dyDescent="0.3">
      <c r="AD11784" s="16"/>
    </row>
    <row r="11785" spans="30:30" x14ac:dyDescent="0.3">
      <c r="AD11785" s="16"/>
    </row>
    <row r="11786" spans="30:30" x14ac:dyDescent="0.3">
      <c r="AD11786" s="16"/>
    </row>
    <row r="11787" spans="30:30" x14ac:dyDescent="0.3">
      <c r="AD11787" s="16"/>
    </row>
    <row r="11788" spans="30:30" x14ac:dyDescent="0.3">
      <c r="AD11788" s="16"/>
    </row>
    <row r="11789" spans="30:30" x14ac:dyDescent="0.3">
      <c r="AD11789" s="16"/>
    </row>
    <row r="11790" spans="30:30" x14ac:dyDescent="0.3">
      <c r="AD11790" s="16"/>
    </row>
    <row r="11791" spans="30:30" x14ac:dyDescent="0.3">
      <c r="AD11791" s="16"/>
    </row>
    <row r="11792" spans="30:30" x14ac:dyDescent="0.3">
      <c r="AD11792" s="16"/>
    </row>
    <row r="11793" spans="30:30" x14ac:dyDescent="0.3">
      <c r="AD11793" s="16"/>
    </row>
    <row r="11794" spans="30:30" x14ac:dyDescent="0.3">
      <c r="AD11794" s="16"/>
    </row>
    <row r="11795" spans="30:30" x14ac:dyDescent="0.3">
      <c r="AD11795" s="16"/>
    </row>
    <row r="11796" spans="30:30" x14ac:dyDescent="0.3">
      <c r="AD11796" s="16"/>
    </row>
    <row r="11797" spans="30:30" x14ac:dyDescent="0.3">
      <c r="AD11797" s="16"/>
    </row>
    <row r="11798" spans="30:30" x14ac:dyDescent="0.3">
      <c r="AD11798" s="16"/>
    </row>
    <row r="11799" spans="30:30" x14ac:dyDescent="0.3">
      <c r="AD11799" s="16"/>
    </row>
    <row r="11800" spans="30:30" x14ac:dyDescent="0.3">
      <c r="AD11800" s="16"/>
    </row>
    <row r="11801" spans="30:30" x14ac:dyDescent="0.3">
      <c r="AD11801" s="16"/>
    </row>
    <row r="11802" spans="30:30" x14ac:dyDescent="0.3">
      <c r="AD11802" s="16"/>
    </row>
    <row r="11803" spans="30:30" x14ac:dyDescent="0.3">
      <c r="AD11803" s="16"/>
    </row>
    <row r="11804" spans="30:30" x14ac:dyDescent="0.3">
      <c r="AD11804" s="16"/>
    </row>
    <row r="11805" spans="30:30" x14ac:dyDescent="0.3">
      <c r="AD11805" s="16"/>
    </row>
    <row r="11806" spans="30:30" x14ac:dyDescent="0.3">
      <c r="AD11806" s="16"/>
    </row>
    <row r="11807" spans="30:30" x14ac:dyDescent="0.3">
      <c r="AD11807" s="16"/>
    </row>
    <row r="11808" spans="30:30" x14ac:dyDescent="0.3">
      <c r="AD11808" s="16"/>
    </row>
    <row r="11809" spans="30:30" x14ac:dyDescent="0.3">
      <c r="AD11809" s="16"/>
    </row>
    <row r="11810" spans="30:30" x14ac:dyDescent="0.3">
      <c r="AD11810" s="16"/>
    </row>
    <row r="11811" spans="30:30" x14ac:dyDescent="0.3">
      <c r="AD11811" s="16"/>
    </row>
    <row r="11812" spans="30:30" x14ac:dyDescent="0.3">
      <c r="AD11812" s="16"/>
    </row>
    <row r="11813" spans="30:30" x14ac:dyDescent="0.3">
      <c r="AD11813" s="16"/>
    </row>
    <row r="11814" spans="30:30" x14ac:dyDescent="0.3">
      <c r="AD11814" s="16"/>
    </row>
    <row r="11815" spans="30:30" x14ac:dyDescent="0.3">
      <c r="AD11815" s="16"/>
    </row>
    <row r="11816" spans="30:30" x14ac:dyDescent="0.3">
      <c r="AD11816" s="16"/>
    </row>
    <row r="11817" spans="30:30" x14ac:dyDescent="0.3">
      <c r="AD11817" s="16"/>
    </row>
    <row r="11818" spans="30:30" x14ac:dyDescent="0.3">
      <c r="AD11818" s="16"/>
    </row>
    <row r="11819" spans="30:30" x14ac:dyDescent="0.3">
      <c r="AD11819" s="16"/>
    </row>
    <row r="11820" spans="30:30" x14ac:dyDescent="0.3">
      <c r="AD11820" s="16"/>
    </row>
    <row r="11821" spans="30:30" x14ac:dyDescent="0.3">
      <c r="AD11821" s="16"/>
    </row>
    <row r="11822" spans="30:30" x14ac:dyDescent="0.3">
      <c r="AD11822" s="16"/>
    </row>
    <row r="11823" spans="30:30" x14ac:dyDescent="0.3">
      <c r="AD11823" s="16"/>
    </row>
    <row r="11824" spans="30:30" x14ac:dyDescent="0.3">
      <c r="AD11824" s="16"/>
    </row>
    <row r="11825" spans="30:30" x14ac:dyDescent="0.3">
      <c r="AD11825" s="16"/>
    </row>
    <row r="11826" spans="30:30" x14ac:dyDescent="0.3">
      <c r="AD11826" s="16"/>
    </row>
    <row r="11827" spans="30:30" x14ac:dyDescent="0.3">
      <c r="AD11827" s="16"/>
    </row>
    <row r="11828" spans="30:30" x14ac:dyDescent="0.3">
      <c r="AD11828" s="16"/>
    </row>
    <row r="11829" spans="30:30" x14ac:dyDescent="0.3">
      <c r="AD11829" s="16"/>
    </row>
    <row r="11830" spans="30:30" x14ac:dyDescent="0.3">
      <c r="AD11830" s="16"/>
    </row>
    <row r="11831" spans="30:30" x14ac:dyDescent="0.3">
      <c r="AD11831" s="16"/>
    </row>
    <row r="11832" spans="30:30" x14ac:dyDescent="0.3">
      <c r="AD11832" s="16"/>
    </row>
    <row r="11833" spans="30:30" x14ac:dyDescent="0.3">
      <c r="AD11833" s="16"/>
    </row>
    <row r="11834" spans="30:30" x14ac:dyDescent="0.3">
      <c r="AD11834" s="16"/>
    </row>
    <row r="11835" spans="30:30" x14ac:dyDescent="0.3">
      <c r="AD11835" s="16"/>
    </row>
    <row r="11836" spans="30:30" x14ac:dyDescent="0.3">
      <c r="AD11836" s="16"/>
    </row>
    <row r="11837" spans="30:30" x14ac:dyDescent="0.3">
      <c r="AD11837" s="16"/>
    </row>
    <row r="11838" spans="30:30" x14ac:dyDescent="0.3">
      <c r="AD11838" s="16"/>
    </row>
    <row r="11839" spans="30:30" x14ac:dyDescent="0.3">
      <c r="AD11839" s="16"/>
    </row>
    <row r="11840" spans="30:30" x14ac:dyDescent="0.3">
      <c r="AD11840" s="16"/>
    </row>
    <row r="11841" spans="30:30" x14ac:dyDescent="0.3">
      <c r="AD11841" s="16"/>
    </row>
    <row r="11842" spans="30:30" x14ac:dyDescent="0.3">
      <c r="AD11842" s="16"/>
    </row>
    <row r="11843" spans="30:30" x14ac:dyDescent="0.3">
      <c r="AD11843" s="16"/>
    </row>
    <row r="11844" spans="30:30" x14ac:dyDescent="0.3">
      <c r="AD11844" s="16"/>
    </row>
    <row r="11845" spans="30:30" x14ac:dyDescent="0.3">
      <c r="AD11845" s="16"/>
    </row>
    <row r="11846" spans="30:30" x14ac:dyDescent="0.3">
      <c r="AD11846" s="16"/>
    </row>
    <row r="11847" spans="30:30" x14ac:dyDescent="0.3">
      <c r="AD11847" s="16"/>
    </row>
    <row r="11848" spans="30:30" x14ac:dyDescent="0.3">
      <c r="AD11848" s="16"/>
    </row>
    <row r="11849" spans="30:30" x14ac:dyDescent="0.3">
      <c r="AD11849" s="16"/>
    </row>
    <row r="11850" spans="30:30" x14ac:dyDescent="0.3">
      <c r="AD11850" s="16"/>
    </row>
    <row r="11851" spans="30:30" x14ac:dyDescent="0.3">
      <c r="AD11851" s="16"/>
    </row>
    <row r="11852" spans="30:30" x14ac:dyDescent="0.3">
      <c r="AD11852" s="16"/>
    </row>
    <row r="11853" spans="30:30" x14ac:dyDescent="0.3">
      <c r="AD11853" s="16"/>
    </row>
    <row r="11854" spans="30:30" x14ac:dyDescent="0.3">
      <c r="AD11854" s="16"/>
    </row>
    <row r="11855" spans="30:30" x14ac:dyDescent="0.3">
      <c r="AD11855" s="16"/>
    </row>
    <row r="11856" spans="30:30" x14ac:dyDescent="0.3">
      <c r="AD11856" s="16"/>
    </row>
    <row r="11857" spans="30:30" x14ac:dyDescent="0.3">
      <c r="AD11857" s="16"/>
    </row>
    <row r="11858" spans="30:30" x14ac:dyDescent="0.3">
      <c r="AD11858" s="16"/>
    </row>
    <row r="11859" spans="30:30" x14ac:dyDescent="0.3">
      <c r="AD11859" s="16"/>
    </row>
    <row r="11860" spans="30:30" x14ac:dyDescent="0.3">
      <c r="AD11860" s="16"/>
    </row>
    <row r="11861" spans="30:30" x14ac:dyDescent="0.3">
      <c r="AD11861" s="16"/>
    </row>
    <row r="11862" spans="30:30" x14ac:dyDescent="0.3">
      <c r="AD11862" s="16"/>
    </row>
    <row r="11863" spans="30:30" x14ac:dyDescent="0.3">
      <c r="AD11863" s="16"/>
    </row>
    <row r="11864" spans="30:30" x14ac:dyDescent="0.3">
      <c r="AD11864" s="16"/>
    </row>
    <row r="11865" spans="30:30" x14ac:dyDescent="0.3">
      <c r="AD11865" s="16"/>
    </row>
    <row r="11866" spans="30:30" x14ac:dyDescent="0.3">
      <c r="AD11866" s="16"/>
    </row>
    <row r="11867" spans="30:30" x14ac:dyDescent="0.3">
      <c r="AD11867" s="16"/>
    </row>
    <row r="11868" spans="30:30" x14ac:dyDescent="0.3">
      <c r="AD11868" s="16"/>
    </row>
    <row r="11869" spans="30:30" x14ac:dyDescent="0.3">
      <c r="AD11869" s="16"/>
    </row>
    <row r="11870" spans="30:30" x14ac:dyDescent="0.3">
      <c r="AD11870" s="16"/>
    </row>
    <row r="11871" spans="30:30" x14ac:dyDescent="0.3">
      <c r="AD11871" s="16"/>
    </row>
    <row r="11872" spans="30:30" x14ac:dyDescent="0.3">
      <c r="AD11872" s="16"/>
    </row>
    <row r="11873" spans="30:30" x14ac:dyDescent="0.3">
      <c r="AD11873" s="16"/>
    </row>
    <row r="11874" spans="30:30" x14ac:dyDescent="0.3">
      <c r="AD11874" s="16"/>
    </row>
    <row r="11875" spans="30:30" x14ac:dyDescent="0.3">
      <c r="AD11875" s="16"/>
    </row>
    <row r="11876" spans="30:30" x14ac:dyDescent="0.3">
      <c r="AD11876" s="16"/>
    </row>
    <row r="11877" spans="30:30" x14ac:dyDescent="0.3">
      <c r="AD11877" s="16"/>
    </row>
    <row r="11878" spans="30:30" x14ac:dyDescent="0.3">
      <c r="AD11878" s="16"/>
    </row>
    <row r="11879" spans="30:30" x14ac:dyDescent="0.3">
      <c r="AD11879" s="16"/>
    </row>
    <row r="11880" spans="30:30" x14ac:dyDescent="0.3">
      <c r="AD11880" s="16"/>
    </row>
    <row r="11881" spans="30:30" x14ac:dyDescent="0.3">
      <c r="AD11881" s="16"/>
    </row>
    <row r="11882" spans="30:30" x14ac:dyDescent="0.3">
      <c r="AD11882" s="16"/>
    </row>
    <row r="11883" spans="30:30" x14ac:dyDescent="0.3">
      <c r="AD11883" s="16"/>
    </row>
    <row r="11884" spans="30:30" x14ac:dyDescent="0.3">
      <c r="AD11884" s="16"/>
    </row>
    <row r="11885" spans="30:30" x14ac:dyDescent="0.3">
      <c r="AD11885" s="16"/>
    </row>
    <row r="11886" spans="30:30" x14ac:dyDescent="0.3">
      <c r="AD11886" s="16"/>
    </row>
    <row r="11887" spans="30:30" x14ac:dyDescent="0.3">
      <c r="AD11887" s="16"/>
    </row>
    <row r="11888" spans="30:30" x14ac:dyDescent="0.3">
      <c r="AD11888" s="16"/>
    </row>
    <row r="11889" spans="30:30" x14ac:dyDescent="0.3">
      <c r="AD11889" s="16"/>
    </row>
    <row r="11890" spans="30:30" x14ac:dyDescent="0.3">
      <c r="AD11890" s="16"/>
    </row>
    <row r="11891" spans="30:30" x14ac:dyDescent="0.3">
      <c r="AD11891" s="16"/>
    </row>
    <row r="11892" spans="30:30" x14ac:dyDescent="0.3">
      <c r="AD11892" s="16"/>
    </row>
    <row r="11893" spans="30:30" x14ac:dyDescent="0.3">
      <c r="AD11893" s="16"/>
    </row>
    <row r="11894" spans="30:30" x14ac:dyDescent="0.3">
      <c r="AD11894" s="16"/>
    </row>
    <row r="11895" spans="30:30" x14ac:dyDescent="0.3">
      <c r="AD11895" s="16"/>
    </row>
    <row r="11896" spans="30:30" x14ac:dyDescent="0.3">
      <c r="AD11896" s="16"/>
    </row>
    <row r="11897" spans="30:30" x14ac:dyDescent="0.3">
      <c r="AD11897" s="16"/>
    </row>
    <row r="11898" spans="30:30" x14ac:dyDescent="0.3">
      <c r="AD11898" s="16"/>
    </row>
    <row r="11899" spans="30:30" x14ac:dyDescent="0.3">
      <c r="AD11899" s="16"/>
    </row>
    <row r="11900" spans="30:30" x14ac:dyDescent="0.3">
      <c r="AD11900" s="16"/>
    </row>
    <row r="11901" spans="30:30" x14ac:dyDescent="0.3">
      <c r="AD11901" s="16"/>
    </row>
    <row r="11902" spans="30:30" x14ac:dyDescent="0.3">
      <c r="AD11902" s="16"/>
    </row>
    <row r="11903" spans="30:30" x14ac:dyDescent="0.3">
      <c r="AD11903" s="16"/>
    </row>
    <row r="11904" spans="30:30" x14ac:dyDescent="0.3">
      <c r="AD11904" s="16"/>
    </row>
    <row r="11905" spans="30:30" x14ac:dyDescent="0.3">
      <c r="AD11905" s="16"/>
    </row>
    <row r="11906" spans="30:30" x14ac:dyDescent="0.3">
      <c r="AD11906" s="16"/>
    </row>
    <row r="11907" spans="30:30" x14ac:dyDescent="0.3">
      <c r="AD11907" s="16"/>
    </row>
    <row r="11908" spans="30:30" x14ac:dyDescent="0.3">
      <c r="AD11908" s="16"/>
    </row>
    <row r="11909" spans="30:30" x14ac:dyDescent="0.3">
      <c r="AD11909" s="16"/>
    </row>
    <row r="11910" spans="30:30" x14ac:dyDescent="0.3">
      <c r="AD11910" s="16"/>
    </row>
    <row r="11911" spans="30:30" x14ac:dyDescent="0.3">
      <c r="AD11911" s="16"/>
    </row>
    <row r="11912" spans="30:30" x14ac:dyDescent="0.3">
      <c r="AD11912" s="16"/>
    </row>
    <row r="11913" spans="30:30" x14ac:dyDescent="0.3">
      <c r="AD11913" s="16"/>
    </row>
    <row r="11914" spans="30:30" x14ac:dyDescent="0.3">
      <c r="AD11914" s="16"/>
    </row>
    <row r="11915" spans="30:30" x14ac:dyDescent="0.3">
      <c r="AD11915" s="16"/>
    </row>
    <row r="11916" spans="30:30" x14ac:dyDescent="0.3">
      <c r="AD11916" s="16"/>
    </row>
    <row r="11917" spans="30:30" x14ac:dyDescent="0.3">
      <c r="AD11917" s="16"/>
    </row>
    <row r="11918" spans="30:30" x14ac:dyDescent="0.3">
      <c r="AD11918" s="16"/>
    </row>
    <row r="11919" spans="30:30" x14ac:dyDescent="0.3">
      <c r="AD11919" s="16"/>
    </row>
    <row r="11920" spans="30:30" x14ac:dyDescent="0.3">
      <c r="AD11920" s="16"/>
    </row>
    <row r="11921" spans="30:30" x14ac:dyDescent="0.3">
      <c r="AD11921" s="16"/>
    </row>
    <row r="11922" spans="30:30" x14ac:dyDescent="0.3">
      <c r="AD11922" s="16"/>
    </row>
    <row r="11923" spans="30:30" x14ac:dyDescent="0.3">
      <c r="AD11923" s="16"/>
    </row>
    <row r="11924" spans="30:30" x14ac:dyDescent="0.3">
      <c r="AD11924" s="16"/>
    </row>
    <row r="11925" spans="30:30" x14ac:dyDescent="0.3">
      <c r="AD11925" s="16"/>
    </row>
    <row r="11926" spans="30:30" x14ac:dyDescent="0.3">
      <c r="AD11926" s="16"/>
    </row>
    <row r="11927" spans="30:30" x14ac:dyDescent="0.3">
      <c r="AD11927" s="16"/>
    </row>
    <row r="11928" spans="30:30" x14ac:dyDescent="0.3">
      <c r="AD11928" s="16"/>
    </row>
    <row r="11929" spans="30:30" x14ac:dyDescent="0.3">
      <c r="AD11929" s="16"/>
    </row>
    <row r="11930" spans="30:30" x14ac:dyDescent="0.3">
      <c r="AD11930" s="16"/>
    </row>
    <row r="11931" spans="30:30" x14ac:dyDescent="0.3">
      <c r="AD11931" s="16"/>
    </row>
    <row r="11932" spans="30:30" x14ac:dyDescent="0.3">
      <c r="AD11932" s="16"/>
    </row>
    <row r="11933" spans="30:30" x14ac:dyDescent="0.3">
      <c r="AD11933" s="16"/>
    </row>
    <row r="11934" spans="30:30" x14ac:dyDescent="0.3">
      <c r="AD11934" s="16"/>
    </row>
    <row r="11935" spans="30:30" x14ac:dyDescent="0.3">
      <c r="AD11935" s="16"/>
    </row>
    <row r="11936" spans="30:30" x14ac:dyDescent="0.3">
      <c r="AD11936" s="16"/>
    </row>
    <row r="11937" spans="30:30" x14ac:dyDescent="0.3">
      <c r="AD11937" s="16"/>
    </row>
    <row r="11938" spans="30:30" x14ac:dyDescent="0.3">
      <c r="AD11938" s="16"/>
    </row>
    <row r="11939" spans="30:30" x14ac:dyDescent="0.3">
      <c r="AD11939" s="16"/>
    </row>
    <row r="11940" spans="30:30" x14ac:dyDescent="0.3">
      <c r="AD11940" s="16"/>
    </row>
    <row r="11941" spans="30:30" x14ac:dyDescent="0.3">
      <c r="AD11941" s="16"/>
    </row>
    <row r="11942" spans="30:30" x14ac:dyDescent="0.3">
      <c r="AD11942" s="16"/>
    </row>
    <row r="11943" spans="30:30" x14ac:dyDescent="0.3">
      <c r="AD11943" s="16"/>
    </row>
    <row r="11944" spans="30:30" x14ac:dyDescent="0.3">
      <c r="AD11944" s="16"/>
    </row>
    <row r="11945" spans="30:30" x14ac:dyDescent="0.3">
      <c r="AD11945" s="16"/>
    </row>
    <row r="11946" spans="30:30" x14ac:dyDescent="0.3">
      <c r="AD11946" s="16"/>
    </row>
    <row r="11947" spans="30:30" x14ac:dyDescent="0.3">
      <c r="AD11947" s="16"/>
    </row>
    <row r="11948" spans="30:30" x14ac:dyDescent="0.3">
      <c r="AD11948" s="16"/>
    </row>
    <row r="11949" spans="30:30" x14ac:dyDescent="0.3">
      <c r="AD11949" s="16"/>
    </row>
    <row r="11950" spans="30:30" x14ac:dyDescent="0.3">
      <c r="AD11950" s="16"/>
    </row>
    <row r="11951" spans="30:30" x14ac:dyDescent="0.3">
      <c r="AD11951" s="16"/>
    </row>
    <row r="11952" spans="30:30" x14ac:dyDescent="0.3">
      <c r="AD11952" s="16"/>
    </row>
    <row r="11953" spans="30:30" x14ac:dyDescent="0.3">
      <c r="AD11953" s="16"/>
    </row>
    <row r="11954" spans="30:30" x14ac:dyDescent="0.3">
      <c r="AD11954" s="16"/>
    </row>
    <row r="11955" spans="30:30" x14ac:dyDescent="0.3">
      <c r="AD11955" s="16"/>
    </row>
    <row r="11956" spans="30:30" x14ac:dyDescent="0.3">
      <c r="AD11956" s="16"/>
    </row>
    <row r="11957" spans="30:30" x14ac:dyDescent="0.3">
      <c r="AD11957" s="16"/>
    </row>
    <row r="11958" spans="30:30" x14ac:dyDescent="0.3">
      <c r="AD11958" s="16"/>
    </row>
    <row r="11959" spans="30:30" x14ac:dyDescent="0.3">
      <c r="AD11959" s="16"/>
    </row>
    <row r="11960" spans="30:30" x14ac:dyDescent="0.3">
      <c r="AD11960" s="16"/>
    </row>
    <row r="11961" spans="30:30" x14ac:dyDescent="0.3">
      <c r="AD11961" s="16"/>
    </row>
    <row r="11962" spans="30:30" x14ac:dyDescent="0.3">
      <c r="AD11962" s="16"/>
    </row>
    <row r="11963" spans="30:30" x14ac:dyDescent="0.3">
      <c r="AD11963" s="16"/>
    </row>
    <row r="11964" spans="30:30" x14ac:dyDescent="0.3">
      <c r="AD11964" s="16"/>
    </row>
    <row r="11965" spans="30:30" x14ac:dyDescent="0.3">
      <c r="AD11965" s="16"/>
    </row>
    <row r="11966" spans="30:30" x14ac:dyDescent="0.3">
      <c r="AD11966" s="16"/>
    </row>
    <row r="11967" spans="30:30" x14ac:dyDescent="0.3">
      <c r="AD11967" s="16"/>
    </row>
    <row r="11968" spans="30:30" x14ac:dyDescent="0.3">
      <c r="AD11968" s="16"/>
    </row>
    <row r="11969" spans="30:30" x14ac:dyDescent="0.3">
      <c r="AD11969" s="16"/>
    </row>
    <row r="11970" spans="30:30" x14ac:dyDescent="0.3">
      <c r="AD11970" s="16"/>
    </row>
    <row r="11971" spans="30:30" x14ac:dyDescent="0.3">
      <c r="AD11971" s="16"/>
    </row>
    <row r="11972" spans="30:30" x14ac:dyDescent="0.3">
      <c r="AD11972" s="16"/>
    </row>
    <row r="11973" spans="30:30" x14ac:dyDescent="0.3">
      <c r="AD11973" s="16"/>
    </row>
    <row r="11974" spans="30:30" x14ac:dyDescent="0.3">
      <c r="AD11974" s="16"/>
    </row>
    <row r="11975" spans="30:30" x14ac:dyDescent="0.3">
      <c r="AD11975" s="16"/>
    </row>
    <row r="11976" spans="30:30" x14ac:dyDescent="0.3">
      <c r="AD11976" s="16"/>
    </row>
    <row r="11977" spans="30:30" x14ac:dyDescent="0.3">
      <c r="AD11977" s="16"/>
    </row>
    <row r="11978" spans="30:30" x14ac:dyDescent="0.3">
      <c r="AD11978" s="16"/>
    </row>
    <row r="11979" spans="30:30" x14ac:dyDescent="0.3">
      <c r="AD11979" s="16"/>
    </row>
    <row r="11980" spans="30:30" x14ac:dyDescent="0.3">
      <c r="AD11980" s="16"/>
    </row>
    <row r="11981" spans="30:30" x14ac:dyDescent="0.3">
      <c r="AD11981" s="16"/>
    </row>
    <row r="11982" spans="30:30" x14ac:dyDescent="0.3">
      <c r="AD11982" s="16"/>
    </row>
    <row r="11983" spans="30:30" x14ac:dyDescent="0.3">
      <c r="AD11983" s="16"/>
    </row>
    <row r="11984" spans="30:30" x14ac:dyDescent="0.3">
      <c r="AD11984" s="16"/>
    </row>
    <row r="11985" spans="30:30" x14ac:dyDescent="0.3">
      <c r="AD11985" s="16"/>
    </row>
    <row r="11986" spans="30:30" x14ac:dyDescent="0.3">
      <c r="AD11986" s="16"/>
    </row>
    <row r="11987" spans="30:30" x14ac:dyDescent="0.3">
      <c r="AD11987" s="16"/>
    </row>
    <row r="11988" spans="30:30" x14ac:dyDescent="0.3">
      <c r="AD11988" s="16"/>
    </row>
    <row r="11989" spans="30:30" x14ac:dyDescent="0.3">
      <c r="AD11989" s="16"/>
    </row>
    <row r="11990" spans="30:30" x14ac:dyDescent="0.3">
      <c r="AD11990" s="16"/>
    </row>
    <row r="11991" spans="30:30" x14ac:dyDescent="0.3">
      <c r="AD11991" s="16"/>
    </row>
    <row r="11992" spans="30:30" x14ac:dyDescent="0.3">
      <c r="AD11992" s="16"/>
    </row>
    <row r="11993" spans="30:30" x14ac:dyDescent="0.3">
      <c r="AD11993" s="16"/>
    </row>
    <row r="11994" spans="30:30" x14ac:dyDescent="0.3">
      <c r="AD11994" s="16"/>
    </row>
    <row r="11995" spans="30:30" x14ac:dyDescent="0.3">
      <c r="AD11995" s="16"/>
    </row>
    <row r="11996" spans="30:30" x14ac:dyDescent="0.3">
      <c r="AD11996" s="16"/>
    </row>
    <row r="11997" spans="30:30" x14ac:dyDescent="0.3">
      <c r="AD11997" s="16"/>
    </row>
    <row r="11998" spans="30:30" x14ac:dyDescent="0.3">
      <c r="AD11998" s="16"/>
    </row>
    <row r="11999" spans="30:30" x14ac:dyDescent="0.3">
      <c r="AD11999" s="16"/>
    </row>
    <row r="12000" spans="30:30" x14ac:dyDescent="0.3">
      <c r="AD12000" s="16"/>
    </row>
    <row r="12001" spans="30:30" x14ac:dyDescent="0.3">
      <c r="AD12001" s="16"/>
    </row>
    <row r="12002" spans="30:30" x14ac:dyDescent="0.3">
      <c r="AD12002" s="16"/>
    </row>
    <row r="12003" spans="30:30" x14ac:dyDescent="0.3">
      <c r="AD12003" s="16"/>
    </row>
    <row r="12004" spans="30:30" x14ac:dyDescent="0.3">
      <c r="AD12004" s="16"/>
    </row>
    <row r="12005" spans="30:30" x14ac:dyDescent="0.3">
      <c r="AD12005" s="16"/>
    </row>
    <row r="12006" spans="30:30" x14ac:dyDescent="0.3">
      <c r="AD12006" s="16"/>
    </row>
    <row r="12007" spans="30:30" x14ac:dyDescent="0.3">
      <c r="AD12007" s="16"/>
    </row>
    <row r="12008" spans="30:30" x14ac:dyDescent="0.3">
      <c r="AD12008" s="16"/>
    </row>
    <row r="12009" spans="30:30" x14ac:dyDescent="0.3">
      <c r="AD12009" s="16"/>
    </row>
    <row r="12010" spans="30:30" x14ac:dyDescent="0.3">
      <c r="AD12010" s="16"/>
    </row>
    <row r="12011" spans="30:30" x14ac:dyDescent="0.3">
      <c r="AD12011" s="16"/>
    </row>
    <row r="12012" spans="30:30" x14ac:dyDescent="0.3">
      <c r="AD12012" s="16"/>
    </row>
    <row r="12013" spans="30:30" x14ac:dyDescent="0.3">
      <c r="AD12013" s="16"/>
    </row>
    <row r="12014" spans="30:30" x14ac:dyDescent="0.3">
      <c r="AD12014" s="16"/>
    </row>
    <row r="12015" spans="30:30" x14ac:dyDescent="0.3">
      <c r="AD12015" s="16"/>
    </row>
    <row r="12016" spans="30:30" x14ac:dyDescent="0.3">
      <c r="AD12016" s="16"/>
    </row>
    <row r="12017" spans="30:30" x14ac:dyDescent="0.3">
      <c r="AD12017" s="16"/>
    </row>
    <row r="12018" spans="30:30" x14ac:dyDescent="0.3">
      <c r="AD12018" s="16"/>
    </row>
    <row r="12019" spans="30:30" x14ac:dyDescent="0.3">
      <c r="AD12019" s="16"/>
    </row>
    <row r="12020" spans="30:30" x14ac:dyDescent="0.3">
      <c r="AD12020" s="16"/>
    </row>
    <row r="12021" spans="30:30" x14ac:dyDescent="0.3">
      <c r="AD12021" s="16"/>
    </row>
    <row r="12022" spans="30:30" x14ac:dyDescent="0.3">
      <c r="AD12022" s="16"/>
    </row>
    <row r="12023" spans="30:30" x14ac:dyDescent="0.3">
      <c r="AD12023" s="16"/>
    </row>
    <row r="12024" spans="30:30" x14ac:dyDescent="0.3">
      <c r="AD12024" s="16"/>
    </row>
    <row r="12025" spans="30:30" x14ac:dyDescent="0.3">
      <c r="AD12025" s="16"/>
    </row>
    <row r="12026" spans="30:30" x14ac:dyDescent="0.3">
      <c r="AD12026" s="16"/>
    </row>
    <row r="12027" spans="30:30" x14ac:dyDescent="0.3">
      <c r="AD12027" s="16"/>
    </row>
    <row r="12028" spans="30:30" x14ac:dyDescent="0.3">
      <c r="AD12028" s="16"/>
    </row>
    <row r="12029" spans="30:30" x14ac:dyDescent="0.3">
      <c r="AD12029" s="16"/>
    </row>
    <row r="12030" spans="30:30" x14ac:dyDescent="0.3">
      <c r="AD12030" s="16"/>
    </row>
    <row r="12031" spans="30:30" x14ac:dyDescent="0.3">
      <c r="AD12031" s="16"/>
    </row>
    <row r="12032" spans="30:30" x14ac:dyDescent="0.3">
      <c r="AD12032" s="16"/>
    </row>
    <row r="12033" spans="30:30" x14ac:dyDescent="0.3">
      <c r="AD12033" s="16"/>
    </row>
    <row r="12034" spans="30:30" x14ac:dyDescent="0.3">
      <c r="AD12034" s="16"/>
    </row>
    <row r="12035" spans="30:30" x14ac:dyDescent="0.3">
      <c r="AD12035" s="16"/>
    </row>
    <row r="12036" spans="30:30" x14ac:dyDescent="0.3">
      <c r="AD12036" s="16"/>
    </row>
    <row r="12037" spans="30:30" x14ac:dyDescent="0.3">
      <c r="AD12037" s="16"/>
    </row>
    <row r="12038" spans="30:30" x14ac:dyDescent="0.3">
      <c r="AD12038" s="16"/>
    </row>
    <row r="12039" spans="30:30" x14ac:dyDescent="0.3">
      <c r="AD12039" s="16"/>
    </row>
    <row r="12040" spans="30:30" x14ac:dyDescent="0.3">
      <c r="AD12040" s="16"/>
    </row>
    <row r="12041" spans="30:30" x14ac:dyDescent="0.3">
      <c r="AD12041" s="16"/>
    </row>
    <row r="12042" spans="30:30" x14ac:dyDescent="0.3">
      <c r="AD12042" s="16"/>
    </row>
    <row r="12043" spans="30:30" x14ac:dyDescent="0.3">
      <c r="AD12043" s="16"/>
    </row>
    <row r="12044" spans="30:30" x14ac:dyDescent="0.3">
      <c r="AD12044" s="16"/>
    </row>
    <row r="12045" spans="30:30" x14ac:dyDescent="0.3">
      <c r="AD12045" s="16"/>
    </row>
    <row r="12046" spans="30:30" x14ac:dyDescent="0.3">
      <c r="AD12046" s="16"/>
    </row>
    <row r="12047" spans="30:30" x14ac:dyDescent="0.3">
      <c r="AD12047" s="16"/>
    </row>
    <row r="12048" spans="30:30" x14ac:dyDescent="0.3">
      <c r="AD12048" s="16"/>
    </row>
    <row r="12049" spans="30:30" x14ac:dyDescent="0.3">
      <c r="AD12049" s="16"/>
    </row>
    <row r="12050" spans="30:30" x14ac:dyDescent="0.3">
      <c r="AD12050" s="16"/>
    </row>
    <row r="12051" spans="30:30" x14ac:dyDescent="0.3">
      <c r="AD12051" s="16"/>
    </row>
    <row r="12052" spans="30:30" x14ac:dyDescent="0.3">
      <c r="AD12052" s="16"/>
    </row>
    <row r="12053" spans="30:30" x14ac:dyDescent="0.3">
      <c r="AD12053" s="16"/>
    </row>
    <row r="12054" spans="30:30" x14ac:dyDescent="0.3">
      <c r="AD12054" s="16"/>
    </row>
    <row r="12055" spans="30:30" x14ac:dyDescent="0.3">
      <c r="AD12055" s="16"/>
    </row>
    <row r="12056" spans="30:30" x14ac:dyDescent="0.3">
      <c r="AD12056" s="16"/>
    </row>
    <row r="12057" spans="30:30" x14ac:dyDescent="0.3">
      <c r="AD12057" s="16"/>
    </row>
    <row r="12058" spans="30:30" x14ac:dyDescent="0.3">
      <c r="AD12058" s="16"/>
    </row>
    <row r="12059" spans="30:30" x14ac:dyDescent="0.3">
      <c r="AD12059" s="16"/>
    </row>
    <row r="12060" spans="30:30" x14ac:dyDescent="0.3">
      <c r="AD12060" s="16"/>
    </row>
    <row r="12061" spans="30:30" x14ac:dyDescent="0.3">
      <c r="AD12061" s="16"/>
    </row>
    <row r="12062" spans="30:30" x14ac:dyDescent="0.3">
      <c r="AD12062" s="16"/>
    </row>
    <row r="12063" spans="30:30" x14ac:dyDescent="0.3">
      <c r="AD12063" s="16"/>
    </row>
    <row r="12064" spans="30:30" x14ac:dyDescent="0.3">
      <c r="AD12064" s="16"/>
    </row>
    <row r="12065" spans="30:30" x14ac:dyDescent="0.3">
      <c r="AD12065" s="16"/>
    </row>
    <row r="12066" spans="30:30" x14ac:dyDescent="0.3">
      <c r="AD12066" s="16"/>
    </row>
    <row r="12067" spans="30:30" x14ac:dyDescent="0.3">
      <c r="AD12067" s="16"/>
    </row>
    <row r="12068" spans="30:30" x14ac:dyDescent="0.3">
      <c r="AD12068" s="16"/>
    </row>
    <row r="12069" spans="30:30" x14ac:dyDescent="0.3">
      <c r="AD12069" s="16"/>
    </row>
    <row r="12070" spans="30:30" x14ac:dyDescent="0.3">
      <c r="AD12070" s="16"/>
    </row>
    <row r="12071" spans="30:30" x14ac:dyDescent="0.3">
      <c r="AD12071" s="16"/>
    </row>
    <row r="12072" spans="30:30" x14ac:dyDescent="0.3">
      <c r="AD12072" s="16"/>
    </row>
    <row r="12073" spans="30:30" x14ac:dyDescent="0.3">
      <c r="AD12073" s="16"/>
    </row>
    <row r="12074" spans="30:30" x14ac:dyDescent="0.3">
      <c r="AD12074" s="16"/>
    </row>
    <row r="12075" spans="30:30" x14ac:dyDescent="0.3">
      <c r="AD12075" s="16"/>
    </row>
    <row r="12076" spans="30:30" x14ac:dyDescent="0.3">
      <c r="AD12076" s="16"/>
    </row>
    <row r="12077" spans="30:30" x14ac:dyDescent="0.3">
      <c r="AD12077" s="16"/>
    </row>
    <row r="12078" spans="30:30" x14ac:dyDescent="0.3">
      <c r="AD12078" s="16"/>
    </row>
    <row r="12079" spans="30:30" x14ac:dyDescent="0.3">
      <c r="AD12079" s="16"/>
    </row>
    <row r="12080" spans="30:30" x14ac:dyDescent="0.3">
      <c r="AD12080" s="16"/>
    </row>
    <row r="12081" spans="30:30" x14ac:dyDescent="0.3">
      <c r="AD12081" s="16"/>
    </row>
    <row r="12082" spans="30:30" x14ac:dyDescent="0.3">
      <c r="AD12082" s="16"/>
    </row>
    <row r="12083" spans="30:30" x14ac:dyDescent="0.3">
      <c r="AD12083" s="16"/>
    </row>
    <row r="12084" spans="30:30" x14ac:dyDescent="0.3">
      <c r="AD12084" s="16"/>
    </row>
    <row r="12085" spans="30:30" x14ac:dyDescent="0.3">
      <c r="AD12085" s="16"/>
    </row>
    <row r="12086" spans="30:30" x14ac:dyDescent="0.3">
      <c r="AD12086" s="16"/>
    </row>
    <row r="12087" spans="30:30" x14ac:dyDescent="0.3">
      <c r="AD12087" s="16"/>
    </row>
    <row r="12088" spans="30:30" x14ac:dyDescent="0.3">
      <c r="AD12088" s="16"/>
    </row>
    <row r="12089" spans="30:30" x14ac:dyDescent="0.3">
      <c r="AD12089" s="16"/>
    </row>
    <row r="12090" spans="30:30" x14ac:dyDescent="0.3">
      <c r="AD12090" s="16"/>
    </row>
    <row r="12091" spans="30:30" x14ac:dyDescent="0.3">
      <c r="AD12091" s="16"/>
    </row>
    <row r="12092" spans="30:30" x14ac:dyDescent="0.3">
      <c r="AD12092" s="16"/>
    </row>
    <row r="12093" spans="30:30" x14ac:dyDescent="0.3">
      <c r="AD12093" s="16"/>
    </row>
    <row r="12094" spans="30:30" x14ac:dyDescent="0.3">
      <c r="AD12094" s="16"/>
    </row>
    <row r="12095" spans="30:30" x14ac:dyDescent="0.3">
      <c r="AD12095" s="16"/>
    </row>
    <row r="12096" spans="30:30" x14ac:dyDescent="0.3">
      <c r="AD12096" s="16"/>
    </row>
    <row r="12097" spans="30:30" x14ac:dyDescent="0.3">
      <c r="AD12097" s="16"/>
    </row>
    <row r="12098" spans="30:30" x14ac:dyDescent="0.3">
      <c r="AD12098" s="16"/>
    </row>
    <row r="12099" spans="30:30" x14ac:dyDescent="0.3">
      <c r="AD12099" s="16"/>
    </row>
    <row r="12100" spans="30:30" x14ac:dyDescent="0.3">
      <c r="AD12100" s="16"/>
    </row>
    <row r="12101" spans="30:30" x14ac:dyDescent="0.3">
      <c r="AD12101" s="16"/>
    </row>
    <row r="12102" spans="30:30" x14ac:dyDescent="0.3">
      <c r="AD12102" s="16"/>
    </row>
    <row r="12103" spans="30:30" x14ac:dyDescent="0.3">
      <c r="AD12103" s="16"/>
    </row>
    <row r="12104" spans="30:30" x14ac:dyDescent="0.3">
      <c r="AD12104" s="16"/>
    </row>
    <row r="12105" spans="30:30" x14ac:dyDescent="0.3">
      <c r="AD12105" s="16"/>
    </row>
    <row r="12106" spans="30:30" x14ac:dyDescent="0.3">
      <c r="AD12106" s="16"/>
    </row>
    <row r="12107" spans="30:30" x14ac:dyDescent="0.3">
      <c r="AD12107" s="16"/>
    </row>
    <row r="12108" spans="30:30" x14ac:dyDescent="0.3">
      <c r="AD12108" s="16"/>
    </row>
    <row r="12109" spans="30:30" x14ac:dyDescent="0.3">
      <c r="AD12109" s="16"/>
    </row>
    <row r="12110" spans="30:30" x14ac:dyDescent="0.3">
      <c r="AD12110" s="16"/>
    </row>
    <row r="12111" spans="30:30" x14ac:dyDescent="0.3">
      <c r="AD12111" s="16"/>
    </row>
    <row r="12112" spans="30:30" x14ac:dyDescent="0.3">
      <c r="AD12112" s="16"/>
    </row>
    <row r="12113" spans="30:30" x14ac:dyDescent="0.3">
      <c r="AD12113" s="16"/>
    </row>
    <row r="12114" spans="30:30" x14ac:dyDescent="0.3">
      <c r="AD12114" s="16"/>
    </row>
    <row r="12115" spans="30:30" x14ac:dyDescent="0.3">
      <c r="AD12115" s="16"/>
    </row>
    <row r="12116" spans="30:30" x14ac:dyDescent="0.3">
      <c r="AD12116" s="16"/>
    </row>
    <row r="12117" spans="30:30" x14ac:dyDescent="0.3">
      <c r="AD12117" s="16"/>
    </row>
    <row r="12118" spans="30:30" x14ac:dyDescent="0.3">
      <c r="AD12118" s="16"/>
    </row>
    <row r="12119" spans="30:30" x14ac:dyDescent="0.3">
      <c r="AD12119" s="16"/>
    </row>
    <row r="12120" spans="30:30" x14ac:dyDescent="0.3">
      <c r="AD12120" s="16"/>
    </row>
    <row r="12121" spans="30:30" x14ac:dyDescent="0.3">
      <c r="AD12121" s="16"/>
    </row>
    <row r="12122" spans="30:30" x14ac:dyDescent="0.3">
      <c r="AD12122" s="16"/>
    </row>
    <row r="12123" spans="30:30" x14ac:dyDescent="0.3">
      <c r="AD12123" s="16"/>
    </row>
    <row r="12124" spans="30:30" x14ac:dyDescent="0.3">
      <c r="AD12124" s="16"/>
    </row>
    <row r="12125" spans="30:30" x14ac:dyDescent="0.3">
      <c r="AD12125" s="16"/>
    </row>
    <row r="12126" spans="30:30" x14ac:dyDescent="0.3">
      <c r="AD12126" s="16"/>
    </row>
    <row r="12127" spans="30:30" x14ac:dyDescent="0.3">
      <c r="AD12127" s="16"/>
    </row>
    <row r="12128" spans="30:30" x14ac:dyDescent="0.3">
      <c r="AD12128" s="16"/>
    </row>
    <row r="12129" spans="30:30" x14ac:dyDescent="0.3">
      <c r="AD12129" s="16"/>
    </row>
    <row r="12130" spans="30:30" x14ac:dyDescent="0.3">
      <c r="AD12130" s="16"/>
    </row>
    <row r="12131" spans="30:30" x14ac:dyDescent="0.3">
      <c r="AD12131" s="16"/>
    </row>
    <row r="12132" spans="30:30" x14ac:dyDescent="0.3">
      <c r="AD12132" s="16"/>
    </row>
    <row r="12133" spans="30:30" x14ac:dyDescent="0.3">
      <c r="AD12133" s="16"/>
    </row>
    <row r="12134" spans="30:30" x14ac:dyDescent="0.3">
      <c r="AD12134" s="16"/>
    </row>
    <row r="12135" spans="30:30" x14ac:dyDescent="0.3">
      <c r="AD12135" s="16"/>
    </row>
    <row r="12136" spans="30:30" x14ac:dyDescent="0.3">
      <c r="AD12136" s="16"/>
    </row>
    <row r="12137" spans="30:30" x14ac:dyDescent="0.3">
      <c r="AD12137" s="16"/>
    </row>
    <row r="12138" spans="30:30" x14ac:dyDescent="0.3">
      <c r="AD12138" s="16"/>
    </row>
    <row r="12139" spans="30:30" x14ac:dyDescent="0.3">
      <c r="AD12139" s="16"/>
    </row>
    <row r="12140" spans="30:30" x14ac:dyDescent="0.3">
      <c r="AD12140" s="16"/>
    </row>
    <row r="12141" spans="30:30" x14ac:dyDescent="0.3">
      <c r="AD12141" s="16"/>
    </row>
    <row r="12142" spans="30:30" x14ac:dyDescent="0.3">
      <c r="AD12142" s="16"/>
    </row>
    <row r="12143" spans="30:30" x14ac:dyDescent="0.3">
      <c r="AD12143" s="16"/>
    </row>
    <row r="12144" spans="30:30" x14ac:dyDescent="0.3">
      <c r="AD12144" s="16"/>
    </row>
    <row r="12145" spans="30:30" x14ac:dyDescent="0.3">
      <c r="AD12145" s="16"/>
    </row>
    <row r="12146" spans="30:30" x14ac:dyDescent="0.3">
      <c r="AD12146" s="16"/>
    </row>
    <row r="12147" spans="30:30" x14ac:dyDescent="0.3">
      <c r="AD12147" s="16"/>
    </row>
    <row r="12148" spans="30:30" x14ac:dyDescent="0.3">
      <c r="AD12148" s="16"/>
    </row>
    <row r="12149" spans="30:30" x14ac:dyDescent="0.3">
      <c r="AD12149" s="16"/>
    </row>
    <row r="12150" spans="30:30" x14ac:dyDescent="0.3">
      <c r="AD12150" s="16"/>
    </row>
    <row r="12151" spans="30:30" x14ac:dyDescent="0.3">
      <c r="AD12151" s="16"/>
    </row>
    <row r="12152" spans="30:30" x14ac:dyDescent="0.3">
      <c r="AD12152" s="16"/>
    </row>
    <row r="12153" spans="30:30" x14ac:dyDescent="0.3">
      <c r="AD12153" s="16"/>
    </row>
    <row r="12154" spans="30:30" x14ac:dyDescent="0.3">
      <c r="AD12154" s="16"/>
    </row>
    <row r="12155" spans="30:30" x14ac:dyDescent="0.3">
      <c r="AD12155" s="16"/>
    </row>
    <row r="12156" spans="30:30" x14ac:dyDescent="0.3">
      <c r="AD12156" s="16"/>
    </row>
    <row r="12157" spans="30:30" x14ac:dyDescent="0.3">
      <c r="AD12157" s="16"/>
    </row>
    <row r="12158" spans="30:30" x14ac:dyDescent="0.3">
      <c r="AD12158" s="16"/>
    </row>
    <row r="12159" spans="30:30" x14ac:dyDescent="0.3">
      <c r="AD12159" s="16"/>
    </row>
    <row r="12160" spans="30:30" x14ac:dyDescent="0.3">
      <c r="AD12160" s="16"/>
    </row>
    <row r="12161" spans="30:30" x14ac:dyDescent="0.3">
      <c r="AD12161" s="16"/>
    </row>
    <row r="12162" spans="30:30" x14ac:dyDescent="0.3">
      <c r="AD12162" s="16"/>
    </row>
    <row r="12163" spans="30:30" x14ac:dyDescent="0.3">
      <c r="AD12163" s="16"/>
    </row>
    <row r="12164" spans="30:30" x14ac:dyDescent="0.3">
      <c r="AD12164" s="16"/>
    </row>
    <row r="12165" spans="30:30" x14ac:dyDescent="0.3">
      <c r="AD12165" s="16"/>
    </row>
    <row r="12166" spans="30:30" x14ac:dyDescent="0.3">
      <c r="AD12166" s="16"/>
    </row>
    <row r="12167" spans="30:30" x14ac:dyDescent="0.3">
      <c r="AD12167" s="16"/>
    </row>
    <row r="12168" spans="30:30" x14ac:dyDescent="0.3">
      <c r="AD12168" s="16"/>
    </row>
    <row r="12169" spans="30:30" x14ac:dyDescent="0.3">
      <c r="AD12169" s="16"/>
    </row>
    <row r="12170" spans="30:30" x14ac:dyDescent="0.3">
      <c r="AD12170" s="16"/>
    </row>
    <row r="12171" spans="30:30" x14ac:dyDescent="0.3">
      <c r="AD12171" s="16"/>
    </row>
    <row r="12172" spans="30:30" x14ac:dyDescent="0.3">
      <c r="AD12172" s="16"/>
    </row>
    <row r="12173" spans="30:30" x14ac:dyDescent="0.3">
      <c r="AD12173" s="16"/>
    </row>
    <row r="12174" spans="30:30" x14ac:dyDescent="0.3">
      <c r="AD12174" s="16"/>
    </row>
    <row r="12175" spans="30:30" x14ac:dyDescent="0.3">
      <c r="AD12175" s="16"/>
    </row>
    <row r="12176" spans="30:30" x14ac:dyDescent="0.3">
      <c r="AD12176" s="16"/>
    </row>
    <row r="12177" spans="30:30" x14ac:dyDescent="0.3">
      <c r="AD12177" s="16"/>
    </row>
    <row r="12178" spans="30:30" x14ac:dyDescent="0.3">
      <c r="AD12178" s="16"/>
    </row>
    <row r="12179" spans="30:30" x14ac:dyDescent="0.3">
      <c r="AD12179" s="16"/>
    </row>
    <row r="12180" spans="30:30" x14ac:dyDescent="0.3">
      <c r="AD12180" s="16"/>
    </row>
    <row r="12181" spans="30:30" x14ac:dyDescent="0.3">
      <c r="AD12181" s="16"/>
    </row>
    <row r="12182" spans="30:30" x14ac:dyDescent="0.3">
      <c r="AD12182" s="16"/>
    </row>
    <row r="12183" spans="30:30" x14ac:dyDescent="0.3">
      <c r="AD12183" s="16"/>
    </row>
    <row r="12184" spans="30:30" x14ac:dyDescent="0.3">
      <c r="AD12184" s="16"/>
    </row>
    <row r="12185" spans="30:30" x14ac:dyDescent="0.3">
      <c r="AD12185" s="16"/>
    </row>
    <row r="12186" spans="30:30" x14ac:dyDescent="0.3">
      <c r="AD12186" s="16"/>
    </row>
    <row r="12187" spans="30:30" x14ac:dyDescent="0.3">
      <c r="AD12187" s="16"/>
    </row>
    <row r="12188" spans="30:30" x14ac:dyDescent="0.3">
      <c r="AD12188" s="16"/>
    </row>
    <row r="12189" spans="30:30" x14ac:dyDescent="0.3">
      <c r="AD12189" s="16"/>
    </row>
    <row r="12190" spans="30:30" x14ac:dyDescent="0.3">
      <c r="AD12190" s="16"/>
    </row>
    <row r="12191" spans="30:30" x14ac:dyDescent="0.3">
      <c r="AD12191" s="16"/>
    </row>
    <row r="12192" spans="30:30" x14ac:dyDescent="0.3">
      <c r="AD12192" s="16"/>
    </row>
    <row r="12193" spans="30:30" x14ac:dyDescent="0.3">
      <c r="AD12193" s="16"/>
    </row>
    <row r="12194" spans="30:30" x14ac:dyDescent="0.3">
      <c r="AD12194" s="16"/>
    </row>
    <row r="12195" spans="30:30" x14ac:dyDescent="0.3">
      <c r="AD12195" s="16"/>
    </row>
    <row r="12196" spans="30:30" x14ac:dyDescent="0.3">
      <c r="AD12196" s="16"/>
    </row>
    <row r="12197" spans="30:30" x14ac:dyDescent="0.3">
      <c r="AD12197" s="16"/>
    </row>
    <row r="12198" spans="30:30" x14ac:dyDescent="0.3">
      <c r="AD12198" s="16"/>
    </row>
    <row r="12199" spans="30:30" x14ac:dyDescent="0.3">
      <c r="AD12199" s="16"/>
    </row>
    <row r="12200" spans="30:30" x14ac:dyDescent="0.3">
      <c r="AD12200" s="16"/>
    </row>
    <row r="12201" spans="30:30" x14ac:dyDescent="0.3">
      <c r="AD12201" s="16"/>
    </row>
    <row r="12202" spans="30:30" x14ac:dyDescent="0.3">
      <c r="AD12202" s="16"/>
    </row>
    <row r="12203" spans="30:30" x14ac:dyDescent="0.3">
      <c r="AD12203" s="16"/>
    </row>
    <row r="12204" spans="30:30" x14ac:dyDescent="0.3">
      <c r="AD12204" s="16"/>
    </row>
    <row r="12205" spans="30:30" x14ac:dyDescent="0.3">
      <c r="AD12205" s="16"/>
    </row>
    <row r="12206" spans="30:30" x14ac:dyDescent="0.3">
      <c r="AD12206" s="16"/>
    </row>
    <row r="12207" spans="30:30" x14ac:dyDescent="0.3">
      <c r="AD12207" s="16"/>
    </row>
    <row r="12208" spans="30:30" x14ac:dyDescent="0.3">
      <c r="AD12208" s="16"/>
    </row>
    <row r="12209" spans="30:30" x14ac:dyDescent="0.3">
      <c r="AD12209" s="16"/>
    </row>
    <row r="12210" spans="30:30" x14ac:dyDescent="0.3">
      <c r="AD12210" s="16"/>
    </row>
    <row r="12211" spans="30:30" x14ac:dyDescent="0.3">
      <c r="AD12211" s="16"/>
    </row>
    <row r="12212" spans="30:30" x14ac:dyDescent="0.3">
      <c r="AD12212" s="16"/>
    </row>
    <row r="12213" spans="30:30" x14ac:dyDescent="0.3">
      <c r="AD12213" s="16"/>
    </row>
    <row r="12214" spans="30:30" x14ac:dyDescent="0.3">
      <c r="AD12214" s="16"/>
    </row>
    <row r="12215" spans="30:30" x14ac:dyDescent="0.3">
      <c r="AD12215" s="16"/>
    </row>
    <row r="12216" spans="30:30" x14ac:dyDescent="0.3">
      <c r="AD12216" s="16"/>
    </row>
    <row r="12217" spans="30:30" x14ac:dyDescent="0.3">
      <c r="AD12217" s="16"/>
    </row>
    <row r="12218" spans="30:30" x14ac:dyDescent="0.3">
      <c r="AD12218" s="16"/>
    </row>
    <row r="12219" spans="30:30" x14ac:dyDescent="0.3">
      <c r="AD12219" s="16"/>
    </row>
    <row r="12220" spans="30:30" x14ac:dyDescent="0.3">
      <c r="AD12220" s="16"/>
    </row>
    <row r="12221" spans="30:30" x14ac:dyDescent="0.3">
      <c r="AD12221" s="16"/>
    </row>
    <row r="12222" spans="30:30" x14ac:dyDescent="0.3">
      <c r="AD12222" s="16"/>
    </row>
    <row r="12223" spans="30:30" x14ac:dyDescent="0.3">
      <c r="AD12223" s="16"/>
    </row>
    <row r="12224" spans="30:30" x14ac:dyDescent="0.3">
      <c r="AD12224" s="16"/>
    </row>
    <row r="12225" spans="30:30" x14ac:dyDescent="0.3">
      <c r="AD12225" s="16"/>
    </row>
    <row r="12226" spans="30:30" x14ac:dyDescent="0.3">
      <c r="AD12226" s="16"/>
    </row>
    <row r="12227" spans="30:30" x14ac:dyDescent="0.3">
      <c r="AD12227" s="16"/>
    </row>
    <row r="12228" spans="30:30" x14ac:dyDescent="0.3">
      <c r="AD12228" s="16"/>
    </row>
    <row r="12229" spans="30:30" x14ac:dyDescent="0.3">
      <c r="AD12229" s="16"/>
    </row>
    <row r="12230" spans="30:30" x14ac:dyDescent="0.3">
      <c r="AD12230" s="16"/>
    </row>
    <row r="12231" spans="30:30" x14ac:dyDescent="0.3">
      <c r="AD12231" s="16"/>
    </row>
    <row r="12232" spans="30:30" x14ac:dyDescent="0.3">
      <c r="AD12232" s="16"/>
    </row>
    <row r="12233" spans="30:30" x14ac:dyDescent="0.3">
      <c r="AD12233" s="16"/>
    </row>
    <row r="12234" spans="30:30" x14ac:dyDescent="0.3">
      <c r="AD12234" s="16"/>
    </row>
    <row r="12235" spans="30:30" x14ac:dyDescent="0.3">
      <c r="AD12235" s="16"/>
    </row>
    <row r="12236" spans="30:30" x14ac:dyDescent="0.3">
      <c r="AD12236" s="16"/>
    </row>
    <row r="12237" spans="30:30" x14ac:dyDescent="0.3">
      <c r="AD12237" s="16"/>
    </row>
    <row r="12238" spans="30:30" x14ac:dyDescent="0.3">
      <c r="AD12238" s="16"/>
    </row>
    <row r="12239" spans="30:30" x14ac:dyDescent="0.3">
      <c r="AD12239" s="16"/>
    </row>
    <row r="12240" spans="30:30" x14ac:dyDescent="0.3">
      <c r="AD12240" s="16"/>
    </row>
    <row r="12241" spans="30:30" x14ac:dyDescent="0.3">
      <c r="AD12241" s="16"/>
    </row>
    <row r="12242" spans="30:30" x14ac:dyDescent="0.3">
      <c r="AD12242" s="16"/>
    </row>
    <row r="12243" spans="30:30" x14ac:dyDescent="0.3">
      <c r="AD12243" s="16"/>
    </row>
    <row r="12244" spans="30:30" x14ac:dyDescent="0.3">
      <c r="AD12244" s="16"/>
    </row>
    <row r="12245" spans="30:30" x14ac:dyDescent="0.3">
      <c r="AD12245" s="16"/>
    </row>
    <row r="12246" spans="30:30" x14ac:dyDescent="0.3">
      <c r="AD12246" s="16"/>
    </row>
    <row r="12247" spans="30:30" x14ac:dyDescent="0.3">
      <c r="AD12247" s="16"/>
    </row>
    <row r="12248" spans="30:30" x14ac:dyDescent="0.3">
      <c r="AD12248" s="16"/>
    </row>
    <row r="12249" spans="30:30" x14ac:dyDescent="0.3">
      <c r="AD12249" s="16"/>
    </row>
    <row r="12250" spans="30:30" x14ac:dyDescent="0.3">
      <c r="AD12250" s="16"/>
    </row>
    <row r="12251" spans="30:30" x14ac:dyDescent="0.3">
      <c r="AD12251" s="16"/>
    </row>
    <row r="12252" spans="30:30" x14ac:dyDescent="0.3">
      <c r="AD12252" s="16"/>
    </row>
    <row r="12253" spans="30:30" x14ac:dyDescent="0.3">
      <c r="AD12253" s="16"/>
    </row>
    <row r="12254" spans="30:30" x14ac:dyDescent="0.3">
      <c r="AD12254" s="16"/>
    </row>
    <row r="12255" spans="30:30" x14ac:dyDescent="0.3">
      <c r="AD12255" s="16"/>
    </row>
    <row r="12256" spans="30:30" x14ac:dyDescent="0.3">
      <c r="AD12256" s="16"/>
    </row>
    <row r="12257" spans="30:30" x14ac:dyDescent="0.3">
      <c r="AD12257" s="16"/>
    </row>
    <row r="12258" spans="30:30" x14ac:dyDescent="0.3">
      <c r="AD12258" s="16"/>
    </row>
    <row r="12259" spans="30:30" x14ac:dyDescent="0.3">
      <c r="AD12259" s="16"/>
    </row>
    <row r="12260" spans="30:30" x14ac:dyDescent="0.3">
      <c r="AD12260" s="16"/>
    </row>
    <row r="12261" spans="30:30" x14ac:dyDescent="0.3">
      <c r="AD12261" s="16"/>
    </row>
    <row r="12262" spans="30:30" x14ac:dyDescent="0.3">
      <c r="AD12262" s="16"/>
    </row>
    <row r="12263" spans="30:30" x14ac:dyDescent="0.3">
      <c r="AD12263" s="16"/>
    </row>
    <row r="12264" spans="30:30" x14ac:dyDescent="0.3">
      <c r="AD12264" s="16"/>
    </row>
    <row r="12265" spans="30:30" x14ac:dyDescent="0.3">
      <c r="AD12265" s="16"/>
    </row>
    <row r="12266" spans="30:30" x14ac:dyDescent="0.3">
      <c r="AD12266" s="16"/>
    </row>
    <row r="12267" spans="30:30" x14ac:dyDescent="0.3">
      <c r="AD12267" s="16"/>
    </row>
    <row r="12268" spans="30:30" x14ac:dyDescent="0.3">
      <c r="AD12268" s="16"/>
    </row>
    <row r="12269" spans="30:30" x14ac:dyDescent="0.3">
      <c r="AD12269" s="16"/>
    </row>
    <row r="12270" spans="30:30" x14ac:dyDescent="0.3">
      <c r="AD12270" s="16"/>
    </row>
    <row r="12271" spans="30:30" x14ac:dyDescent="0.3">
      <c r="AD12271" s="16"/>
    </row>
    <row r="12272" spans="30:30" x14ac:dyDescent="0.3">
      <c r="AD12272" s="16"/>
    </row>
    <row r="12273" spans="30:30" x14ac:dyDescent="0.3">
      <c r="AD12273" s="16"/>
    </row>
    <row r="12274" spans="30:30" x14ac:dyDescent="0.3">
      <c r="AD12274" s="16"/>
    </row>
    <row r="12275" spans="30:30" x14ac:dyDescent="0.3">
      <c r="AD12275" s="16"/>
    </row>
    <row r="12276" spans="30:30" x14ac:dyDescent="0.3">
      <c r="AD12276" s="16"/>
    </row>
    <row r="12277" spans="30:30" x14ac:dyDescent="0.3">
      <c r="AD12277" s="16"/>
    </row>
    <row r="12278" spans="30:30" x14ac:dyDescent="0.3">
      <c r="AD12278" s="16"/>
    </row>
    <row r="12279" spans="30:30" x14ac:dyDescent="0.3">
      <c r="AD12279" s="16"/>
    </row>
    <row r="12280" spans="30:30" x14ac:dyDescent="0.3">
      <c r="AD12280" s="16"/>
    </row>
    <row r="12281" spans="30:30" x14ac:dyDescent="0.3">
      <c r="AD12281" s="16"/>
    </row>
    <row r="12282" spans="30:30" x14ac:dyDescent="0.3">
      <c r="AD12282" s="16"/>
    </row>
    <row r="12283" spans="30:30" x14ac:dyDescent="0.3">
      <c r="AD12283" s="16"/>
    </row>
    <row r="12284" spans="30:30" x14ac:dyDescent="0.3">
      <c r="AD12284" s="16"/>
    </row>
    <row r="12285" spans="30:30" x14ac:dyDescent="0.3">
      <c r="AD12285" s="16"/>
    </row>
    <row r="12286" spans="30:30" x14ac:dyDescent="0.3">
      <c r="AD12286" s="16"/>
    </row>
    <row r="12287" spans="30:30" x14ac:dyDescent="0.3">
      <c r="AD12287" s="16"/>
    </row>
    <row r="12288" spans="30:30" x14ac:dyDescent="0.3">
      <c r="AD12288" s="16"/>
    </row>
    <row r="12289" spans="30:30" x14ac:dyDescent="0.3">
      <c r="AD12289" s="16"/>
    </row>
    <row r="12290" spans="30:30" x14ac:dyDescent="0.3">
      <c r="AD12290" s="16"/>
    </row>
    <row r="12291" spans="30:30" x14ac:dyDescent="0.3">
      <c r="AD12291" s="16"/>
    </row>
    <row r="12292" spans="30:30" x14ac:dyDescent="0.3">
      <c r="AD12292" s="16"/>
    </row>
    <row r="12293" spans="30:30" x14ac:dyDescent="0.3">
      <c r="AD12293" s="16"/>
    </row>
    <row r="12294" spans="30:30" x14ac:dyDescent="0.3">
      <c r="AD12294" s="16"/>
    </row>
    <row r="12295" spans="30:30" x14ac:dyDescent="0.3">
      <c r="AD12295" s="16"/>
    </row>
    <row r="12296" spans="30:30" x14ac:dyDescent="0.3">
      <c r="AD12296" s="16"/>
    </row>
    <row r="12297" spans="30:30" x14ac:dyDescent="0.3">
      <c r="AD12297" s="16"/>
    </row>
    <row r="12298" spans="30:30" x14ac:dyDescent="0.3">
      <c r="AD12298" s="16"/>
    </row>
    <row r="12299" spans="30:30" x14ac:dyDescent="0.3">
      <c r="AD12299" s="16"/>
    </row>
    <row r="12300" spans="30:30" x14ac:dyDescent="0.3">
      <c r="AD12300" s="16"/>
    </row>
    <row r="12301" spans="30:30" x14ac:dyDescent="0.3">
      <c r="AD12301" s="16"/>
    </row>
    <row r="12302" spans="30:30" x14ac:dyDescent="0.3">
      <c r="AD12302" s="16"/>
    </row>
    <row r="12303" spans="30:30" x14ac:dyDescent="0.3">
      <c r="AD12303" s="16"/>
    </row>
    <row r="12304" spans="30:30" x14ac:dyDescent="0.3">
      <c r="AD12304" s="16"/>
    </row>
    <row r="12305" spans="30:30" x14ac:dyDescent="0.3">
      <c r="AD12305" s="16"/>
    </row>
    <row r="12306" spans="30:30" x14ac:dyDescent="0.3">
      <c r="AD12306" s="16"/>
    </row>
    <row r="12307" spans="30:30" x14ac:dyDescent="0.3">
      <c r="AD12307" s="16"/>
    </row>
    <row r="12308" spans="30:30" x14ac:dyDescent="0.3">
      <c r="AD12308" s="16"/>
    </row>
    <row r="12309" spans="30:30" x14ac:dyDescent="0.3">
      <c r="AD12309" s="16"/>
    </row>
    <row r="12310" spans="30:30" x14ac:dyDescent="0.3">
      <c r="AD12310" s="16"/>
    </row>
    <row r="12311" spans="30:30" x14ac:dyDescent="0.3">
      <c r="AD12311" s="16"/>
    </row>
    <row r="12312" spans="30:30" x14ac:dyDescent="0.3">
      <c r="AD12312" s="16"/>
    </row>
    <row r="12313" spans="30:30" x14ac:dyDescent="0.3">
      <c r="AD12313" s="16"/>
    </row>
    <row r="12314" spans="30:30" x14ac:dyDescent="0.3">
      <c r="AD12314" s="16"/>
    </row>
    <row r="12315" spans="30:30" x14ac:dyDescent="0.3">
      <c r="AD12315" s="16"/>
    </row>
    <row r="12316" spans="30:30" x14ac:dyDescent="0.3">
      <c r="AD12316" s="16"/>
    </row>
    <row r="12317" spans="30:30" x14ac:dyDescent="0.3">
      <c r="AD12317" s="16"/>
    </row>
    <row r="12318" spans="30:30" x14ac:dyDescent="0.3">
      <c r="AD12318" s="16"/>
    </row>
    <row r="12319" spans="30:30" x14ac:dyDescent="0.3">
      <c r="AD12319" s="16"/>
    </row>
    <row r="12320" spans="30:30" x14ac:dyDescent="0.3">
      <c r="AD12320" s="16"/>
    </row>
    <row r="12321" spans="30:30" x14ac:dyDescent="0.3">
      <c r="AD12321" s="16"/>
    </row>
    <row r="12322" spans="30:30" x14ac:dyDescent="0.3">
      <c r="AD12322" s="16"/>
    </row>
    <row r="12323" spans="30:30" x14ac:dyDescent="0.3">
      <c r="AD12323" s="16"/>
    </row>
    <row r="12324" spans="30:30" x14ac:dyDescent="0.3">
      <c r="AD12324" s="16"/>
    </row>
    <row r="12325" spans="30:30" x14ac:dyDescent="0.3">
      <c r="AD12325" s="16"/>
    </row>
    <row r="12326" spans="30:30" x14ac:dyDescent="0.3">
      <c r="AD12326" s="16"/>
    </row>
    <row r="12327" spans="30:30" x14ac:dyDescent="0.3">
      <c r="AD12327" s="16"/>
    </row>
    <row r="12328" spans="30:30" x14ac:dyDescent="0.3">
      <c r="AD12328" s="16"/>
    </row>
    <row r="12329" spans="30:30" x14ac:dyDescent="0.3">
      <c r="AD12329" s="16"/>
    </row>
    <row r="12330" spans="30:30" x14ac:dyDescent="0.3">
      <c r="AD12330" s="16"/>
    </row>
    <row r="12331" spans="30:30" x14ac:dyDescent="0.3">
      <c r="AD12331" s="16"/>
    </row>
    <row r="12332" spans="30:30" x14ac:dyDescent="0.3">
      <c r="AD12332" s="16"/>
    </row>
    <row r="12333" spans="30:30" x14ac:dyDescent="0.3">
      <c r="AD12333" s="16"/>
    </row>
    <row r="12334" spans="30:30" x14ac:dyDescent="0.3">
      <c r="AD12334" s="16"/>
    </row>
    <row r="12335" spans="30:30" x14ac:dyDescent="0.3">
      <c r="AD12335" s="16"/>
    </row>
    <row r="12336" spans="30:30" x14ac:dyDescent="0.3">
      <c r="AD12336" s="16"/>
    </row>
    <row r="12337" spans="30:30" x14ac:dyDescent="0.3">
      <c r="AD12337" s="16"/>
    </row>
    <row r="12338" spans="30:30" x14ac:dyDescent="0.3">
      <c r="AD12338" s="16"/>
    </row>
    <row r="12339" spans="30:30" x14ac:dyDescent="0.3">
      <c r="AD12339" s="16"/>
    </row>
    <row r="12340" spans="30:30" x14ac:dyDescent="0.3">
      <c r="AD12340" s="16"/>
    </row>
    <row r="12341" spans="30:30" x14ac:dyDescent="0.3">
      <c r="AD12341" s="16"/>
    </row>
    <row r="12342" spans="30:30" x14ac:dyDescent="0.3">
      <c r="AD12342" s="16"/>
    </row>
    <row r="12343" spans="30:30" x14ac:dyDescent="0.3">
      <c r="AD12343" s="16"/>
    </row>
    <row r="12344" spans="30:30" x14ac:dyDescent="0.3">
      <c r="AD12344" s="16"/>
    </row>
    <row r="12345" spans="30:30" x14ac:dyDescent="0.3">
      <c r="AD12345" s="16"/>
    </row>
    <row r="12346" spans="30:30" x14ac:dyDescent="0.3">
      <c r="AD12346" s="16"/>
    </row>
    <row r="12347" spans="30:30" x14ac:dyDescent="0.3">
      <c r="AD12347" s="16"/>
    </row>
    <row r="12348" spans="30:30" x14ac:dyDescent="0.3">
      <c r="AD12348" s="16"/>
    </row>
    <row r="12349" spans="30:30" x14ac:dyDescent="0.3">
      <c r="AD12349" s="16"/>
    </row>
    <row r="12350" spans="30:30" x14ac:dyDescent="0.3">
      <c r="AD12350" s="16"/>
    </row>
    <row r="12351" spans="30:30" x14ac:dyDescent="0.3">
      <c r="AD12351" s="16"/>
    </row>
    <row r="12352" spans="30:30" x14ac:dyDescent="0.3">
      <c r="AD12352" s="16"/>
    </row>
    <row r="12353" spans="30:30" x14ac:dyDescent="0.3">
      <c r="AD12353" s="16"/>
    </row>
    <row r="12354" spans="30:30" x14ac:dyDescent="0.3">
      <c r="AD12354" s="16"/>
    </row>
    <row r="12355" spans="30:30" x14ac:dyDescent="0.3">
      <c r="AD12355" s="16"/>
    </row>
    <row r="12356" spans="30:30" x14ac:dyDescent="0.3">
      <c r="AD12356" s="16"/>
    </row>
    <row r="12357" spans="30:30" x14ac:dyDescent="0.3">
      <c r="AD12357" s="16"/>
    </row>
    <row r="12358" spans="30:30" x14ac:dyDescent="0.3">
      <c r="AD12358" s="16"/>
    </row>
    <row r="12359" spans="30:30" x14ac:dyDescent="0.3">
      <c r="AD12359" s="16"/>
    </row>
    <row r="12360" spans="30:30" x14ac:dyDescent="0.3">
      <c r="AD12360" s="16"/>
    </row>
    <row r="12361" spans="30:30" x14ac:dyDescent="0.3">
      <c r="AD12361" s="16"/>
    </row>
    <row r="12362" spans="30:30" x14ac:dyDescent="0.3">
      <c r="AD12362" s="16"/>
    </row>
    <row r="12363" spans="30:30" x14ac:dyDescent="0.3">
      <c r="AD12363" s="16"/>
    </row>
    <row r="12364" spans="30:30" x14ac:dyDescent="0.3">
      <c r="AD12364" s="16"/>
    </row>
    <row r="12365" spans="30:30" x14ac:dyDescent="0.3">
      <c r="AD12365" s="16"/>
    </row>
    <row r="12366" spans="30:30" x14ac:dyDescent="0.3">
      <c r="AD12366" s="16"/>
    </row>
    <row r="12367" spans="30:30" x14ac:dyDescent="0.3">
      <c r="AD12367" s="16"/>
    </row>
    <row r="12368" spans="30:30" x14ac:dyDescent="0.3">
      <c r="AD12368" s="16"/>
    </row>
    <row r="12369" spans="30:30" x14ac:dyDescent="0.3">
      <c r="AD12369" s="16"/>
    </row>
    <row r="12370" spans="30:30" x14ac:dyDescent="0.3">
      <c r="AD12370" s="16"/>
    </row>
    <row r="12371" spans="30:30" x14ac:dyDescent="0.3">
      <c r="AD12371" s="16"/>
    </row>
    <row r="12372" spans="30:30" x14ac:dyDescent="0.3">
      <c r="AD12372" s="16"/>
    </row>
    <row r="12373" spans="30:30" x14ac:dyDescent="0.3">
      <c r="AD12373" s="16"/>
    </row>
    <row r="12374" spans="30:30" x14ac:dyDescent="0.3">
      <c r="AD12374" s="16"/>
    </row>
    <row r="12375" spans="30:30" x14ac:dyDescent="0.3">
      <c r="AD12375" s="16"/>
    </row>
    <row r="12376" spans="30:30" x14ac:dyDescent="0.3">
      <c r="AD12376" s="16"/>
    </row>
    <row r="12377" spans="30:30" x14ac:dyDescent="0.3">
      <c r="AD12377" s="16"/>
    </row>
    <row r="12378" spans="30:30" x14ac:dyDescent="0.3">
      <c r="AD12378" s="16"/>
    </row>
    <row r="12379" spans="30:30" x14ac:dyDescent="0.3">
      <c r="AD12379" s="16"/>
    </row>
    <row r="12380" spans="30:30" x14ac:dyDescent="0.3">
      <c r="AD12380" s="16"/>
    </row>
    <row r="12381" spans="30:30" x14ac:dyDescent="0.3">
      <c r="AD12381" s="16"/>
    </row>
    <row r="12382" spans="30:30" x14ac:dyDescent="0.3">
      <c r="AD12382" s="16"/>
    </row>
    <row r="12383" spans="30:30" x14ac:dyDescent="0.3">
      <c r="AD12383" s="16"/>
    </row>
    <row r="12384" spans="30:30" x14ac:dyDescent="0.3">
      <c r="AD12384" s="16"/>
    </row>
    <row r="12385" spans="30:30" x14ac:dyDescent="0.3">
      <c r="AD12385" s="16"/>
    </row>
    <row r="12386" spans="30:30" x14ac:dyDescent="0.3">
      <c r="AD12386" s="16"/>
    </row>
    <row r="12387" spans="30:30" x14ac:dyDescent="0.3">
      <c r="AD12387" s="16"/>
    </row>
    <row r="12388" spans="30:30" x14ac:dyDescent="0.3">
      <c r="AD12388" s="16"/>
    </row>
    <row r="12389" spans="30:30" x14ac:dyDescent="0.3">
      <c r="AD12389" s="16"/>
    </row>
    <row r="12390" spans="30:30" x14ac:dyDescent="0.3">
      <c r="AD12390" s="16"/>
    </row>
    <row r="12391" spans="30:30" x14ac:dyDescent="0.3">
      <c r="AD12391" s="16"/>
    </row>
    <row r="12392" spans="30:30" x14ac:dyDescent="0.3">
      <c r="AD12392" s="16"/>
    </row>
    <row r="12393" spans="30:30" x14ac:dyDescent="0.3">
      <c r="AD12393" s="16"/>
    </row>
    <row r="12394" spans="30:30" x14ac:dyDescent="0.3">
      <c r="AD12394" s="16"/>
    </row>
    <row r="12395" spans="30:30" x14ac:dyDescent="0.3">
      <c r="AD12395" s="16"/>
    </row>
    <row r="12396" spans="30:30" x14ac:dyDescent="0.3">
      <c r="AD12396" s="16"/>
    </row>
    <row r="12397" spans="30:30" x14ac:dyDescent="0.3">
      <c r="AD12397" s="16"/>
    </row>
    <row r="12398" spans="30:30" x14ac:dyDescent="0.3">
      <c r="AD12398" s="16"/>
    </row>
    <row r="12399" spans="30:30" x14ac:dyDescent="0.3">
      <c r="AD12399" s="16"/>
    </row>
    <row r="12400" spans="30:30" x14ac:dyDescent="0.3">
      <c r="AD12400" s="16"/>
    </row>
    <row r="12401" spans="30:30" x14ac:dyDescent="0.3">
      <c r="AD12401" s="16"/>
    </row>
    <row r="12402" spans="30:30" x14ac:dyDescent="0.3">
      <c r="AD12402" s="16"/>
    </row>
    <row r="12403" spans="30:30" x14ac:dyDescent="0.3">
      <c r="AD12403" s="16"/>
    </row>
    <row r="12404" spans="30:30" x14ac:dyDescent="0.3">
      <c r="AD12404" s="16"/>
    </row>
    <row r="12405" spans="30:30" x14ac:dyDescent="0.3">
      <c r="AD12405" s="16"/>
    </row>
    <row r="12406" spans="30:30" x14ac:dyDescent="0.3">
      <c r="AD12406" s="16"/>
    </row>
    <row r="12407" spans="30:30" x14ac:dyDescent="0.3">
      <c r="AD12407" s="16"/>
    </row>
    <row r="12408" spans="30:30" x14ac:dyDescent="0.3">
      <c r="AD12408" s="16"/>
    </row>
    <row r="12409" spans="30:30" x14ac:dyDescent="0.3">
      <c r="AD12409" s="16"/>
    </row>
    <row r="12410" spans="30:30" x14ac:dyDescent="0.3">
      <c r="AD12410" s="16"/>
    </row>
    <row r="12411" spans="30:30" x14ac:dyDescent="0.3">
      <c r="AD12411" s="16"/>
    </row>
    <row r="12412" spans="30:30" x14ac:dyDescent="0.3">
      <c r="AD12412" s="16"/>
    </row>
    <row r="12413" spans="30:30" x14ac:dyDescent="0.3">
      <c r="AD12413" s="16"/>
    </row>
    <row r="12414" spans="30:30" x14ac:dyDescent="0.3">
      <c r="AD12414" s="16"/>
    </row>
    <row r="12415" spans="30:30" x14ac:dyDescent="0.3">
      <c r="AD12415" s="16"/>
    </row>
    <row r="12416" spans="30:30" x14ac:dyDescent="0.3">
      <c r="AD12416" s="16"/>
    </row>
    <row r="12417" spans="30:30" x14ac:dyDescent="0.3">
      <c r="AD12417" s="16"/>
    </row>
    <row r="12418" spans="30:30" x14ac:dyDescent="0.3">
      <c r="AD12418" s="16"/>
    </row>
    <row r="12419" spans="30:30" x14ac:dyDescent="0.3">
      <c r="AD12419" s="16"/>
    </row>
    <row r="12420" spans="30:30" x14ac:dyDescent="0.3">
      <c r="AD12420" s="16"/>
    </row>
    <row r="12421" spans="30:30" x14ac:dyDescent="0.3">
      <c r="AD12421" s="16"/>
    </row>
    <row r="12422" spans="30:30" x14ac:dyDescent="0.3">
      <c r="AD12422" s="16"/>
    </row>
    <row r="12423" spans="30:30" x14ac:dyDescent="0.3">
      <c r="AD12423" s="16"/>
    </row>
    <row r="12424" spans="30:30" x14ac:dyDescent="0.3">
      <c r="AD12424" s="16"/>
    </row>
    <row r="12425" spans="30:30" x14ac:dyDescent="0.3">
      <c r="AD12425" s="16"/>
    </row>
    <row r="12426" spans="30:30" x14ac:dyDescent="0.3">
      <c r="AD12426" s="16"/>
    </row>
    <row r="12427" spans="30:30" x14ac:dyDescent="0.3">
      <c r="AD12427" s="16"/>
    </row>
    <row r="12428" spans="30:30" x14ac:dyDescent="0.3">
      <c r="AD12428" s="16"/>
    </row>
    <row r="12429" spans="30:30" x14ac:dyDescent="0.3">
      <c r="AD12429" s="16"/>
    </row>
    <row r="12430" spans="30:30" x14ac:dyDescent="0.3">
      <c r="AD12430" s="16"/>
    </row>
    <row r="12431" spans="30:30" x14ac:dyDescent="0.3">
      <c r="AD12431" s="16"/>
    </row>
    <row r="12432" spans="30:30" x14ac:dyDescent="0.3">
      <c r="AD12432" s="16"/>
    </row>
    <row r="12433" spans="30:30" x14ac:dyDescent="0.3">
      <c r="AD12433" s="16"/>
    </row>
    <row r="12434" spans="30:30" x14ac:dyDescent="0.3">
      <c r="AD12434" s="16"/>
    </row>
    <row r="12435" spans="30:30" x14ac:dyDescent="0.3">
      <c r="AD12435" s="16"/>
    </row>
    <row r="12436" spans="30:30" x14ac:dyDescent="0.3">
      <c r="AD12436" s="16"/>
    </row>
    <row r="12437" spans="30:30" x14ac:dyDescent="0.3">
      <c r="AD12437" s="16"/>
    </row>
    <row r="12438" spans="30:30" x14ac:dyDescent="0.3">
      <c r="AD12438" s="16"/>
    </row>
    <row r="12439" spans="30:30" x14ac:dyDescent="0.3">
      <c r="AD12439" s="16"/>
    </row>
    <row r="12440" spans="30:30" x14ac:dyDescent="0.3">
      <c r="AD12440" s="16"/>
    </row>
    <row r="12441" spans="30:30" x14ac:dyDescent="0.3">
      <c r="AD12441" s="16"/>
    </row>
    <row r="12442" spans="30:30" x14ac:dyDescent="0.3">
      <c r="AD12442" s="16"/>
    </row>
    <row r="12443" spans="30:30" x14ac:dyDescent="0.3">
      <c r="AD12443" s="16"/>
    </row>
    <row r="12444" spans="30:30" x14ac:dyDescent="0.3">
      <c r="AD12444" s="16"/>
    </row>
    <row r="12445" spans="30:30" x14ac:dyDescent="0.3">
      <c r="AD12445" s="16"/>
    </row>
    <row r="12446" spans="30:30" x14ac:dyDescent="0.3">
      <c r="AD12446" s="16"/>
    </row>
    <row r="12447" spans="30:30" x14ac:dyDescent="0.3">
      <c r="AD12447" s="16"/>
    </row>
    <row r="12448" spans="30:30" x14ac:dyDescent="0.3">
      <c r="AD12448" s="16"/>
    </row>
    <row r="12449" spans="30:30" x14ac:dyDescent="0.3">
      <c r="AD12449" s="16"/>
    </row>
    <row r="12450" spans="30:30" x14ac:dyDescent="0.3">
      <c r="AD12450" s="16"/>
    </row>
    <row r="12451" spans="30:30" x14ac:dyDescent="0.3">
      <c r="AD12451" s="16"/>
    </row>
    <row r="12452" spans="30:30" x14ac:dyDescent="0.3">
      <c r="AD12452" s="16"/>
    </row>
    <row r="12453" spans="30:30" x14ac:dyDescent="0.3">
      <c r="AD12453" s="16"/>
    </row>
    <row r="12454" spans="30:30" x14ac:dyDescent="0.3">
      <c r="AD12454" s="16"/>
    </row>
    <row r="12455" spans="30:30" x14ac:dyDescent="0.3">
      <c r="AD12455" s="16"/>
    </row>
    <row r="12456" spans="30:30" x14ac:dyDescent="0.3">
      <c r="AD12456" s="16"/>
    </row>
    <row r="12457" spans="30:30" x14ac:dyDescent="0.3">
      <c r="AD12457" s="16"/>
    </row>
    <row r="12458" spans="30:30" x14ac:dyDescent="0.3">
      <c r="AD12458" s="16"/>
    </row>
    <row r="12459" spans="30:30" x14ac:dyDescent="0.3">
      <c r="AD12459" s="16"/>
    </row>
    <row r="12460" spans="30:30" x14ac:dyDescent="0.3">
      <c r="AD12460" s="16"/>
    </row>
    <row r="12461" spans="30:30" x14ac:dyDescent="0.3">
      <c r="AD12461" s="16"/>
    </row>
    <row r="12462" spans="30:30" x14ac:dyDescent="0.3">
      <c r="AD12462" s="16"/>
    </row>
    <row r="12463" spans="30:30" x14ac:dyDescent="0.3">
      <c r="AD12463" s="16"/>
    </row>
    <row r="12464" spans="30:30" x14ac:dyDescent="0.3">
      <c r="AD12464" s="16"/>
    </row>
    <row r="12465" spans="30:30" x14ac:dyDescent="0.3">
      <c r="AD12465" s="16"/>
    </row>
    <row r="12466" spans="30:30" x14ac:dyDescent="0.3">
      <c r="AD12466" s="16"/>
    </row>
    <row r="12467" spans="30:30" x14ac:dyDescent="0.3">
      <c r="AD12467" s="16"/>
    </row>
    <row r="12468" spans="30:30" x14ac:dyDescent="0.3">
      <c r="AD12468" s="16"/>
    </row>
    <row r="12469" spans="30:30" x14ac:dyDescent="0.3">
      <c r="AD12469" s="16"/>
    </row>
    <row r="12470" spans="30:30" x14ac:dyDescent="0.3">
      <c r="AD12470" s="16"/>
    </row>
    <row r="12471" spans="30:30" x14ac:dyDescent="0.3">
      <c r="AD12471" s="16"/>
    </row>
    <row r="12472" spans="30:30" x14ac:dyDescent="0.3">
      <c r="AD12472" s="16"/>
    </row>
    <row r="12473" spans="30:30" x14ac:dyDescent="0.3">
      <c r="AD12473" s="16"/>
    </row>
    <row r="12474" spans="30:30" x14ac:dyDescent="0.3">
      <c r="AD12474" s="16"/>
    </row>
    <row r="12475" spans="30:30" x14ac:dyDescent="0.3">
      <c r="AD12475" s="16"/>
    </row>
    <row r="12476" spans="30:30" x14ac:dyDescent="0.3">
      <c r="AD12476" s="16"/>
    </row>
    <row r="12477" spans="30:30" x14ac:dyDescent="0.3">
      <c r="AD12477" s="16"/>
    </row>
    <row r="12478" spans="30:30" x14ac:dyDescent="0.3">
      <c r="AD12478" s="16"/>
    </row>
    <row r="12479" spans="30:30" x14ac:dyDescent="0.3">
      <c r="AD12479" s="16"/>
    </row>
    <row r="12480" spans="30:30" x14ac:dyDescent="0.3">
      <c r="AD12480" s="16"/>
    </row>
    <row r="12481" spans="30:30" x14ac:dyDescent="0.3">
      <c r="AD12481" s="16"/>
    </row>
    <row r="12482" spans="30:30" x14ac:dyDescent="0.3">
      <c r="AD12482" s="16"/>
    </row>
    <row r="12483" spans="30:30" x14ac:dyDescent="0.3">
      <c r="AD12483" s="16"/>
    </row>
    <row r="12484" spans="30:30" x14ac:dyDescent="0.3">
      <c r="AD12484" s="16"/>
    </row>
    <row r="12485" spans="30:30" x14ac:dyDescent="0.3">
      <c r="AD12485" s="16"/>
    </row>
    <row r="12486" spans="30:30" x14ac:dyDescent="0.3">
      <c r="AD12486" s="16"/>
    </row>
    <row r="12487" spans="30:30" x14ac:dyDescent="0.3">
      <c r="AD12487" s="16"/>
    </row>
    <row r="12488" spans="30:30" x14ac:dyDescent="0.3">
      <c r="AD12488" s="16"/>
    </row>
    <row r="12489" spans="30:30" x14ac:dyDescent="0.3">
      <c r="AD12489" s="16"/>
    </row>
    <row r="12490" spans="30:30" x14ac:dyDescent="0.3">
      <c r="AD12490" s="16"/>
    </row>
    <row r="12491" spans="30:30" x14ac:dyDescent="0.3">
      <c r="AD12491" s="16"/>
    </row>
    <row r="12492" spans="30:30" x14ac:dyDescent="0.3">
      <c r="AD12492" s="16"/>
    </row>
    <row r="12493" spans="30:30" x14ac:dyDescent="0.3">
      <c r="AD12493" s="16"/>
    </row>
    <row r="12494" spans="30:30" x14ac:dyDescent="0.3">
      <c r="AD12494" s="16"/>
    </row>
    <row r="12495" spans="30:30" x14ac:dyDescent="0.3">
      <c r="AD12495" s="16"/>
    </row>
    <row r="12496" spans="30:30" x14ac:dyDescent="0.3">
      <c r="AD12496" s="16"/>
    </row>
    <row r="12497" spans="30:30" x14ac:dyDescent="0.3">
      <c r="AD12497" s="16"/>
    </row>
    <row r="12498" spans="30:30" x14ac:dyDescent="0.3">
      <c r="AD12498" s="16"/>
    </row>
    <row r="12499" spans="30:30" x14ac:dyDescent="0.3">
      <c r="AD12499" s="16"/>
    </row>
    <row r="12500" spans="30:30" x14ac:dyDescent="0.3">
      <c r="AD12500" s="16"/>
    </row>
    <row r="12501" spans="30:30" x14ac:dyDescent="0.3">
      <c r="AD12501" s="16"/>
    </row>
    <row r="12502" spans="30:30" x14ac:dyDescent="0.3">
      <c r="AD12502" s="16"/>
    </row>
    <row r="12503" spans="30:30" x14ac:dyDescent="0.3">
      <c r="AD12503" s="16"/>
    </row>
    <row r="12504" spans="30:30" x14ac:dyDescent="0.3">
      <c r="AD12504" s="16"/>
    </row>
    <row r="12505" spans="30:30" x14ac:dyDescent="0.3">
      <c r="AD12505" s="16"/>
    </row>
    <row r="12506" spans="30:30" x14ac:dyDescent="0.3">
      <c r="AD12506" s="16"/>
    </row>
    <row r="12507" spans="30:30" x14ac:dyDescent="0.3">
      <c r="AD12507" s="16"/>
    </row>
    <row r="12508" spans="30:30" x14ac:dyDescent="0.3">
      <c r="AD12508" s="16"/>
    </row>
    <row r="12509" spans="30:30" x14ac:dyDescent="0.3">
      <c r="AD12509" s="16"/>
    </row>
    <row r="12510" spans="30:30" x14ac:dyDescent="0.3">
      <c r="AD12510" s="16"/>
    </row>
    <row r="12511" spans="30:30" x14ac:dyDescent="0.3">
      <c r="AD12511" s="16"/>
    </row>
    <row r="12512" spans="30:30" x14ac:dyDescent="0.3">
      <c r="AD12512" s="16"/>
    </row>
    <row r="12513" spans="30:30" x14ac:dyDescent="0.3">
      <c r="AD12513" s="16"/>
    </row>
    <row r="12514" spans="30:30" x14ac:dyDescent="0.3">
      <c r="AD12514" s="16"/>
    </row>
    <row r="12515" spans="30:30" x14ac:dyDescent="0.3">
      <c r="AD12515" s="16"/>
    </row>
    <row r="12516" spans="30:30" x14ac:dyDescent="0.3">
      <c r="AD12516" s="16"/>
    </row>
    <row r="12517" spans="30:30" x14ac:dyDescent="0.3">
      <c r="AD12517" s="16"/>
    </row>
    <row r="12518" spans="30:30" x14ac:dyDescent="0.3">
      <c r="AD12518" s="16"/>
    </row>
    <row r="12519" spans="30:30" x14ac:dyDescent="0.3">
      <c r="AD12519" s="16"/>
    </row>
    <row r="12520" spans="30:30" x14ac:dyDescent="0.3">
      <c r="AD12520" s="16"/>
    </row>
    <row r="12521" spans="30:30" x14ac:dyDescent="0.3">
      <c r="AD12521" s="16"/>
    </row>
    <row r="12522" spans="30:30" x14ac:dyDescent="0.3">
      <c r="AD12522" s="16"/>
    </row>
    <row r="12523" spans="30:30" x14ac:dyDescent="0.3">
      <c r="AD12523" s="16"/>
    </row>
    <row r="12524" spans="30:30" x14ac:dyDescent="0.3">
      <c r="AD12524" s="16"/>
    </row>
    <row r="12525" spans="30:30" x14ac:dyDescent="0.3">
      <c r="AD12525" s="16"/>
    </row>
    <row r="12526" spans="30:30" x14ac:dyDescent="0.3">
      <c r="AD12526" s="16"/>
    </row>
    <row r="12527" spans="30:30" x14ac:dyDescent="0.3">
      <c r="AD12527" s="16"/>
    </row>
    <row r="12528" spans="30:30" x14ac:dyDescent="0.3">
      <c r="AD12528" s="16"/>
    </row>
    <row r="12529" spans="30:30" x14ac:dyDescent="0.3">
      <c r="AD12529" s="16"/>
    </row>
    <row r="12530" spans="30:30" x14ac:dyDescent="0.3">
      <c r="AD12530" s="16"/>
    </row>
    <row r="12531" spans="30:30" x14ac:dyDescent="0.3">
      <c r="AD12531" s="16"/>
    </row>
    <row r="12532" spans="30:30" x14ac:dyDescent="0.3">
      <c r="AD12532" s="16"/>
    </row>
    <row r="12533" spans="30:30" x14ac:dyDescent="0.3">
      <c r="AD12533" s="16"/>
    </row>
    <row r="12534" spans="30:30" x14ac:dyDescent="0.3">
      <c r="AD12534" s="16"/>
    </row>
    <row r="12535" spans="30:30" x14ac:dyDescent="0.3">
      <c r="AD12535" s="16"/>
    </row>
    <row r="12536" spans="30:30" x14ac:dyDescent="0.3">
      <c r="AD12536" s="16"/>
    </row>
    <row r="12537" spans="30:30" x14ac:dyDescent="0.3">
      <c r="AD12537" s="16"/>
    </row>
    <row r="12538" spans="30:30" x14ac:dyDescent="0.3">
      <c r="AD12538" s="16"/>
    </row>
    <row r="12539" spans="30:30" x14ac:dyDescent="0.3">
      <c r="AD12539" s="16"/>
    </row>
    <row r="12540" spans="30:30" x14ac:dyDescent="0.3">
      <c r="AD12540" s="16"/>
    </row>
    <row r="12541" spans="30:30" x14ac:dyDescent="0.3">
      <c r="AD12541" s="16"/>
    </row>
    <row r="12542" spans="30:30" x14ac:dyDescent="0.3">
      <c r="AD12542" s="16"/>
    </row>
    <row r="12543" spans="30:30" x14ac:dyDescent="0.3">
      <c r="AD12543" s="16"/>
    </row>
    <row r="12544" spans="30:30" x14ac:dyDescent="0.3">
      <c r="AD12544" s="16"/>
    </row>
    <row r="12545" spans="30:30" x14ac:dyDescent="0.3">
      <c r="AD12545" s="16"/>
    </row>
    <row r="12546" spans="30:30" x14ac:dyDescent="0.3">
      <c r="AD12546" s="16"/>
    </row>
    <row r="12547" spans="30:30" x14ac:dyDescent="0.3">
      <c r="AD12547" s="16"/>
    </row>
    <row r="12548" spans="30:30" x14ac:dyDescent="0.3">
      <c r="AD12548" s="16"/>
    </row>
    <row r="12549" spans="30:30" x14ac:dyDescent="0.3">
      <c r="AD12549" s="16"/>
    </row>
    <row r="12550" spans="30:30" x14ac:dyDescent="0.3">
      <c r="AD12550" s="16"/>
    </row>
    <row r="12551" spans="30:30" x14ac:dyDescent="0.3">
      <c r="AD12551" s="16"/>
    </row>
    <row r="12552" spans="30:30" x14ac:dyDescent="0.3">
      <c r="AD12552" s="16"/>
    </row>
    <row r="12553" spans="30:30" x14ac:dyDescent="0.3">
      <c r="AD12553" s="16"/>
    </row>
    <row r="12554" spans="30:30" x14ac:dyDescent="0.3">
      <c r="AD12554" s="16"/>
    </row>
    <row r="12555" spans="30:30" x14ac:dyDescent="0.3">
      <c r="AD12555" s="16"/>
    </row>
    <row r="12556" spans="30:30" x14ac:dyDescent="0.3">
      <c r="AD12556" s="16"/>
    </row>
    <row r="12557" spans="30:30" x14ac:dyDescent="0.3">
      <c r="AD12557" s="16"/>
    </row>
    <row r="12558" spans="30:30" x14ac:dyDescent="0.3">
      <c r="AD12558" s="16"/>
    </row>
    <row r="12559" spans="30:30" x14ac:dyDescent="0.3">
      <c r="AD12559" s="16"/>
    </row>
    <row r="12560" spans="30:30" x14ac:dyDescent="0.3">
      <c r="AD12560" s="16"/>
    </row>
    <row r="12561" spans="30:30" x14ac:dyDescent="0.3">
      <c r="AD12561" s="16"/>
    </row>
    <row r="12562" spans="30:30" x14ac:dyDescent="0.3">
      <c r="AD12562" s="16"/>
    </row>
    <row r="12563" spans="30:30" x14ac:dyDescent="0.3">
      <c r="AD12563" s="16"/>
    </row>
    <row r="12564" spans="30:30" x14ac:dyDescent="0.3">
      <c r="AD12564" s="16"/>
    </row>
    <row r="12565" spans="30:30" x14ac:dyDescent="0.3">
      <c r="AD12565" s="16"/>
    </row>
    <row r="12566" spans="30:30" x14ac:dyDescent="0.3">
      <c r="AD12566" s="16"/>
    </row>
    <row r="12567" spans="30:30" x14ac:dyDescent="0.3">
      <c r="AD12567" s="16"/>
    </row>
    <row r="12568" spans="30:30" x14ac:dyDescent="0.3">
      <c r="AD12568" s="16"/>
    </row>
    <row r="12569" spans="30:30" x14ac:dyDescent="0.3">
      <c r="AD12569" s="16"/>
    </row>
    <row r="12570" spans="30:30" x14ac:dyDescent="0.3">
      <c r="AD12570" s="16"/>
    </row>
    <row r="12571" spans="30:30" x14ac:dyDescent="0.3">
      <c r="AD12571" s="16"/>
    </row>
    <row r="12572" spans="30:30" x14ac:dyDescent="0.3">
      <c r="AD12572" s="16"/>
    </row>
    <row r="12573" spans="30:30" x14ac:dyDescent="0.3">
      <c r="AD12573" s="16"/>
    </row>
    <row r="12574" spans="30:30" x14ac:dyDescent="0.3">
      <c r="AD12574" s="16"/>
    </row>
    <row r="12575" spans="30:30" x14ac:dyDescent="0.3">
      <c r="AD12575" s="16"/>
    </row>
    <row r="12576" spans="30:30" x14ac:dyDescent="0.3">
      <c r="AD12576" s="16"/>
    </row>
    <row r="12577" spans="30:30" x14ac:dyDescent="0.3">
      <c r="AD12577" s="16"/>
    </row>
    <row r="12578" spans="30:30" x14ac:dyDescent="0.3">
      <c r="AD12578" s="16"/>
    </row>
    <row r="12579" spans="30:30" x14ac:dyDescent="0.3">
      <c r="AD12579" s="16"/>
    </row>
    <row r="12580" spans="30:30" x14ac:dyDescent="0.3">
      <c r="AD12580" s="16"/>
    </row>
    <row r="12581" spans="30:30" x14ac:dyDescent="0.3">
      <c r="AD12581" s="16"/>
    </row>
    <row r="12582" spans="30:30" x14ac:dyDescent="0.3">
      <c r="AD12582" s="16"/>
    </row>
    <row r="12583" spans="30:30" x14ac:dyDescent="0.3">
      <c r="AD12583" s="16"/>
    </row>
    <row r="12584" spans="30:30" x14ac:dyDescent="0.3">
      <c r="AD12584" s="16"/>
    </row>
    <row r="12585" spans="30:30" x14ac:dyDescent="0.3">
      <c r="AD12585" s="16"/>
    </row>
    <row r="12586" spans="30:30" x14ac:dyDescent="0.3">
      <c r="AD12586" s="16"/>
    </row>
    <row r="12587" spans="30:30" x14ac:dyDescent="0.3">
      <c r="AD12587" s="16"/>
    </row>
    <row r="12588" spans="30:30" x14ac:dyDescent="0.3">
      <c r="AD12588" s="16"/>
    </row>
    <row r="12589" spans="30:30" x14ac:dyDescent="0.3">
      <c r="AD12589" s="16"/>
    </row>
    <row r="12590" spans="30:30" x14ac:dyDescent="0.3">
      <c r="AD12590" s="16"/>
    </row>
    <row r="12591" spans="30:30" x14ac:dyDescent="0.3">
      <c r="AD12591" s="16"/>
    </row>
    <row r="12592" spans="30:30" x14ac:dyDescent="0.3">
      <c r="AD12592" s="16"/>
    </row>
    <row r="12593" spans="30:30" x14ac:dyDescent="0.3">
      <c r="AD12593" s="16"/>
    </row>
    <row r="12594" spans="30:30" x14ac:dyDescent="0.3">
      <c r="AD12594" s="16"/>
    </row>
    <row r="12595" spans="30:30" x14ac:dyDescent="0.3">
      <c r="AD12595" s="16"/>
    </row>
    <row r="12596" spans="30:30" x14ac:dyDescent="0.3">
      <c r="AD12596" s="16"/>
    </row>
    <row r="12597" spans="30:30" x14ac:dyDescent="0.3">
      <c r="AD12597" s="16"/>
    </row>
    <row r="12598" spans="30:30" x14ac:dyDescent="0.3">
      <c r="AD12598" s="16"/>
    </row>
    <row r="12599" spans="30:30" x14ac:dyDescent="0.3">
      <c r="AD12599" s="16"/>
    </row>
    <row r="12600" spans="30:30" x14ac:dyDescent="0.3">
      <c r="AD12600" s="16"/>
    </row>
    <row r="12601" spans="30:30" x14ac:dyDescent="0.3">
      <c r="AD12601" s="16"/>
    </row>
    <row r="12602" spans="30:30" x14ac:dyDescent="0.3">
      <c r="AD12602" s="16"/>
    </row>
    <row r="12603" spans="30:30" x14ac:dyDescent="0.3">
      <c r="AD12603" s="16"/>
    </row>
    <row r="12604" spans="30:30" x14ac:dyDescent="0.3">
      <c r="AD12604" s="16"/>
    </row>
    <row r="12605" spans="30:30" x14ac:dyDescent="0.3">
      <c r="AD12605" s="16"/>
    </row>
    <row r="12606" spans="30:30" x14ac:dyDescent="0.3">
      <c r="AD12606" s="16"/>
    </row>
    <row r="12607" spans="30:30" x14ac:dyDescent="0.3">
      <c r="AD12607" s="16"/>
    </row>
    <row r="12608" spans="30:30" x14ac:dyDescent="0.3">
      <c r="AD12608" s="16"/>
    </row>
    <row r="12609" spans="30:30" x14ac:dyDescent="0.3">
      <c r="AD12609" s="16"/>
    </row>
    <row r="12610" spans="30:30" x14ac:dyDescent="0.3">
      <c r="AD12610" s="16"/>
    </row>
    <row r="12611" spans="30:30" x14ac:dyDescent="0.3">
      <c r="AD12611" s="16"/>
    </row>
    <row r="12612" spans="30:30" x14ac:dyDescent="0.3">
      <c r="AD12612" s="16"/>
    </row>
    <row r="12613" spans="30:30" x14ac:dyDescent="0.3">
      <c r="AD12613" s="16"/>
    </row>
    <row r="12614" spans="30:30" x14ac:dyDescent="0.3">
      <c r="AD12614" s="16"/>
    </row>
    <row r="12615" spans="30:30" x14ac:dyDescent="0.3">
      <c r="AD12615" s="16"/>
    </row>
    <row r="12616" spans="30:30" x14ac:dyDescent="0.3">
      <c r="AD12616" s="16"/>
    </row>
    <row r="12617" spans="30:30" x14ac:dyDescent="0.3">
      <c r="AD12617" s="16"/>
    </row>
    <row r="12618" spans="30:30" x14ac:dyDescent="0.3">
      <c r="AD12618" s="16"/>
    </row>
    <row r="12619" spans="30:30" x14ac:dyDescent="0.3">
      <c r="AD12619" s="16"/>
    </row>
    <row r="12620" spans="30:30" x14ac:dyDescent="0.3">
      <c r="AD12620" s="16"/>
    </row>
    <row r="12621" spans="30:30" x14ac:dyDescent="0.3">
      <c r="AD12621" s="16"/>
    </row>
    <row r="12622" spans="30:30" x14ac:dyDescent="0.3">
      <c r="AD12622" s="16"/>
    </row>
    <row r="12623" spans="30:30" x14ac:dyDescent="0.3">
      <c r="AD12623" s="16"/>
    </row>
    <row r="12624" spans="30:30" x14ac:dyDescent="0.3">
      <c r="AD12624" s="16"/>
    </row>
    <row r="12625" spans="30:30" x14ac:dyDescent="0.3">
      <c r="AD12625" s="16"/>
    </row>
    <row r="12626" spans="30:30" x14ac:dyDescent="0.3">
      <c r="AD12626" s="16"/>
    </row>
    <row r="12627" spans="30:30" x14ac:dyDescent="0.3">
      <c r="AD12627" s="16"/>
    </row>
    <row r="12628" spans="30:30" x14ac:dyDescent="0.3">
      <c r="AD12628" s="16"/>
    </row>
    <row r="12629" spans="30:30" x14ac:dyDescent="0.3">
      <c r="AD12629" s="16"/>
    </row>
    <row r="12630" spans="30:30" x14ac:dyDescent="0.3">
      <c r="AD12630" s="16"/>
    </row>
    <row r="12631" spans="30:30" x14ac:dyDescent="0.3">
      <c r="AD12631" s="16"/>
    </row>
    <row r="12632" spans="30:30" x14ac:dyDescent="0.3">
      <c r="AD12632" s="16"/>
    </row>
    <row r="12633" spans="30:30" x14ac:dyDescent="0.3">
      <c r="AD12633" s="16"/>
    </row>
    <row r="12634" spans="30:30" x14ac:dyDescent="0.3">
      <c r="AD12634" s="16"/>
    </row>
    <row r="12635" spans="30:30" x14ac:dyDescent="0.3">
      <c r="AD12635" s="16"/>
    </row>
    <row r="12636" spans="30:30" x14ac:dyDescent="0.3">
      <c r="AD12636" s="16"/>
    </row>
    <row r="12637" spans="30:30" x14ac:dyDescent="0.3">
      <c r="AD12637" s="16"/>
    </row>
    <row r="12638" spans="30:30" x14ac:dyDescent="0.3">
      <c r="AD12638" s="16"/>
    </row>
    <row r="12639" spans="30:30" x14ac:dyDescent="0.3">
      <c r="AD12639" s="16"/>
    </row>
    <row r="12640" spans="30:30" x14ac:dyDescent="0.3">
      <c r="AD12640" s="16"/>
    </row>
    <row r="12641" spans="30:30" x14ac:dyDescent="0.3">
      <c r="AD12641" s="16"/>
    </row>
    <row r="12642" spans="30:30" x14ac:dyDescent="0.3">
      <c r="AD12642" s="16"/>
    </row>
    <row r="12643" spans="30:30" x14ac:dyDescent="0.3">
      <c r="AD12643" s="16"/>
    </row>
    <row r="12644" spans="30:30" x14ac:dyDescent="0.3">
      <c r="AD12644" s="16"/>
    </row>
    <row r="12645" spans="30:30" x14ac:dyDescent="0.3">
      <c r="AD12645" s="16"/>
    </row>
    <row r="12646" spans="30:30" x14ac:dyDescent="0.3">
      <c r="AD12646" s="16"/>
    </row>
    <row r="12647" spans="30:30" x14ac:dyDescent="0.3">
      <c r="AD12647" s="16"/>
    </row>
    <row r="12648" spans="30:30" x14ac:dyDescent="0.3">
      <c r="AD12648" s="16"/>
    </row>
    <row r="12649" spans="30:30" x14ac:dyDescent="0.3">
      <c r="AD12649" s="16"/>
    </row>
    <row r="12650" spans="30:30" x14ac:dyDescent="0.3">
      <c r="AD12650" s="16"/>
    </row>
    <row r="12651" spans="30:30" x14ac:dyDescent="0.3">
      <c r="AD12651" s="16"/>
    </row>
    <row r="12652" spans="30:30" x14ac:dyDescent="0.3">
      <c r="AD12652" s="16"/>
    </row>
    <row r="12653" spans="30:30" x14ac:dyDescent="0.3">
      <c r="AD12653" s="16"/>
    </row>
    <row r="12654" spans="30:30" x14ac:dyDescent="0.3">
      <c r="AD12654" s="16"/>
    </row>
    <row r="12655" spans="30:30" x14ac:dyDescent="0.3">
      <c r="AD12655" s="16"/>
    </row>
    <row r="12656" spans="30:30" x14ac:dyDescent="0.3">
      <c r="AD12656" s="16"/>
    </row>
    <row r="12657" spans="30:30" x14ac:dyDescent="0.3">
      <c r="AD12657" s="16"/>
    </row>
    <row r="12658" spans="30:30" x14ac:dyDescent="0.3">
      <c r="AD12658" s="16"/>
    </row>
    <row r="12659" spans="30:30" x14ac:dyDescent="0.3">
      <c r="AD12659" s="16"/>
    </row>
    <row r="12660" spans="30:30" x14ac:dyDescent="0.3">
      <c r="AD12660" s="16"/>
    </row>
    <row r="12661" spans="30:30" x14ac:dyDescent="0.3">
      <c r="AD12661" s="16"/>
    </row>
    <row r="12662" spans="30:30" x14ac:dyDescent="0.3">
      <c r="AD12662" s="16"/>
    </row>
    <row r="12663" spans="30:30" x14ac:dyDescent="0.3">
      <c r="AD12663" s="16"/>
    </row>
    <row r="12664" spans="30:30" x14ac:dyDescent="0.3">
      <c r="AD12664" s="16"/>
    </row>
    <row r="12665" spans="30:30" x14ac:dyDescent="0.3">
      <c r="AD12665" s="16"/>
    </row>
    <row r="12666" spans="30:30" x14ac:dyDescent="0.3">
      <c r="AD12666" s="16"/>
    </row>
    <row r="12667" spans="30:30" x14ac:dyDescent="0.3">
      <c r="AD12667" s="16"/>
    </row>
    <row r="12668" spans="30:30" x14ac:dyDescent="0.3">
      <c r="AD12668" s="16"/>
    </row>
    <row r="12669" spans="30:30" x14ac:dyDescent="0.3">
      <c r="AD12669" s="16"/>
    </row>
    <row r="12670" spans="30:30" x14ac:dyDescent="0.3">
      <c r="AD12670" s="16"/>
    </row>
    <row r="12671" spans="30:30" x14ac:dyDescent="0.3">
      <c r="AD12671" s="16"/>
    </row>
    <row r="12672" spans="30:30" x14ac:dyDescent="0.3">
      <c r="AD12672" s="16"/>
    </row>
    <row r="12673" spans="30:30" x14ac:dyDescent="0.3">
      <c r="AD12673" s="16"/>
    </row>
    <row r="12674" spans="30:30" x14ac:dyDescent="0.3">
      <c r="AD12674" s="16"/>
    </row>
    <row r="12675" spans="30:30" x14ac:dyDescent="0.3">
      <c r="AD12675" s="16"/>
    </row>
    <row r="12676" spans="30:30" x14ac:dyDescent="0.3">
      <c r="AD12676" s="16"/>
    </row>
    <row r="12677" spans="30:30" x14ac:dyDescent="0.3">
      <c r="AD12677" s="16"/>
    </row>
    <row r="12678" spans="30:30" x14ac:dyDescent="0.3">
      <c r="AD12678" s="16"/>
    </row>
    <row r="12679" spans="30:30" x14ac:dyDescent="0.3">
      <c r="AD12679" s="16"/>
    </row>
    <row r="12680" spans="30:30" x14ac:dyDescent="0.3">
      <c r="AD12680" s="16"/>
    </row>
    <row r="12681" spans="30:30" x14ac:dyDescent="0.3">
      <c r="AD12681" s="16"/>
    </row>
    <row r="12682" spans="30:30" x14ac:dyDescent="0.3">
      <c r="AD12682" s="16"/>
    </row>
    <row r="12683" spans="30:30" x14ac:dyDescent="0.3">
      <c r="AD12683" s="16"/>
    </row>
    <row r="12684" spans="30:30" x14ac:dyDescent="0.3">
      <c r="AD12684" s="16"/>
    </row>
    <row r="12685" spans="30:30" x14ac:dyDescent="0.3">
      <c r="AD12685" s="16"/>
    </row>
    <row r="12686" spans="30:30" x14ac:dyDescent="0.3">
      <c r="AD12686" s="16"/>
    </row>
    <row r="12687" spans="30:30" x14ac:dyDescent="0.3">
      <c r="AD12687" s="16"/>
    </row>
    <row r="12688" spans="30:30" x14ac:dyDescent="0.3">
      <c r="AD12688" s="16"/>
    </row>
    <row r="12689" spans="30:30" x14ac:dyDescent="0.3">
      <c r="AD12689" s="16"/>
    </row>
    <row r="12690" spans="30:30" x14ac:dyDescent="0.3">
      <c r="AD12690" s="16"/>
    </row>
    <row r="12691" spans="30:30" x14ac:dyDescent="0.3">
      <c r="AD12691" s="16"/>
    </row>
    <row r="12692" spans="30:30" x14ac:dyDescent="0.3">
      <c r="AD12692" s="16"/>
    </row>
    <row r="12693" spans="30:30" x14ac:dyDescent="0.3">
      <c r="AD12693" s="16"/>
    </row>
    <row r="12694" spans="30:30" x14ac:dyDescent="0.3">
      <c r="AD12694" s="16"/>
    </row>
    <row r="12695" spans="30:30" x14ac:dyDescent="0.3">
      <c r="AD12695" s="16"/>
    </row>
    <row r="12696" spans="30:30" x14ac:dyDescent="0.3">
      <c r="AD12696" s="16"/>
    </row>
    <row r="12697" spans="30:30" x14ac:dyDescent="0.3">
      <c r="AD12697" s="16"/>
    </row>
    <row r="12698" spans="30:30" x14ac:dyDescent="0.3">
      <c r="AD12698" s="16"/>
    </row>
    <row r="12699" spans="30:30" x14ac:dyDescent="0.3">
      <c r="AD12699" s="16"/>
    </row>
    <row r="12700" spans="30:30" x14ac:dyDescent="0.3">
      <c r="AD12700" s="16"/>
    </row>
    <row r="12701" spans="30:30" x14ac:dyDescent="0.3">
      <c r="AD12701" s="16"/>
    </row>
    <row r="12702" spans="30:30" x14ac:dyDescent="0.3">
      <c r="AD12702" s="16"/>
    </row>
    <row r="12703" spans="30:30" x14ac:dyDescent="0.3">
      <c r="AD12703" s="16"/>
    </row>
    <row r="12704" spans="30:30" x14ac:dyDescent="0.3">
      <c r="AD12704" s="16"/>
    </row>
    <row r="12705" spans="30:30" x14ac:dyDescent="0.3">
      <c r="AD12705" s="16"/>
    </row>
    <row r="12706" spans="30:30" x14ac:dyDescent="0.3">
      <c r="AD12706" s="16"/>
    </row>
    <row r="12707" spans="30:30" x14ac:dyDescent="0.3">
      <c r="AD12707" s="16"/>
    </row>
    <row r="12708" spans="30:30" x14ac:dyDescent="0.3">
      <c r="AD12708" s="16"/>
    </row>
    <row r="12709" spans="30:30" x14ac:dyDescent="0.3">
      <c r="AD12709" s="16"/>
    </row>
    <row r="12710" spans="30:30" x14ac:dyDescent="0.3">
      <c r="AD12710" s="16"/>
    </row>
    <row r="12711" spans="30:30" x14ac:dyDescent="0.3">
      <c r="AD12711" s="16"/>
    </row>
    <row r="12712" spans="30:30" x14ac:dyDescent="0.3">
      <c r="AD12712" s="16"/>
    </row>
    <row r="12713" spans="30:30" x14ac:dyDescent="0.3">
      <c r="AD12713" s="16"/>
    </row>
    <row r="12714" spans="30:30" x14ac:dyDescent="0.3">
      <c r="AD12714" s="16"/>
    </row>
    <row r="12715" spans="30:30" x14ac:dyDescent="0.3">
      <c r="AD12715" s="16"/>
    </row>
    <row r="12716" spans="30:30" x14ac:dyDescent="0.3">
      <c r="AD12716" s="16"/>
    </row>
    <row r="12717" spans="30:30" x14ac:dyDescent="0.3">
      <c r="AD12717" s="16"/>
    </row>
    <row r="12718" spans="30:30" x14ac:dyDescent="0.3">
      <c r="AD12718" s="16"/>
    </row>
    <row r="12719" spans="30:30" x14ac:dyDescent="0.3">
      <c r="AD12719" s="16"/>
    </row>
    <row r="12720" spans="30:30" x14ac:dyDescent="0.3">
      <c r="AD12720" s="16"/>
    </row>
    <row r="12721" spans="30:30" x14ac:dyDescent="0.3">
      <c r="AD12721" s="16"/>
    </row>
    <row r="12722" spans="30:30" x14ac:dyDescent="0.3">
      <c r="AD12722" s="16"/>
    </row>
    <row r="12723" spans="30:30" x14ac:dyDescent="0.3">
      <c r="AD12723" s="16"/>
    </row>
    <row r="12724" spans="30:30" x14ac:dyDescent="0.3">
      <c r="AD12724" s="16"/>
    </row>
    <row r="12725" spans="30:30" x14ac:dyDescent="0.3">
      <c r="AD12725" s="16"/>
    </row>
    <row r="12726" spans="30:30" x14ac:dyDescent="0.3">
      <c r="AD12726" s="16"/>
    </row>
    <row r="12727" spans="30:30" x14ac:dyDescent="0.3">
      <c r="AD12727" s="16"/>
    </row>
    <row r="12728" spans="30:30" x14ac:dyDescent="0.3">
      <c r="AD12728" s="16"/>
    </row>
    <row r="12729" spans="30:30" x14ac:dyDescent="0.3">
      <c r="AD12729" s="16"/>
    </row>
    <row r="12730" spans="30:30" x14ac:dyDescent="0.3">
      <c r="AD12730" s="16"/>
    </row>
    <row r="12731" spans="30:30" x14ac:dyDescent="0.3">
      <c r="AD12731" s="16"/>
    </row>
    <row r="12732" spans="30:30" x14ac:dyDescent="0.3">
      <c r="AD12732" s="16"/>
    </row>
    <row r="12733" spans="30:30" x14ac:dyDescent="0.3">
      <c r="AD12733" s="16"/>
    </row>
    <row r="12734" spans="30:30" x14ac:dyDescent="0.3">
      <c r="AD12734" s="16"/>
    </row>
    <row r="12735" spans="30:30" x14ac:dyDescent="0.3">
      <c r="AD12735" s="16"/>
    </row>
    <row r="12736" spans="30:30" x14ac:dyDescent="0.3">
      <c r="AD12736" s="16"/>
    </row>
    <row r="12737" spans="30:30" x14ac:dyDescent="0.3">
      <c r="AD12737" s="16"/>
    </row>
    <row r="12738" spans="30:30" x14ac:dyDescent="0.3">
      <c r="AD12738" s="16"/>
    </row>
    <row r="12739" spans="30:30" x14ac:dyDescent="0.3">
      <c r="AD12739" s="16"/>
    </row>
    <row r="12740" spans="30:30" x14ac:dyDescent="0.3">
      <c r="AD12740" s="16"/>
    </row>
    <row r="12741" spans="30:30" x14ac:dyDescent="0.3">
      <c r="AD12741" s="16"/>
    </row>
    <row r="12742" spans="30:30" x14ac:dyDescent="0.3">
      <c r="AD12742" s="16"/>
    </row>
    <row r="12743" spans="30:30" x14ac:dyDescent="0.3">
      <c r="AD12743" s="16"/>
    </row>
    <row r="12744" spans="30:30" x14ac:dyDescent="0.3">
      <c r="AD12744" s="16"/>
    </row>
    <row r="12745" spans="30:30" x14ac:dyDescent="0.3">
      <c r="AD12745" s="16"/>
    </row>
    <row r="12746" spans="30:30" x14ac:dyDescent="0.3">
      <c r="AD12746" s="16"/>
    </row>
    <row r="12747" spans="30:30" x14ac:dyDescent="0.3">
      <c r="AD12747" s="16"/>
    </row>
    <row r="12748" spans="30:30" x14ac:dyDescent="0.3">
      <c r="AD12748" s="16"/>
    </row>
    <row r="12749" spans="30:30" x14ac:dyDescent="0.3">
      <c r="AD12749" s="16"/>
    </row>
    <row r="12750" spans="30:30" x14ac:dyDescent="0.3">
      <c r="AD12750" s="16"/>
    </row>
    <row r="12751" spans="30:30" x14ac:dyDescent="0.3">
      <c r="AD12751" s="16"/>
    </row>
    <row r="12752" spans="30:30" x14ac:dyDescent="0.3">
      <c r="AD12752" s="16"/>
    </row>
    <row r="12753" spans="30:30" x14ac:dyDescent="0.3">
      <c r="AD12753" s="16"/>
    </row>
    <row r="12754" spans="30:30" x14ac:dyDescent="0.3">
      <c r="AD12754" s="16"/>
    </row>
    <row r="12755" spans="30:30" x14ac:dyDescent="0.3">
      <c r="AD12755" s="16"/>
    </row>
    <row r="12756" spans="30:30" x14ac:dyDescent="0.3">
      <c r="AD12756" s="16"/>
    </row>
    <row r="12757" spans="30:30" x14ac:dyDescent="0.3">
      <c r="AD12757" s="16"/>
    </row>
    <row r="12758" spans="30:30" x14ac:dyDescent="0.3">
      <c r="AD12758" s="16"/>
    </row>
    <row r="12759" spans="30:30" x14ac:dyDescent="0.3">
      <c r="AD12759" s="16"/>
    </row>
    <row r="12760" spans="30:30" x14ac:dyDescent="0.3">
      <c r="AD12760" s="16"/>
    </row>
    <row r="12761" spans="30:30" x14ac:dyDescent="0.3">
      <c r="AD12761" s="16"/>
    </row>
    <row r="12762" spans="30:30" x14ac:dyDescent="0.3">
      <c r="AD12762" s="16"/>
    </row>
    <row r="12763" spans="30:30" x14ac:dyDescent="0.3">
      <c r="AD12763" s="16"/>
    </row>
    <row r="12764" spans="30:30" x14ac:dyDescent="0.3">
      <c r="AD12764" s="16"/>
    </row>
    <row r="12765" spans="30:30" x14ac:dyDescent="0.3">
      <c r="AD12765" s="16"/>
    </row>
    <row r="12766" spans="30:30" x14ac:dyDescent="0.3">
      <c r="AD12766" s="16"/>
    </row>
    <row r="12767" spans="30:30" x14ac:dyDescent="0.3">
      <c r="AD12767" s="16"/>
    </row>
    <row r="12768" spans="30:30" x14ac:dyDescent="0.3">
      <c r="AD12768" s="16"/>
    </row>
    <row r="12769" spans="30:30" x14ac:dyDescent="0.3">
      <c r="AD12769" s="16"/>
    </row>
    <row r="12770" spans="30:30" x14ac:dyDescent="0.3">
      <c r="AD12770" s="16"/>
    </row>
    <row r="12771" spans="30:30" x14ac:dyDescent="0.3">
      <c r="AD12771" s="16"/>
    </row>
    <row r="12772" spans="30:30" x14ac:dyDescent="0.3">
      <c r="AD12772" s="16"/>
    </row>
    <row r="12773" spans="30:30" x14ac:dyDescent="0.3">
      <c r="AD12773" s="16"/>
    </row>
    <row r="12774" spans="30:30" x14ac:dyDescent="0.3">
      <c r="AD12774" s="16"/>
    </row>
    <row r="12775" spans="30:30" x14ac:dyDescent="0.3">
      <c r="AD12775" s="16"/>
    </row>
    <row r="12776" spans="30:30" x14ac:dyDescent="0.3">
      <c r="AD12776" s="16"/>
    </row>
    <row r="12777" spans="30:30" x14ac:dyDescent="0.3">
      <c r="AD12777" s="16"/>
    </row>
    <row r="12778" spans="30:30" x14ac:dyDescent="0.3">
      <c r="AD12778" s="16"/>
    </row>
    <row r="12779" spans="30:30" x14ac:dyDescent="0.3">
      <c r="AD12779" s="16"/>
    </row>
    <row r="12780" spans="30:30" x14ac:dyDescent="0.3">
      <c r="AD12780" s="16"/>
    </row>
    <row r="12781" spans="30:30" x14ac:dyDescent="0.3">
      <c r="AD12781" s="16"/>
    </row>
    <row r="12782" spans="30:30" x14ac:dyDescent="0.3">
      <c r="AD12782" s="16"/>
    </row>
    <row r="12783" spans="30:30" x14ac:dyDescent="0.3">
      <c r="AD12783" s="16"/>
    </row>
    <row r="12784" spans="30:30" x14ac:dyDescent="0.3">
      <c r="AD12784" s="16"/>
    </row>
    <row r="12785" spans="30:30" x14ac:dyDescent="0.3">
      <c r="AD12785" s="16"/>
    </row>
    <row r="12786" spans="30:30" x14ac:dyDescent="0.3">
      <c r="AD12786" s="16"/>
    </row>
    <row r="12787" spans="30:30" x14ac:dyDescent="0.3">
      <c r="AD12787" s="16"/>
    </row>
    <row r="12788" spans="30:30" x14ac:dyDescent="0.3">
      <c r="AD12788" s="16"/>
    </row>
    <row r="12789" spans="30:30" x14ac:dyDescent="0.3">
      <c r="AD12789" s="16"/>
    </row>
    <row r="12790" spans="30:30" x14ac:dyDescent="0.3">
      <c r="AD12790" s="16"/>
    </row>
    <row r="12791" spans="30:30" x14ac:dyDescent="0.3">
      <c r="AD12791" s="16"/>
    </row>
    <row r="12792" spans="30:30" x14ac:dyDescent="0.3">
      <c r="AD12792" s="16"/>
    </row>
    <row r="12793" spans="30:30" x14ac:dyDescent="0.3">
      <c r="AD12793" s="16"/>
    </row>
    <row r="12794" spans="30:30" x14ac:dyDescent="0.3">
      <c r="AD12794" s="16"/>
    </row>
    <row r="12795" spans="30:30" x14ac:dyDescent="0.3">
      <c r="AD12795" s="16"/>
    </row>
    <row r="12796" spans="30:30" x14ac:dyDescent="0.3">
      <c r="AD12796" s="16"/>
    </row>
    <row r="12797" spans="30:30" x14ac:dyDescent="0.3">
      <c r="AD12797" s="16"/>
    </row>
    <row r="12798" spans="30:30" x14ac:dyDescent="0.3">
      <c r="AD12798" s="16"/>
    </row>
    <row r="12799" spans="30:30" x14ac:dyDescent="0.3">
      <c r="AD12799" s="16"/>
    </row>
    <row r="12800" spans="30:30" x14ac:dyDescent="0.3">
      <c r="AD12800" s="16"/>
    </row>
    <row r="12801" spans="30:30" x14ac:dyDescent="0.3">
      <c r="AD12801" s="16"/>
    </row>
    <row r="12802" spans="30:30" x14ac:dyDescent="0.3">
      <c r="AD12802" s="16"/>
    </row>
    <row r="12803" spans="30:30" x14ac:dyDescent="0.3">
      <c r="AD12803" s="16"/>
    </row>
    <row r="12804" spans="30:30" x14ac:dyDescent="0.3">
      <c r="AD12804" s="16"/>
    </row>
    <row r="12805" spans="30:30" x14ac:dyDescent="0.3">
      <c r="AD12805" s="16"/>
    </row>
    <row r="12806" spans="30:30" x14ac:dyDescent="0.3">
      <c r="AD12806" s="16"/>
    </row>
    <row r="12807" spans="30:30" x14ac:dyDescent="0.3">
      <c r="AD12807" s="16"/>
    </row>
    <row r="12808" spans="30:30" x14ac:dyDescent="0.3">
      <c r="AD12808" s="16"/>
    </row>
    <row r="12809" spans="30:30" x14ac:dyDescent="0.3">
      <c r="AD12809" s="16"/>
    </row>
    <row r="12810" spans="30:30" x14ac:dyDescent="0.3">
      <c r="AD12810" s="16"/>
    </row>
    <row r="12811" spans="30:30" x14ac:dyDescent="0.3">
      <c r="AD12811" s="16"/>
    </row>
    <row r="12812" spans="30:30" x14ac:dyDescent="0.3">
      <c r="AD12812" s="16"/>
    </row>
    <row r="12813" spans="30:30" x14ac:dyDescent="0.3">
      <c r="AD12813" s="16"/>
    </row>
    <row r="12814" spans="30:30" x14ac:dyDescent="0.3">
      <c r="AD12814" s="16"/>
    </row>
    <row r="12815" spans="30:30" x14ac:dyDescent="0.3">
      <c r="AD12815" s="16"/>
    </row>
    <row r="12816" spans="30:30" x14ac:dyDescent="0.3">
      <c r="AD12816" s="16"/>
    </row>
    <row r="12817" spans="30:30" x14ac:dyDescent="0.3">
      <c r="AD12817" s="16"/>
    </row>
    <row r="12818" spans="30:30" x14ac:dyDescent="0.3">
      <c r="AD12818" s="16"/>
    </row>
    <row r="12819" spans="30:30" x14ac:dyDescent="0.3">
      <c r="AD12819" s="16"/>
    </row>
    <row r="12820" spans="30:30" x14ac:dyDescent="0.3">
      <c r="AD12820" s="16"/>
    </row>
    <row r="12821" spans="30:30" x14ac:dyDescent="0.3">
      <c r="AD12821" s="16"/>
    </row>
    <row r="12822" spans="30:30" x14ac:dyDescent="0.3">
      <c r="AD12822" s="16"/>
    </row>
    <row r="12823" spans="30:30" x14ac:dyDescent="0.3">
      <c r="AD12823" s="16"/>
    </row>
    <row r="12824" spans="30:30" x14ac:dyDescent="0.3">
      <c r="AD12824" s="16"/>
    </row>
    <row r="12825" spans="30:30" x14ac:dyDescent="0.3">
      <c r="AD12825" s="16"/>
    </row>
    <row r="12826" spans="30:30" x14ac:dyDescent="0.3">
      <c r="AD12826" s="16"/>
    </row>
    <row r="12827" spans="30:30" x14ac:dyDescent="0.3">
      <c r="AD12827" s="16"/>
    </row>
    <row r="12828" spans="30:30" x14ac:dyDescent="0.3">
      <c r="AD12828" s="16"/>
    </row>
    <row r="12829" spans="30:30" x14ac:dyDescent="0.3">
      <c r="AD12829" s="16"/>
    </row>
    <row r="12830" spans="30:30" x14ac:dyDescent="0.3">
      <c r="AD12830" s="16"/>
    </row>
    <row r="12831" spans="30:30" x14ac:dyDescent="0.3">
      <c r="AD12831" s="16"/>
    </row>
    <row r="12832" spans="30:30" x14ac:dyDescent="0.3">
      <c r="AD12832" s="16"/>
    </row>
    <row r="12833" spans="30:30" x14ac:dyDescent="0.3">
      <c r="AD12833" s="16"/>
    </row>
    <row r="12834" spans="30:30" x14ac:dyDescent="0.3">
      <c r="AD12834" s="16"/>
    </row>
    <row r="12835" spans="30:30" x14ac:dyDescent="0.3">
      <c r="AD12835" s="16"/>
    </row>
    <row r="12836" spans="30:30" x14ac:dyDescent="0.3">
      <c r="AD12836" s="16"/>
    </row>
    <row r="12837" spans="30:30" x14ac:dyDescent="0.3">
      <c r="AD12837" s="16"/>
    </row>
    <row r="12838" spans="30:30" x14ac:dyDescent="0.3">
      <c r="AD12838" s="16"/>
    </row>
    <row r="12839" spans="30:30" x14ac:dyDescent="0.3">
      <c r="AD12839" s="16"/>
    </row>
    <row r="12840" spans="30:30" x14ac:dyDescent="0.3">
      <c r="AD12840" s="16"/>
    </row>
    <row r="12841" spans="30:30" x14ac:dyDescent="0.3">
      <c r="AD12841" s="16"/>
    </row>
    <row r="12842" spans="30:30" x14ac:dyDescent="0.3">
      <c r="AD12842" s="16"/>
    </row>
    <row r="12843" spans="30:30" x14ac:dyDescent="0.3">
      <c r="AD12843" s="16"/>
    </row>
    <row r="12844" spans="30:30" x14ac:dyDescent="0.3">
      <c r="AD12844" s="16"/>
    </row>
    <row r="12845" spans="30:30" x14ac:dyDescent="0.3">
      <c r="AD12845" s="16"/>
    </row>
    <row r="12846" spans="30:30" x14ac:dyDescent="0.3">
      <c r="AD12846" s="16"/>
    </row>
    <row r="12847" spans="30:30" x14ac:dyDescent="0.3">
      <c r="AD12847" s="16"/>
    </row>
    <row r="12848" spans="30:30" x14ac:dyDescent="0.3">
      <c r="AD12848" s="16"/>
    </row>
    <row r="12849" spans="30:30" x14ac:dyDescent="0.3">
      <c r="AD12849" s="16"/>
    </row>
    <row r="12850" spans="30:30" x14ac:dyDescent="0.3">
      <c r="AD12850" s="16"/>
    </row>
    <row r="12851" spans="30:30" x14ac:dyDescent="0.3">
      <c r="AD12851" s="16"/>
    </row>
    <row r="12852" spans="30:30" x14ac:dyDescent="0.3">
      <c r="AD12852" s="16"/>
    </row>
    <row r="12853" spans="30:30" x14ac:dyDescent="0.3">
      <c r="AD12853" s="16"/>
    </row>
    <row r="12854" spans="30:30" x14ac:dyDescent="0.3">
      <c r="AD12854" s="16"/>
    </row>
    <row r="12855" spans="30:30" x14ac:dyDescent="0.3">
      <c r="AD12855" s="16"/>
    </row>
    <row r="12856" spans="30:30" x14ac:dyDescent="0.3">
      <c r="AD12856" s="16"/>
    </row>
    <row r="12857" spans="30:30" x14ac:dyDescent="0.3">
      <c r="AD12857" s="16"/>
    </row>
    <row r="12858" spans="30:30" x14ac:dyDescent="0.3">
      <c r="AD12858" s="16"/>
    </row>
    <row r="12859" spans="30:30" x14ac:dyDescent="0.3">
      <c r="AD12859" s="16"/>
    </row>
    <row r="12860" spans="30:30" x14ac:dyDescent="0.3">
      <c r="AD12860" s="16"/>
    </row>
    <row r="12861" spans="30:30" x14ac:dyDescent="0.3">
      <c r="AD12861" s="16"/>
    </row>
    <row r="12862" spans="30:30" x14ac:dyDescent="0.3">
      <c r="AD12862" s="16"/>
    </row>
    <row r="12863" spans="30:30" x14ac:dyDescent="0.3">
      <c r="AD12863" s="16"/>
    </row>
    <row r="12864" spans="30:30" x14ac:dyDescent="0.3">
      <c r="AD12864" s="16"/>
    </row>
    <row r="12865" spans="30:30" x14ac:dyDescent="0.3">
      <c r="AD12865" s="16"/>
    </row>
    <row r="12866" spans="30:30" x14ac:dyDescent="0.3">
      <c r="AD12866" s="16"/>
    </row>
    <row r="12867" spans="30:30" x14ac:dyDescent="0.3">
      <c r="AD12867" s="16"/>
    </row>
    <row r="12868" spans="30:30" x14ac:dyDescent="0.3">
      <c r="AD12868" s="16"/>
    </row>
    <row r="12869" spans="30:30" x14ac:dyDescent="0.3">
      <c r="AD12869" s="16"/>
    </row>
    <row r="12870" spans="30:30" x14ac:dyDescent="0.3">
      <c r="AD12870" s="16"/>
    </row>
    <row r="12871" spans="30:30" x14ac:dyDescent="0.3">
      <c r="AD12871" s="16"/>
    </row>
    <row r="12872" spans="30:30" x14ac:dyDescent="0.3">
      <c r="AD12872" s="16"/>
    </row>
    <row r="12873" spans="30:30" x14ac:dyDescent="0.3">
      <c r="AD12873" s="16"/>
    </row>
    <row r="12874" spans="30:30" x14ac:dyDescent="0.3">
      <c r="AD12874" s="16"/>
    </row>
    <row r="12875" spans="30:30" x14ac:dyDescent="0.3">
      <c r="AD12875" s="16"/>
    </row>
    <row r="12876" spans="30:30" x14ac:dyDescent="0.3">
      <c r="AD12876" s="16"/>
    </row>
    <row r="12877" spans="30:30" x14ac:dyDescent="0.3">
      <c r="AD12877" s="16"/>
    </row>
    <row r="12878" spans="30:30" x14ac:dyDescent="0.3">
      <c r="AD12878" s="16"/>
    </row>
    <row r="12879" spans="30:30" x14ac:dyDescent="0.3">
      <c r="AD12879" s="16"/>
    </row>
    <row r="12880" spans="30:30" x14ac:dyDescent="0.3">
      <c r="AD12880" s="16"/>
    </row>
    <row r="12881" spans="30:30" x14ac:dyDescent="0.3">
      <c r="AD12881" s="16"/>
    </row>
    <row r="12882" spans="30:30" x14ac:dyDescent="0.3">
      <c r="AD12882" s="16"/>
    </row>
    <row r="12883" spans="30:30" x14ac:dyDescent="0.3">
      <c r="AD12883" s="16"/>
    </row>
    <row r="12884" spans="30:30" x14ac:dyDescent="0.3">
      <c r="AD12884" s="16"/>
    </row>
    <row r="12885" spans="30:30" x14ac:dyDescent="0.3">
      <c r="AD12885" s="16"/>
    </row>
    <row r="12886" spans="30:30" x14ac:dyDescent="0.3">
      <c r="AD12886" s="16"/>
    </row>
    <row r="12887" spans="30:30" x14ac:dyDescent="0.3">
      <c r="AD12887" s="16"/>
    </row>
    <row r="12888" spans="30:30" x14ac:dyDescent="0.3">
      <c r="AD12888" s="16"/>
    </row>
    <row r="12889" spans="30:30" x14ac:dyDescent="0.3">
      <c r="AD12889" s="16"/>
    </row>
    <row r="12890" spans="30:30" x14ac:dyDescent="0.3">
      <c r="AD12890" s="16"/>
    </row>
    <row r="12891" spans="30:30" x14ac:dyDescent="0.3">
      <c r="AD12891" s="16"/>
    </row>
    <row r="12892" spans="30:30" x14ac:dyDescent="0.3">
      <c r="AD12892" s="16"/>
    </row>
    <row r="12893" spans="30:30" x14ac:dyDescent="0.3">
      <c r="AD12893" s="16"/>
    </row>
    <row r="12894" spans="30:30" x14ac:dyDescent="0.3">
      <c r="AD12894" s="16"/>
    </row>
    <row r="12895" spans="30:30" x14ac:dyDescent="0.3">
      <c r="AD12895" s="16"/>
    </row>
    <row r="12896" spans="30:30" x14ac:dyDescent="0.3">
      <c r="AD12896" s="16"/>
    </row>
    <row r="12897" spans="30:30" x14ac:dyDescent="0.3">
      <c r="AD12897" s="16"/>
    </row>
    <row r="12898" spans="30:30" x14ac:dyDescent="0.3">
      <c r="AD12898" s="16"/>
    </row>
    <row r="12899" spans="30:30" x14ac:dyDescent="0.3">
      <c r="AD12899" s="16"/>
    </row>
    <row r="12900" spans="30:30" x14ac:dyDescent="0.3">
      <c r="AD12900" s="16"/>
    </row>
    <row r="12901" spans="30:30" x14ac:dyDescent="0.3">
      <c r="AD12901" s="16"/>
    </row>
    <row r="12902" spans="30:30" x14ac:dyDescent="0.3">
      <c r="AD12902" s="16"/>
    </row>
    <row r="12903" spans="30:30" x14ac:dyDescent="0.3">
      <c r="AD12903" s="16"/>
    </row>
    <row r="12904" spans="30:30" x14ac:dyDescent="0.3">
      <c r="AD12904" s="16"/>
    </row>
    <row r="12905" spans="30:30" x14ac:dyDescent="0.3">
      <c r="AD12905" s="16"/>
    </row>
    <row r="12906" spans="30:30" x14ac:dyDescent="0.3">
      <c r="AD12906" s="16"/>
    </row>
    <row r="12907" spans="30:30" x14ac:dyDescent="0.3">
      <c r="AD12907" s="16"/>
    </row>
    <row r="12908" spans="30:30" x14ac:dyDescent="0.3">
      <c r="AD12908" s="16"/>
    </row>
    <row r="12909" spans="30:30" x14ac:dyDescent="0.3">
      <c r="AD12909" s="16"/>
    </row>
    <row r="12910" spans="30:30" x14ac:dyDescent="0.3">
      <c r="AD12910" s="16"/>
    </row>
    <row r="12911" spans="30:30" x14ac:dyDescent="0.3">
      <c r="AD12911" s="16"/>
    </row>
    <row r="12912" spans="30:30" x14ac:dyDescent="0.3">
      <c r="AD12912" s="16"/>
    </row>
    <row r="12913" spans="30:30" x14ac:dyDescent="0.3">
      <c r="AD12913" s="16"/>
    </row>
    <row r="12914" spans="30:30" x14ac:dyDescent="0.3">
      <c r="AD12914" s="16"/>
    </row>
    <row r="12915" spans="30:30" x14ac:dyDescent="0.3">
      <c r="AD12915" s="16"/>
    </row>
    <row r="12916" spans="30:30" x14ac:dyDescent="0.3">
      <c r="AD12916" s="16"/>
    </row>
    <row r="12917" spans="30:30" x14ac:dyDescent="0.3">
      <c r="AD12917" s="16"/>
    </row>
    <row r="12918" spans="30:30" x14ac:dyDescent="0.3">
      <c r="AD12918" s="16"/>
    </row>
    <row r="12919" spans="30:30" x14ac:dyDescent="0.3">
      <c r="AD12919" s="16"/>
    </row>
    <row r="12920" spans="30:30" x14ac:dyDescent="0.3">
      <c r="AD12920" s="16"/>
    </row>
    <row r="12921" spans="30:30" x14ac:dyDescent="0.3">
      <c r="AD12921" s="16"/>
    </row>
    <row r="12922" spans="30:30" x14ac:dyDescent="0.3">
      <c r="AD12922" s="16"/>
    </row>
    <row r="12923" spans="30:30" x14ac:dyDescent="0.3">
      <c r="AD12923" s="16"/>
    </row>
    <row r="12924" spans="30:30" x14ac:dyDescent="0.3">
      <c r="AD12924" s="16"/>
    </row>
    <row r="12925" spans="30:30" x14ac:dyDescent="0.3">
      <c r="AD12925" s="16"/>
    </row>
    <row r="12926" spans="30:30" x14ac:dyDescent="0.3">
      <c r="AD12926" s="16"/>
    </row>
    <row r="12927" spans="30:30" x14ac:dyDescent="0.3">
      <c r="AD12927" s="16"/>
    </row>
    <row r="12928" spans="30:30" x14ac:dyDescent="0.3">
      <c r="AD12928" s="16"/>
    </row>
    <row r="12929" spans="30:30" x14ac:dyDescent="0.3">
      <c r="AD12929" s="16"/>
    </row>
    <row r="12930" spans="30:30" x14ac:dyDescent="0.3">
      <c r="AD12930" s="16"/>
    </row>
    <row r="12931" spans="30:30" x14ac:dyDescent="0.3">
      <c r="AD12931" s="16"/>
    </row>
    <row r="12932" spans="30:30" x14ac:dyDescent="0.3">
      <c r="AD12932" s="16"/>
    </row>
    <row r="12933" spans="30:30" x14ac:dyDescent="0.3">
      <c r="AD12933" s="16"/>
    </row>
    <row r="12934" spans="30:30" x14ac:dyDescent="0.3">
      <c r="AD12934" s="16"/>
    </row>
    <row r="12935" spans="30:30" x14ac:dyDescent="0.3">
      <c r="AD12935" s="16"/>
    </row>
    <row r="12936" spans="30:30" x14ac:dyDescent="0.3">
      <c r="AD12936" s="16"/>
    </row>
    <row r="12937" spans="30:30" x14ac:dyDescent="0.3">
      <c r="AD12937" s="16"/>
    </row>
    <row r="12938" spans="30:30" x14ac:dyDescent="0.3">
      <c r="AD12938" s="16"/>
    </row>
    <row r="12939" spans="30:30" x14ac:dyDescent="0.3">
      <c r="AD12939" s="16"/>
    </row>
    <row r="12940" spans="30:30" x14ac:dyDescent="0.3">
      <c r="AD12940" s="16"/>
    </row>
    <row r="12941" spans="30:30" x14ac:dyDescent="0.3">
      <c r="AD12941" s="16"/>
    </row>
    <row r="12942" spans="30:30" x14ac:dyDescent="0.3">
      <c r="AD12942" s="16"/>
    </row>
    <row r="12943" spans="30:30" x14ac:dyDescent="0.3">
      <c r="AD12943" s="16"/>
    </row>
    <row r="12944" spans="30:30" x14ac:dyDescent="0.3">
      <c r="AD12944" s="16"/>
    </row>
    <row r="12945" spans="30:30" x14ac:dyDescent="0.3">
      <c r="AD12945" s="16"/>
    </row>
    <row r="12946" spans="30:30" x14ac:dyDescent="0.3">
      <c r="AD12946" s="16"/>
    </row>
    <row r="12947" spans="30:30" x14ac:dyDescent="0.3">
      <c r="AD12947" s="16"/>
    </row>
    <row r="12948" spans="30:30" x14ac:dyDescent="0.3">
      <c r="AD12948" s="16"/>
    </row>
    <row r="12949" spans="30:30" x14ac:dyDescent="0.3">
      <c r="AD12949" s="16"/>
    </row>
    <row r="12950" spans="30:30" x14ac:dyDescent="0.3">
      <c r="AD12950" s="16"/>
    </row>
    <row r="12951" spans="30:30" x14ac:dyDescent="0.3">
      <c r="AD12951" s="16"/>
    </row>
    <row r="12952" spans="30:30" x14ac:dyDescent="0.3">
      <c r="AD12952" s="16"/>
    </row>
    <row r="12953" spans="30:30" x14ac:dyDescent="0.3">
      <c r="AD12953" s="16"/>
    </row>
    <row r="12954" spans="30:30" x14ac:dyDescent="0.3">
      <c r="AD12954" s="16"/>
    </row>
    <row r="12955" spans="30:30" x14ac:dyDescent="0.3">
      <c r="AD12955" s="16"/>
    </row>
    <row r="12956" spans="30:30" x14ac:dyDescent="0.3">
      <c r="AD12956" s="16"/>
    </row>
    <row r="12957" spans="30:30" x14ac:dyDescent="0.3">
      <c r="AD12957" s="16"/>
    </row>
    <row r="12958" spans="30:30" x14ac:dyDescent="0.3">
      <c r="AD12958" s="16"/>
    </row>
    <row r="12959" spans="30:30" x14ac:dyDescent="0.3">
      <c r="AD12959" s="16"/>
    </row>
    <row r="12960" spans="30:30" x14ac:dyDescent="0.3">
      <c r="AD12960" s="16"/>
    </row>
    <row r="12961" spans="30:30" x14ac:dyDescent="0.3">
      <c r="AD12961" s="16"/>
    </row>
    <row r="12962" spans="30:30" x14ac:dyDescent="0.3">
      <c r="AD12962" s="16"/>
    </row>
    <row r="12963" spans="30:30" x14ac:dyDescent="0.3">
      <c r="AD12963" s="16"/>
    </row>
    <row r="12964" spans="30:30" x14ac:dyDescent="0.3">
      <c r="AD12964" s="16"/>
    </row>
    <row r="12965" spans="30:30" x14ac:dyDescent="0.3">
      <c r="AD12965" s="16"/>
    </row>
    <row r="12966" spans="30:30" x14ac:dyDescent="0.3">
      <c r="AD12966" s="16"/>
    </row>
    <row r="12967" spans="30:30" x14ac:dyDescent="0.3">
      <c r="AD12967" s="16"/>
    </row>
    <row r="12968" spans="30:30" x14ac:dyDescent="0.3">
      <c r="AD12968" s="16"/>
    </row>
    <row r="12969" spans="30:30" x14ac:dyDescent="0.3">
      <c r="AD12969" s="16"/>
    </row>
    <row r="12970" spans="30:30" x14ac:dyDescent="0.3">
      <c r="AD12970" s="16"/>
    </row>
    <row r="12971" spans="30:30" x14ac:dyDescent="0.3">
      <c r="AD12971" s="16"/>
    </row>
    <row r="12972" spans="30:30" x14ac:dyDescent="0.3">
      <c r="AD12972" s="16"/>
    </row>
    <row r="12973" spans="30:30" x14ac:dyDescent="0.3">
      <c r="AD12973" s="16"/>
    </row>
    <row r="12974" spans="30:30" x14ac:dyDescent="0.3">
      <c r="AD12974" s="16"/>
    </row>
    <row r="12975" spans="30:30" x14ac:dyDescent="0.3">
      <c r="AD12975" s="16"/>
    </row>
    <row r="12976" spans="30:30" x14ac:dyDescent="0.3">
      <c r="AD12976" s="16"/>
    </row>
    <row r="12977" spans="30:30" x14ac:dyDescent="0.3">
      <c r="AD12977" s="16"/>
    </row>
    <row r="12978" spans="30:30" x14ac:dyDescent="0.3">
      <c r="AD12978" s="16"/>
    </row>
    <row r="12979" spans="30:30" x14ac:dyDescent="0.3">
      <c r="AD12979" s="16"/>
    </row>
    <row r="12980" spans="30:30" x14ac:dyDescent="0.3">
      <c r="AD12980" s="16"/>
    </row>
    <row r="12981" spans="30:30" x14ac:dyDescent="0.3">
      <c r="AD12981" s="16"/>
    </row>
    <row r="12982" spans="30:30" x14ac:dyDescent="0.3">
      <c r="AD12982" s="16"/>
    </row>
    <row r="12983" spans="30:30" x14ac:dyDescent="0.3">
      <c r="AD12983" s="16"/>
    </row>
    <row r="12984" spans="30:30" x14ac:dyDescent="0.3">
      <c r="AD12984" s="16"/>
    </row>
    <row r="12985" spans="30:30" x14ac:dyDescent="0.3">
      <c r="AD12985" s="16"/>
    </row>
    <row r="12986" spans="30:30" x14ac:dyDescent="0.3">
      <c r="AD12986" s="16"/>
    </row>
    <row r="12987" spans="30:30" x14ac:dyDescent="0.3">
      <c r="AD12987" s="16"/>
    </row>
    <row r="12988" spans="30:30" x14ac:dyDescent="0.3">
      <c r="AD12988" s="16"/>
    </row>
    <row r="12989" spans="30:30" x14ac:dyDescent="0.3">
      <c r="AD12989" s="16"/>
    </row>
    <row r="12990" spans="30:30" x14ac:dyDescent="0.3">
      <c r="AD12990" s="16"/>
    </row>
    <row r="12991" spans="30:30" x14ac:dyDescent="0.3">
      <c r="AD12991" s="16"/>
    </row>
    <row r="12992" spans="30:30" x14ac:dyDescent="0.3">
      <c r="AD12992" s="16"/>
    </row>
    <row r="12993" spans="30:30" x14ac:dyDescent="0.3">
      <c r="AD12993" s="16"/>
    </row>
    <row r="12994" spans="30:30" x14ac:dyDescent="0.3">
      <c r="AD12994" s="16"/>
    </row>
    <row r="12995" spans="30:30" x14ac:dyDescent="0.3">
      <c r="AD12995" s="16"/>
    </row>
    <row r="12996" spans="30:30" x14ac:dyDescent="0.3">
      <c r="AD12996" s="16"/>
    </row>
    <row r="12997" spans="30:30" x14ac:dyDescent="0.3">
      <c r="AD12997" s="16"/>
    </row>
    <row r="12998" spans="30:30" x14ac:dyDescent="0.3">
      <c r="AD12998" s="16"/>
    </row>
    <row r="12999" spans="30:30" x14ac:dyDescent="0.3">
      <c r="AD12999" s="16"/>
    </row>
    <row r="13000" spans="30:30" x14ac:dyDescent="0.3">
      <c r="AD13000" s="16"/>
    </row>
    <row r="13001" spans="30:30" x14ac:dyDescent="0.3">
      <c r="AD13001" s="16"/>
    </row>
    <row r="13002" spans="30:30" x14ac:dyDescent="0.3">
      <c r="AD13002" s="16"/>
    </row>
    <row r="13003" spans="30:30" x14ac:dyDescent="0.3">
      <c r="AD13003" s="16"/>
    </row>
    <row r="13004" spans="30:30" x14ac:dyDescent="0.3">
      <c r="AD13004" s="16"/>
    </row>
    <row r="13005" spans="30:30" x14ac:dyDescent="0.3">
      <c r="AD13005" s="16"/>
    </row>
    <row r="13006" spans="30:30" x14ac:dyDescent="0.3">
      <c r="AD13006" s="16"/>
    </row>
    <row r="13007" spans="30:30" x14ac:dyDescent="0.3">
      <c r="AD13007" s="16"/>
    </row>
    <row r="13008" spans="30:30" x14ac:dyDescent="0.3">
      <c r="AD13008" s="16"/>
    </row>
    <row r="13009" spans="30:30" x14ac:dyDescent="0.3">
      <c r="AD13009" s="16"/>
    </row>
    <row r="13010" spans="30:30" x14ac:dyDescent="0.3">
      <c r="AD13010" s="16"/>
    </row>
    <row r="13011" spans="30:30" x14ac:dyDescent="0.3">
      <c r="AD13011" s="16"/>
    </row>
    <row r="13012" spans="30:30" x14ac:dyDescent="0.3">
      <c r="AD13012" s="16"/>
    </row>
    <row r="13013" spans="30:30" x14ac:dyDescent="0.3">
      <c r="AD13013" s="16"/>
    </row>
    <row r="13014" spans="30:30" x14ac:dyDescent="0.3">
      <c r="AD13014" s="16"/>
    </row>
    <row r="13015" spans="30:30" x14ac:dyDescent="0.3">
      <c r="AD13015" s="16"/>
    </row>
    <row r="13016" spans="30:30" x14ac:dyDescent="0.3">
      <c r="AD13016" s="16"/>
    </row>
    <row r="13017" spans="30:30" x14ac:dyDescent="0.3">
      <c r="AD13017" s="16"/>
    </row>
    <row r="13018" spans="30:30" x14ac:dyDescent="0.3">
      <c r="AD13018" s="16"/>
    </row>
    <row r="13019" spans="30:30" x14ac:dyDescent="0.3">
      <c r="AD13019" s="16"/>
    </row>
    <row r="13020" spans="30:30" x14ac:dyDescent="0.3">
      <c r="AD13020" s="16"/>
    </row>
    <row r="13021" spans="30:30" x14ac:dyDescent="0.3">
      <c r="AD13021" s="16"/>
    </row>
    <row r="13022" spans="30:30" x14ac:dyDescent="0.3">
      <c r="AD13022" s="16"/>
    </row>
    <row r="13023" spans="30:30" x14ac:dyDescent="0.3">
      <c r="AD13023" s="16"/>
    </row>
    <row r="13024" spans="30:30" x14ac:dyDescent="0.3">
      <c r="AD13024" s="16"/>
    </row>
    <row r="13025" spans="30:30" x14ac:dyDescent="0.3">
      <c r="AD13025" s="16"/>
    </row>
    <row r="13026" spans="30:30" x14ac:dyDescent="0.3">
      <c r="AD13026" s="16"/>
    </row>
    <row r="13027" spans="30:30" x14ac:dyDescent="0.3">
      <c r="AD13027" s="16"/>
    </row>
    <row r="13028" spans="30:30" x14ac:dyDescent="0.3">
      <c r="AD13028" s="16"/>
    </row>
    <row r="13029" spans="30:30" x14ac:dyDescent="0.3">
      <c r="AD13029" s="16"/>
    </row>
    <row r="13030" spans="30:30" x14ac:dyDescent="0.3">
      <c r="AD13030" s="16"/>
    </row>
    <row r="13031" spans="30:30" x14ac:dyDescent="0.3">
      <c r="AD13031" s="16"/>
    </row>
    <row r="13032" spans="30:30" x14ac:dyDescent="0.3">
      <c r="AD13032" s="16"/>
    </row>
    <row r="13033" spans="30:30" x14ac:dyDescent="0.3">
      <c r="AD13033" s="16"/>
    </row>
    <row r="13034" spans="30:30" x14ac:dyDescent="0.3">
      <c r="AD13034" s="16"/>
    </row>
    <row r="13035" spans="30:30" x14ac:dyDescent="0.3">
      <c r="AD13035" s="16"/>
    </row>
    <row r="13036" spans="30:30" x14ac:dyDescent="0.3">
      <c r="AD13036" s="16"/>
    </row>
    <row r="13037" spans="30:30" x14ac:dyDescent="0.3">
      <c r="AD13037" s="16"/>
    </row>
    <row r="13038" spans="30:30" x14ac:dyDescent="0.3">
      <c r="AD13038" s="16"/>
    </row>
    <row r="13039" spans="30:30" x14ac:dyDescent="0.3">
      <c r="AD13039" s="16"/>
    </row>
    <row r="13040" spans="30:30" x14ac:dyDescent="0.3">
      <c r="AD13040" s="16"/>
    </row>
    <row r="13041" spans="30:30" x14ac:dyDescent="0.3">
      <c r="AD13041" s="16"/>
    </row>
    <row r="13042" spans="30:30" x14ac:dyDescent="0.3">
      <c r="AD13042" s="16"/>
    </row>
    <row r="13043" spans="30:30" x14ac:dyDescent="0.3">
      <c r="AD13043" s="16"/>
    </row>
    <row r="13044" spans="30:30" x14ac:dyDescent="0.3">
      <c r="AD13044" s="16"/>
    </row>
    <row r="13045" spans="30:30" x14ac:dyDescent="0.3">
      <c r="AD13045" s="16"/>
    </row>
    <row r="13046" spans="30:30" x14ac:dyDescent="0.3">
      <c r="AD13046" s="16"/>
    </row>
    <row r="13047" spans="30:30" x14ac:dyDescent="0.3">
      <c r="AD13047" s="16"/>
    </row>
    <row r="13048" spans="30:30" x14ac:dyDescent="0.3">
      <c r="AD13048" s="16"/>
    </row>
    <row r="13049" spans="30:30" x14ac:dyDescent="0.3">
      <c r="AD13049" s="16"/>
    </row>
    <row r="13050" spans="30:30" x14ac:dyDescent="0.3">
      <c r="AD13050" s="16"/>
    </row>
    <row r="13051" spans="30:30" x14ac:dyDescent="0.3">
      <c r="AD13051" s="16"/>
    </row>
    <row r="13052" spans="30:30" x14ac:dyDescent="0.3">
      <c r="AD13052" s="16"/>
    </row>
    <row r="13053" spans="30:30" x14ac:dyDescent="0.3">
      <c r="AD13053" s="16"/>
    </row>
    <row r="13054" spans="30:30" x14ac:dyDescent="0.3">
      <c r="AD13054" s="16"/>
    </row>
    <row r="13055" spans="30:30" x14ac:dyDescent="0.3">
      <c r="AD13055" s="16"/>
    </row>
    <row r="13056" spans="30:30" x14ac:dyDescent="0.3">
      <c r="AD13056" s="16"/>
    </row>
    <row r="13057" spans="30:30" x14ac:dyDescent="0.3">
      <c r="AD13057" s="16"/>
    </row>
    <row r="13058" spans="30:30" x14ac:dyDescent="0.3">
      <c r="AD13058" s="16"/>
    </row>
    <row r="13059" spans="30:30" x14ac:dyDescent="0.3">
      <c r="AD13059" s="16"/>
    </row>
    <row r="13060" spans="30:30" x14ac:dyDescent="0.3">
      <c r="AD13060" s="16"/>
    </row>
    <row r="13061" spans="30:30" x14ac:dyDescent="0.3">
      <c r="AD13061" s="16"/>
    </row>
    <row r="13062" spans="30:30" x14ac:dyDescent="0.3">
      <c r="AD13062" s="16"/>
    </row>
    <row r="13063" spans="30:30" x14ac:dyDescent="0.3">
      <c r="AD13063" s="16"/>
    </row>
    <row r="13064" spans="30:30" x14ac:dyDescent="0.3">
      <c r="AD13064" s="16"/>
    </row>
    <row r="13065" spans="30:30" x14ac:dyDescent="0.3">
      <c r="AD13065" s="16"/>
    </row>
    <row r="13066" spans="30:30" x14ac:dyDescent="0.3">
      <c r="AD13066" s="16"/>
    </row>
    <row r="13067" spans="30:30" x14ac:dyDescent="0.3">
      <c r="AD13067" s="16"/>
    </row>
    <row r="13068" spans="30:30" x14ac:dyDescent="0.3">
      <c r="AD13068" s="16"/>
    </row>
    <row r="13069" spans="30:30" x14ac:dyDescent="0.3">
      <c r="AD13069" s="16"/>
    </row>
    <row r="13070" spans="30:30" x14ac:dyDescent="0.3">
      <c r="AD13070" s="16"/>
    </row>
    <row r="13071" spans="30:30" x14ac:dyDescent="0.3">
      <c r="AD13071" s="16"/>
    </row>
    <row r="13072" spans="30:30" x14ac:dyDescent="0.3">
      <c r="AD13072" s="16"/>
    </row>
    <row r="13073" spans="30:30" x14ac:dyDescent="0.3">
      <c r="AD13073" s="16"/>
    </row>
    <row r="13074" spans="30:30" x14ac:dyDescent="0.3">
      <c r="AD13074" s="16"/>
    </row>
    <row r="13075" spans="30:30" x14ac:dyDescent="0.3">
      <c r="AD13075" s="16"/>
    </row>
    <row r="13076" spans="30:30" x14ac:dyDescent="0.3">
      <c r="AD13076" s="16"/>
    </row>
    <row r="13077" spans="30:30" x14ac:dyDescent="0.3">
      <c r="AD13077" s="16"/>
    </row>
    <row r="13078" spans="30:30" x14ac:dyDescent="0.3">
      <c r="AD13078" s="16"/>
    </row>
    <row r="13079" spans="30:30" x14ac:dyDescent="0.3">
      <c r="AD13079" s="16"/>
    </row>
    <row r="13080" spans="30:30" x14ac:dyDescent="0.3">
      <c r="AD13080" s="16"/>
    </row>
    <row r="13081" spans="30:30" x14ac:dyDescent="0.3">
      <c r="AD13081" s="16"/>
    </row>
    <row r="13082" spans="30:30" x14ac:dyDescent="0.3">
      <c r="AD13082" s="16"/>
    </row>
    <row r="13083" spans="30:30" x14ac:dyDescent="0.3">
      <c r="AD13083" s="16"/>
    </row>
    <row r="13084" spans="30:30" x14ac:dyDescent="0.3">
      <c r="AD13084" s="16"/>
    </row>
    <row r="13085" spans="30:30" x14ac:dyDescent="0.3">
      <c r="AD13085" s="16"/>
    </row>
    <row r="13086" spans="30:30" x14ac:dyDescent="0.3">
      <c r="AD13086" s="16"/>
    </row>
    <row r="13087" spans="30:30" x14ac:dyDescent="0.3">
      <c r="AD13087" s="16"/>
    </row>
    <row r="13088" spans="30:30" x14ac:dyDescent="0.3">
      <c r="AD13088" s="16"/>
    </row>
    <row r="13089" spans="30:30" x14ac:dyDescent="0.3">
      <c r="AD13089" s="16"/>
    </row>
    <row r="13090" spans="30:30" x14ac:dyDescent="0.3">
      <c r="AD13090" s="16"/>
    </row>
    <row r="13091" spans="30:30" x14ac:dyDescent="0.3">
      <c r="AD13091" s="16"/>
    </row>
    <row r="13092" spans="30:30" x14ac:dyDescent="0.3">
      <c r="AD13092" s="16"/>
    </row>
    <row r="13093" spans="30:30" x14ac:dyDescent="0.3">
      <c r="AD13093" s="16"/>
    </row>
    <row r="13094" spans="30:30" x14ac:dyDescent="0.3">
      <c r="AD13094" s="16"/>
    </row>
    <row r="13095" spans="30:30" x14ac:dyDescent="0.3">
      <c r="AD13095" s="16"/>
    </row>
    <row r="13096" spans="30:30" x14ac:dyDescent="0.3">
      <c r="AD13096" s="16"/>
    </row>
    <row r="13097" spans="30:30" x14ac:dyDescent="0.3">
      <c r="AD13097" s="16"/>
    </row>
    <row r="13098" spans="30:30" x14ac:dyDescent="0.3">
      <c r="AD13098" s="16"/>
    </row>
    <row r="13099" spans="30:30" x14ac:dyDescent="0.3">
      <c r="AD13099" s="16"/>
    </row>
    <row r="13100" spans="30:30" x14ac:dyDescent="0.3">
      <c r="AD13100" s="16"/>
    </row>
    <row r="13101" spans="30:30" x14ac:dyDescent="0.3">
      <c r="AD13101" s="16"/>
    </row>
    <row r="13102" spans="30:30" x14ac:dyDescent="0.3">
      <c r="AD13102" s="16"/>
    </row>
    <row r="13103" spans="30:30" x14ac:dyDescent="0.3">
      <c r="AD13103" s="16"/>
    </row>
    <row r="13104" spans="30:30" x14ac:dyDescent="0.3">
      <c r="AD13104" s="16"/>
    </row>
    <row r="13105" spans="30:30" x14ac:dyDescent="0.3">
      <c r="AD13105" s="16"/>
    </row>
    <row r="13106" spans="30:30" x14ac:dyDescent="0.3">
      <c r="AD13106" s="16"/>
    </row>
    <row r="13107" spans="30:30" x14ac:dyDescent="0.3">
      <c r="AD13107" s="16"/>
    </row>
    <row r="13108" spans="30:30" x14ac:dyDescent="0.3">
      <c r="AD13108" s="16"/>
    </row>
    <row r="13109" spans="30:30" x14ac:dyDescent="0.3">
      <c r="AD13109" s="16"/>
    </row>
    <row r="13110" spans="30:30" x14ac:dyDescent="0.3">
      <c r="AD13110" s="16"/>
    </row>
    <row r="13111" spans="30:30" x14ac:dyDescent="0.3">
      <c r="AD13111" s="16"/>
    </row>
    <row r="13112" spans="30:30" x14ac:dyDescent="0.3">
      <c r="AD13112" s="16"/>
    </row>
    <row r="13113" spans="30:30" x14ac:dyDescent="0.3">
      <c r="AD13113" s="16"/>
    </row>
    <row r="13114" spans="30:30" x14ac:dyDescent="0.3">
      <c r="AD13114" s="16"/>
    </row>
    <row r="13115" spans="30:30" x14ac:dyDescent="0.3">
      <c r="AD13115" s="16"/>
    </row>
    <row r="13116" spans="30:30" x14ac:dyDescent="0.3">
      <c r="AD13116" s="16"/>
    </row>
    <row r="13117" spans="30:30" x14ac:dyDescent="0.3">
      <c r="AD13117" s="16"/>
    </row>
    <row r="13118" spans="30:30" x14ac:dyDescent="0.3">
      <c r="AD13118" s="16"/>
    </row>
    <row r="13119" spans="30:30" x14ac:dyDescent="0.3">
      <c r="AD13119" s="16"/>
    </row>
    <row r="13120" spans="30:30" x14ac:dyDescent="0.3">
      <c r="AD13120" s="16"/>
    </row>
    <row r="13121" spans="30:30" x14ac:dyDescent="0.3">
      <c r="AD13121" s="16"/>
    </row>
    <row r="13122" spans="30:30" x14ac:dyDescent="0.3">
      <c r="AD13122" s="16"/>
    </row>
    <row r="13123" spans="30:30" x14ac:dyDescent="0.3">
      <c r="AD13123" s="16"/>
    </row>
    <row r="13124" spans="30:30" x14ac:dyDescent="0.3">
      <c r="AD13124" s="16"/>
    </row>
    <row r="13125" spans="30:30" x14ac:dyDescent="0.3">
      <c r="AD13125" s="16"/>
    </row>
    <row r="13126" spans="30:30" x14ac:dyDescent="0.3">
      <c r="AD13126" s="16"/>
    </row>
    <row r="13127" spans="30:30" x14ac:dyDescent="0.3">
      <c r="AD13127" s="16"/>
    </row>
    <row r="13128" spans="30:30" x14ac:dyDescent="0.3">
      <c r="AD13128" s="16"/>
    </row>
    <row r="13129" spans="30:30" x14ac:dyDescent="0.3">
      <c r="AD13129" s="16"/>
    </row>
    <row r="13130" spans="30:30" x14ac:dyDescent="0.3">
      <c r="AD13130" s="16"/>
    </row>
    <row r="13131" spans="30:30" x14ac:dyDescent="0.3">
      <c r="AD13131" s="16"/>
    </row>
    <row r="13132" spans="30:30" x14ac:dyDescent="0.3">
      <c r="AD13132" s="16"/>
    </row>
    <row r="13133" spans="30:30" x14ac:dyDescent="0.3">
      <c r="AD13133" s="16"/>
    </row>
    <row r="13134" spans="30:30" x14ac:dyDescent="0.3">
      <c r="AD13134" s="16"/>
    </row>
    <row r="13135" spans="30:30" x14ac:dyDescent="0.3">
      <c r="AD13135" s="16"/>
    </row>
    <row r="13136" spans="30:30" x14ac:dyDescent="0.3">
      <c r="AD13136" s="16"/>
    </row>
    <row r="13137" spans="30:30" x14ac:dyDescent="0.3">
      <c r="AD13137" s="16"/>
    </row>
    <row r="13138" spans="30:30" x14ac:dyDescent="0.3">
      <c r="AD13138" s="16"/>
    </row>
    <row r="13139" spans="30:30" x14ac:dyDescent="0.3">
      <c r="AD13139" s="16"/>
    </row>
    <row r="13140" spans="30:30" x14ac:dyDescent="0.3">
      <c r="AD13140" s="16"/>
    </row>
    <row r="13141" spans="30:30" x14ac:dyDescent="0.3">
      <c r="AD13141" s="16"/>
    </row>
    <row r="13142" spans="30:30" x14ac:dyDescent="0.3">
      <c r="AD13142" s="16"/>
    </row>
    <row r="13143" spans="30:30" x14ac:dyDescent="0.3">
      <c r="AD13143" s="16"/>
    </row>
    <row r="13144" spans="30:30" x14ac:dyDescent="0.3">
      <c r="AD13144" s="16"/>
    </row>
    <row r="13145" spans="30:30" x14ac:dyDescent="0.3">
      <c r="AD13145" s="16"/>
    </row>
    <row r="13146" spans="30:30" x14ac:dyDescent="0.3">
      <c r="AD13146" s="16"/>
    </row>
    <row r="13147" spans="30:30" x14ac:dyDescent="0.3">
      <c r="AD13147" s="16"/>
    </row>
    <row r="13148" spans="30:30" x14ac:dyDescent="0.3">
      <c r="AD13148" s="16"/>
    </row>
    <row r="13149" spans="30:30" x14ac:dyDescent="0.3">
      <c r="AD13149" s="16"/>
    </row>
    <row r="13150" spans="30:30" x14ac:dyDescent="0.3">
      <c r="AD13150" s="16"/>
    </row>
    <row r="13151" spans="30:30" x14ac:dyDescent="0.3">
      <c r="AD13151" s="16"/>
    </row>
    <row r="13152" spans="30:30" x14ac:dyDescent="0.3">
      <c r="AD13152" s="16"/>
    </row>
    <row r="13153" spans="30:30" x14ac:dyDescent="0.3">
      <c r="AD13153" s="16"/>
    </row>
    <row r="13154" spans="30:30" x14ac:dyDescent="0.3">
      <c r="AD13154" s="16"/>
    </row>
    <row r="13155" spans="30:30" x14ac:dyDescent="0.3">
      <c r="AD13155" s="16"/>
    </row>
    <row r="13156" spans="30:30" x14ac:dyDescent="0.3">
      <c r="AD13156" s="16"/>
    </row>
    <row r="13157" spans="30:30" x14ac:dyDescent="0.3">
      <c r="AD13157" s="16"/>
    </row>
    <row r="13158" spans="30:30" x14ac:dyDescent="0.3">
      <c r="AD13158" s="16"/>
    </row>
    <row r="13159" spans="30:30" x14ac:dyDescent="0.3">
      <c r="AD13159" s="16"/>
    </row>
    <row r="13160" spans="30:30" x14ac:dyDescent="0.3">
      <c r="AD13160" s="16"/>
    </row>
    <row r="13161" spans="30:30" x14ac:dyDescent="0.3">
      <c r="AD13161" s="16"/>
    </row>
    <row r="13162" spans="30:30" x14ac:dyDescent="0.3">
      <c r="AD13162" s="16"/>
    </row>
    <row r="13163" spans="30:30" x14ac:dyDescent="0.3">
      <c r="AD13163" s="16"/>
    </row>
    <row r="13164" spans="30:30" x14ac:dyDescent="0.3">
      <c r="AD13164" s="16"/>
    </row>
    <row r="13165" spans="30:30" x14ac:dyDescent="0.3">
      <c r="AD13165" s="16"/>
    </row>
    <row r="13166" spans="30:30" x14ac:dyDescent="0.3">
      <c r="AD13166" s="16"/>
    </row>
    <row r="13167" spans="30:30" x14ac:dyDescent="0.3">
      <c r="AD13167" s="16"/>
    </row>
    <row r="13168" spans="30:30" x14ac:dyDescent="0.3">
      <c r="AD13168" s="16"/>
    </row>
    <row r="13169" spans="30:30" x14ac:dyDescent="0.3">
      <c r="AD13169" s="16"/>
    </row>
    <row r="13170" spans="30:30" x14ac:dyDescent="0.3">
      <c r="AD13170" s="16"/>
    </row>
    <row r="13171" spans="30:30" x14ac:dyDescent="0.3">
      <c r="AD13171" s="16"/>
    </row>
    <row r="13172" spans="30:30" x14ac:dyDescent="0.3">
      <c r="AD13172" s="16"/>
    </row>
    <row r="13173" spans="30:30" x14ac:dyDescent="0.3">
      <c r="AD13173" s="16"/>
    </row>
    <row r="13174" spans="30:30" x14ac:dyDescent="0.3">
      <c r="AD13174" s="16"/>
    </row>
    <row r="13175" spans="30:30" x14ac:dyDescent="0.3">
      <c r="AD13175" s="16"/>
    </row>
    <row r="13176" spans="30:30" x14ac:dyDescent="0.3">
      <c r="AD13176" s="16"/>
    </row>
    <row r="13177" spans="30:30" x14ac:dyDescent="0.3">
      <c r="AD13177" s="16"/>
    </row>
    <row r="13178" spans="30:30" x14ac:dyDescent="0.3">
      <c r="AD13178" s="16"/>
    </row>
    <row r="13179" spans="30:30" x14ac:dyDescent="0.3">
      <c r="AD13179" s="16"/>
    </row>
    <row r="13180" spans="30:30" x14ac:dyDescent="0.3">
      <c r="AD13180" s="16"/>
    </row>
    <row r="13181" spans="30:30" x14ac:dyDescent="0.3">
      <c r="AD13181" s="16"/>
    </row>
    <row r="13182" spans="30:30" x14ac:dyDescent="0.3">
      <c r="AD13182" s="16"/>
    </row>
    <row r="13183" spans="30:30" x14ac:dyDescent="0.3">
      <c r="AD13183" s="16"/>
    </row>
    <row r="13184" spans="30:30" x14ac:dyDescent="0.3">
      <c r="AD13184" s="16"/>
    </row>
    <row r="13185" spans="30:30" x14ac:dyDescent="0.3">
      <c r="AD13185" s="16"/>
    </row>
    <row r="13186" spans="30:30" x14ac:dyDescent="0.3">
      <c r="AD13186" s="16"/>
    </row>
    <row r="13187" spans="30:30" x14ac:dyDescent="0.3">
      <c r="AD13187" s="16"/>
    </row>
    <row r="13188" spans="30:30" x14ac:dyDescent="0.3">
      <c r="AD13188" s="16"/>
    </row>
    <row r="13189" spans="30:30" x14ac:dyDescent="0.3">
      <c r="AD13189" s="16"/>
    </row>
    <row r="13190" spans="30:30" x14ac:dyDescent="0.3">
      <c r="AD13190" s="16"/>
    </row>
    <row r="13191" spans="30:30" x14ac:dyDescent="0.3">
      <c r="AD13191" s="16"/>
    </row>
    <row r="13192" spans="30:30" x14ac:dyDescent="0.3">
      <c r="AD13192" s="16"/>
    </row>
    <row r="13193" spans="30:30" x14ac:dyDescent="0.3">
      <c r="AD13193" s="16"/>
    </row>
    <row r="13194" spans="30:30" x14ac:dyDescent="0.3">
      <c r="AD13194" s="16"/>
    </row>
    <row r="13195" spans="30:30" x14ac:dyDescent="0.3">
      <c r="AD13195" s="16"/>
    </row>
    <row r="13196" spans="30:30" x14ac:dyDescent="0.3">
      <c r="AD13196" s="16"/>
    </row>
    <row r="13197" spans="30:30" x14ac:dyDescent="0.3">
      <c r="AD13197" s="16"/>
    </row>
    <row r="13198" spans="30:30" x14ac:dyDescent="0.3">
      <c r="AD13198" s="16"/>
    </row>
    <row r="13199" spans="30:30" x14ac:dyDescent="0.3">
      <c r="AD13199" s="16"/>
    </row>
    <row r="13200" spans="30:30" x14ac:dyDescent="0.3">
      <c r="AD13200" s="16"/>
    </row>
    <row r="13201" spans="30:30" x14ac:dyDescent="0.3">
      <c r="AD13201" s="16"/>
    </row>
    <row r="13202" spans="30:30" x14ac:dyDescent="0.3">
      <c r="AD13202" s="16"/>
    </row>
    <row r="13203" spans="30:30" x14ac:dyDescent="0.3">
      <c r="AD13203" s="16"/>
    </row>
    <row r="13204" spans="30:30" x14ac:dyDescent="0.3">
      <c r="AD13204" s="16"/>
    </row>
    <row r="13205" spans="30:30" x14ac:dyDescent="0.3">
      <c r="AD13205" s="16"/>
    </row>
    <row r="13206" spans="30:30" x14ac:dyDescent="0.3">
      <c r="AD13206" s="16"/>
    </row>
    <row r="13207" spans="30:30" x14ac:dyDescent="0.3">
      <c r="AD13207" s="16"/>
    </row>
    <row r="13208" spans="30:30" x14ac:dyDescent="0.3">
      <c r="AD13208" s="16"/>
    </row>
    <row r="13209" spans="30:30" x14ac:dyDescent="0.3">
      <c r="AD13209" s="16"/>
    </row>
    <row r="13210" spans="30:30" x14ac:dyDescent="0.3">
      <c r="AD13210" s="16"/>
    </row>
    <row r="13211" spans="30:30" x14ac:dyDescent="0.3">
      <c r="AD13211" s="16"/>
    </row>
    <row r="13212" spans="30:30" x14ac:dyDescent="0.3">
      <c r="AD13212" s="16"/>
    </row>
    <row r="13213" spans="30:30" x14ac:dyDescent="0.3">
      <c r="AD13213" s="16"/>
    </row>
    <row r="13214" spans="30:30" x14ac:dyDescent="0.3">
      <c r="AD13214" s="16"/>
    </row>
    <row r="13215" spans="30:30" x14ac:dyDescent="0.3">
      <c r="AD13215" s="16"/>
    </row>
    <row r="13216" spans="30:30" x14ac:dyDescent="0.3">
      <c r="AD13216" s="16"/>
    </row>
    <row r="13217" spans="30:30" x14ac:dyDescent="0.3">
      <c r="AD13217" s="16"/>
    </row>
    <row r="13218" spans="30:30" x14ac:dyDescent="0.3">
      <c r="AD13218" s="16"/>
    </row>
    <row r="13219" spans="30:30" x14ac:dyDescent="0.3">
      <c r="AD13219" s="16"/>
    </row>
    <row r="13220" spans="30:30" x14ac:dyDescent="0.3">
      <c r="AD13220" s="16"/>
    </row>
    <row r="13221" spans="30:30" x14ac:dyDescent="0.3">
      <c r="AD13221" s="16"/>
    </row>
    <row r="13222" spans="30:30" x14ac:dyDescent="0.3">
      <c r="AD13222" s="16"/>
    </row>
    <row r="13223" spans="30:30" x14ac:dyDescent="0.3">
      <c r="AD13223" s="16"/>
    </row>
    <row r="13224" spans="30:30" x14ac:dyDescent="0.3">
      <c r="AD13224" s="16"/>
    </row>
    <row r="13225" spans="30:30" x14ac:dyDescent="0.3">
      <c r="AD13225" s="16"/>
    </row>
    <row r="13226" spans="30:30" x14ac:dyDescent="0.3">
      <c r="AD13226" s="16"/>
    </row>
    <row r="13227" spans="30:30" x14ac:dyDescent="0.3">
      <c r="AD13227" s="16"/>
    </row>
    <row r="13228" spans="30:30" x14ac:dyDescent="0.3">
      <c r="AD13228" s="16"/>
    </row>
    <row r="13229" spans="30:30" x14ac:dyDescent="0.3">
      <c r="AD13229" s="16"/>
    </row>
    <row r="13230" spans="30:30" x14ac:dyDescent="0.3">
      <c r="AD13230" s="16"/>
    </row>
    <row r="13231" spans="30:30" x14ac:dyDescent="0.3">
      <c r="AD13231" s="16"/>
    </row>
    <row r="13232" spans="30:30" x14ac:dyDescent="0.3">
      <c r="AD13232" s="16"/>
    </row>
    <row r="13233" spans="30:30" x14ac:dyDescent="0.3">
      <c r="AD13233" s="16"/>
    </row>
    <row r="13234" spans="30:30" x14ac:dyDescent="0.3">
      <c r="AD13234" s="16"/>
    </row>
    <row r="13235" spans="30:30" x14ac:dyDescent="0.3">
      <c r="AD13235" s="16"/>
    </row>
    <row r="13236" spans="30:30" x14ac:dyDescent="0.3">
      <c r="AD13236" s="16"/>
    </row>
    <row r="13237" spans="30:30" x14ac:dyDescent="0.3">
      <c r="AD13237" s="16"/>
    </row>
    <row r="13238" spans="30:30" x14ac:dyDescent="0.3">
      <c r="AD13238" s="16"/>
    </row>
    <row r="13239" spans="30:30" x14ac:dyDescent="0.3">
      <c r="AD13239" s="16"/>
    </row>
    <row r="13240" spans="30:30" x14ac:dyDescent="0.3">
      <c r="AD13240" s="16"/>
    </row>
    <row r="13241" spans="30:30" x14ac:dyDescent="0.3">
      <c r="AD13241" s="16"/>
    </row>
    <row r="13242" spans="30:30" x14ac:dyDescent="0.3">
      <c r="AD13242" s="16"/>
    </row>
    <row r="13243" spans="30:30" x14ac:dyDescent="0.3">
      <c r="AD13243" s="16"/>
    </row>
    <row r="13244" spans="30:30" x14ac:dyDescent="0.3">
      <c r="AD13244" s="16"/>
    </row>
    <row r="13245" spans="30:30" x14ac:dyDescent="0.3">
      <c r="AD13245" s="16"/>
    </row>
    <row r="13246" spans="30:30" x14ac:dyDescent="0.3">
      <c r="AD13246" s="16"/>
    </row>
    <row r="13247" spans="30:30" x14ac:dyDescent="0.3">
      <c r="AD13247" s="16"/>
    </row>
    <row r="13248" spans="30:30" x14ac:dyDescent="0.3">
      <c r="AD13248" s="16"/>
    </row>
    <row r="13249" spans="30:30" x14ac:dyDescent="0.3">
      <c r="AD13249" s="16"/>
    </row>
    <row r="13250" spans="30:30" x14ac:dyDescent="0.3">
      <c r="AD13250" s="16"/>
    </row>
    <row r="13251" spans="30:30" x14ac:dyDescent="0.3">
      <c r="AD13251" s="16"/>
    </row>
    <row r="13252" spans="30:30" x14ac:dyDescent="0.3">
      <c r="AD13252" s="16"/>
    </row>
    <row r="13253" spans="30:30" x14ac:dyDescent="0.3">
      <c r="AD13253" s="16"/>
    </row>
    <row r="13254" spans="30:30" x14ac:dyDescent="0.3">
      <c r="AD13254" s="16"/>
    </row>
    <row r="13255" spans="30:30" x14ac:dyDescent="0.3">
      <c r="AD13255" s="16"/>
    </row>
    <row r="13256" spans="30:30" x14ac:dyDescent="0.3">
      <c r="AD13256" s="16"/>
    </row>
    <row r="13257" spans="30:30" x14ac:dyDescent="0.3">
      <c r="AD13257" s="16"/>
    </row>
    <row r="13258" spans="30:30" x14ac:dyDescent="0.3">
      <c r="AD13258" s="16"/>
    </row>
    <row r="13259" spans="30:30" x14ac:dyDescent="0.3">
      <c r="AD13259" s="16"/>
    </row>
    <row r="13260" spans="30:30" x14ac:dyDescent="0.3">
      <c r="AD13260" s="16"/>
    </row>
    <row r="13261" spans="30:30" x14ac:dyDescent="0.3">
      <c r="AD13261" s="16"/>
    </row>
    <row r="13262" spans="30:30" x14ac:dyDescent="0.3">
      <c r="AD13262" s="16"/>
    </row>
    <row r="13263" spans="30:30" x14ac:dyDescent="0.3">
      <c r="AD13263" s="16"/>
    </row>
    <row r="13264" spans="30:30" x14ac:dyDescent="0.3">
      <c r="AD13264" s="16"/>
    </row>
    <row r="13265" spans="30:30" x14ac:dyDescent="0.3">
      <c r="AD13265" s="16"/>
    </row>
    <row r="13266" spans="30:30" x14ac:dyDescent="0.3">
      <c r="AD13266" s="16"/>
    </row>
    <row r="13267" spans="30:30" x14ac:dyDescent="0.3">
      <c r="AD13267" s="16"/>
    </row>
    <row r="13268" spans="30:30" x14ac:dyDescent="0.3">
      <c r="AD13268" s="16"/>
    </row>
    <row r="13269" spans="30:30" x14ac:dyDescent="0.3">
      <c r="AD13269" s="16"/>
    </row>
    <row r="13270" spans="30:30" x14ac:dyDescent="0.3">
      <c r="AD13270" s="16"/>
    </row>
    <row r="13271" spans="30:30" x14ac:dyDescent="0.3">
      <c r="AD13271" s="16"/>
    </row>
    <row r="13272" spans="30:30" x14ac:dyDescent="0.3">
      <c r="AD13272" s="16"/>
    </row>
    <row r="13273" spans="30:30" x14ac:dyDescent="0.3">
      <c r="AD13273" s="16"/>
    </row>
    <row r="13274" spans="30:30" x14ac:dyDescent="0.3">
      <c r="AD13274" s="16"/>
    </row>
    <row r="13275" spans="30:30" x14ac:dyDescent="0.3">
      <c r="AD13275" s="16"/>
    </row>
    <row r="13276" spans="30:30" x14ac:dyDescent="0.3">
      <c r="AD13276" s="16"/>
    </row>
    <row r="13277" spans="30:30" x14ac:dyDescent="0.3">
      <c r="AD13277" s="16"/>
    </row>
    <row r="13278" spans="30:30" x14ac:dyDescent="0.3">
      <c r="AD13278" s="16"/>
    </row>
    <row r="13279" spans="30:30" x14ac:dyDescent="0.3">
      <c r="AD13279" s="16"/>
    </row>
    <row r="13280" spans="30:30" x14ac:dyDescent="0.3">
      <c r="AD13280" s="16"/>
    </row>
    <row r="13281" spans="30:30" x14ac:dyDescent="0.3">
      <c r="AD13281" s="16"/>
    </row>
    <row r="13282" spans="30:30" x14ac:dyDescent="0.3">
      <c r="AD13282" s="16"/>
    </row>
    <row r="13283" spans="30:30" x14ac:dyDescent="0.3">
      <c r="AD13283" s="16"/>
    </row>
    <row r="13284" spans="30:30" x14ac:dyDescent="0.3">
      <c r="AD13284" s="16"/>
    </row>
    <row r="13285" spans="30:30" x14ac:dyDescent="0.3">
      <c r="AD13285" s="16"/>
    </row>
    <row r="13286" spans="30:30" x14ac:dyDescent="0.3">
      <c r="AD13286" s="16"/>
    </row>
    <row r="13287" spans="30:30" x14ac:dyDescent="0.3">
      <c r="AD13287" s="16"/>
    </row>
    <row r="13288" spans="30:30" x14ac:dyDescent="0.3">
      <c r="AD13288" s="16"/>
    </row>
    <row r="13289" spans="30:30" x14ac:dyDescent="0.3">
      <c r="AD13289" s="16"/>
    </row>
    <row r="13290" spans="30:30" x14ac:dyDescent="0.3">
      <c r="AD13290" s="16"/>
    </row>
    <row r="13291" spans="30:30" x14ac:dyDescent="0.3">
      <c r="AD13291" s="16"/>
    </row>
    <row r="13292" spans="30:30" x14ac:dyDescent="0.3">
      <c r="AD13292" s="16"/>
    </row>
    <row r="13293" spans="30:30" x14ac:dyDescent="0.3">
      <c r="AD13293" s="16"/>
    </row>
    <row r="13294" spans="30:30" x14ac:dyDescent="0.3">
      <c r="AD13294" s="16"/>
    </row>
    <row r="13295" spans="30:30" x14ac:dyDescent="0.3">
      <c r="AD13295" s="16"/>
    </row>
    <row r="13296" spans="30:30" x14ac:dyDescent="0.3">
      <c r="AD13296" s="16"/>
    </row>
    <row r="13297" spans="30:30" x14ac:dyDescent="0.3">
      <c r="AD13297" s="16"/>
    </row>
    <row r="13298" spans="30:30" x14ac:dyDescent="0.3">
      <c r="AD13298" s="16"/>
    </row>
    <row r="13299" spans="30:30" x14ac:dyDescent="0.3">
      <c r="AD13299" s="16"/>
    </row>
    <row r="13300" spans="30:30" x14ac:dyDescent="0.3">
      <c r="AD13300" s="16"/>
    </row>
    <row r="13301" spans="30:30" x14ac:dyDescent="0.3">
      <c r="AD13301" s="16"/>
    </row>
    <row r="13302" spans="30:30" x14ac:dyDescent="0.3">
      <c r="AD13302" s="16"/>
    </row>
    <row r="13303" spans="30:30" x14ac:dyDescent="0.3">
      <c r="AD13303" s="16"/>
    </row>
    <row r="13304" spans="30:30" x14ac:dyDescent="0.3">
      <c r="AD13304" s="16"/>
    </row>
    <row r="13305" spans="30:30" x14ac:dyDescent="0.3">
      <c r="AD13305" s="16"/>
    </row>
    <row r="13306" spans="30:30" x14ac:dyDescent="0.3">
      <c r="AD13306" s="16"/>
    </row>
    <row r="13307" spans="30:30" x14ac:dyDescent="0.3">
      <c r="AD13307" s="16"/>
    </row>
    <row r="13308" spans="30:30" x14ac:dyDescent="0.3">
      <c r="AD13308" s="16"/>
    </row>
    <row r="13309" spans="30:30" x14ac:dyDescent="0.3">
      <c r="AD13309" s="16"/>
    </row>
    <row r="13310" spans="30:30" x14ac:dyDescent="0.3">
      <c r="AD13310" s="16"/>
    </row>
    <row r="13311" spans="30:30" x14ac:dyDescent="0.3">
      <c r="AD13311" s="16"/>
    </row>
    <row r="13312" spans="30:30" x14ac:dyDescent="0.3">
      <c r="AD13312" s="16"/>
    </row>
    <row r="13313" spans="30:30" x14ac:dyDescent="0.3">
      <c r="AD13313" s="16"/>
    </row>
    <row r="13314" spans="30:30" x14ac:dyDescent="0.3">
      <c r="AD13314" s="16"/>
    </row>
    <row r="13315" spans="30:30" x14ac:dyDescent="0.3">
      <c r="AD13315" s="16"/>
    </row>
    <row r="13316" spans="30:30" x14ac:dyDescent="0.3">
      <c r="AD13316" s="16"/>
    </row>
    <row r="13317" spans="30:30" x14ac:dyDescent="0.3">
      <c r="AD13317" s="16"/>
    </row>
    <row r="13318" spans="30:30" x14ac:dyDescent="0.3">
      <c r="AD13318" s="16"/>
    </row>
    <row r="13319" spans="30:30" x14ac:dyDescent="0.3">
      <c r="AD13319" s="16"/>
    </row>
    <row r="13320" spans="30:30" x14ac:dyDescent="0.3">
      <c r="AD13320" s="16"/>
    </row>
    <row r="13321" spans="30:30" x14ac:dyDescent="0.3">
      <c r="AD13321" s="16"/>
    </row>
    <row r="13322" spans="30:30" x14ac:dyDescent="0.3">
      <c r="AD13322" s="16"/>
    </row>
    <row r="13323" spans="30:30" x14ac:dyDescent="0.3">
      <c r="AD13323" s="16"/>
    </row>
    <row r="13324" spans="30:30" x14ac:dyDescent="0.3">
      <c r="AD13324" s="16"/>
    </row>
    <row r="13325" spans="30:30" x14ac:dyDescent="0.3">
      <c r="AD13325" s="16"/>
    </row>
    <row r="13326" spans="30:30" x14ac:dyDescent="0.3">
      <c r="AD13326" s="16"/>
    </row>
    <row r="13327" spans="30:30" x14ac:dyDescent="0.3">
      <c r="AD13327" s="16"/>
    </row>
    <row r="13328" spans="30:30" x14ac:dyDescent="0.3">
      <c r="AD13328" s="16"/>
    </row>
    <row r="13329" spans="30:30" x14ac:dyDescent="0.3">
      <c r="AD13329" s="16"/>
    </row>
    <row r="13330" spans="30:30" x14ac:dyDescent="0.3">
      <c r="AD13330" s="16"/>
    </row>
    <row r="13331" spans="30:30" x14ac:dyDescent="0.3">
      <c r="AD13331" s="16"/>
    </row>
    <row r="13332" spans="30:30" x14ac:dyDescent="0.3">
      <c r="AD13332" s="16"/>
    </row>
    <row r="13333" spans="30:30" x14ac:dyDescent="0.3">
      <c r="AD13333" s="16"/>
    </row>
    <row r="13334" spans="30:30" x14ac:dyDescent="0.3">
      <c r="AD13334" s="16"/>
    </row>
    <row r="13335" spans="30:30" x14ac:dyDescent="0.3">
      <c r="AD13335" s="16"/>
    </row>
    <row r="13336" spans="30:30" x14ac:dyDescent="0.3">
      <c r="AD13336" s="16"/>
    </row>
    <row r="13337" spans="30:30" x14ac:dyDescent="0.3">
      <c r="AD13337" s="16"/>
    </row>
    <row r="13338" spans="30:30" x14ac:dyDescent="0.3">
      <c r="AD13338" s="16"/>
    </row>
    <row r="13339" spans="30:30" x14ac:dyDescent="0.3">
      <c r="AD13339" s="16"/>
    </row>
    <row r="13340" spans="30:30" x14ac:dyDescent="0.3">
      <c r="AD13340" s="16"/>
    </row>
    <row r="13341" spans="30:30" x14ac:dyDescent="0.3">
      <c r="AD13341" s="16"/>
    </row>
    <row r="13342" spans="30:30" x14ac:dyDescent="0.3">
      <c r="AD13342" s="16"/>
    </row>
    <row r="13343" spans="30:30" x14ac:dyDescent="0.3">
      <c r="AD13343" s="16"/>
    </row>
    <row r="13344" spans="30:30" x14ac:dyDescent="0.3">
      <c r="AD13344" s="16"/>
    </row>
    <row r="13345" spans="30:30" x14ac:dyDescent="0.3">
      <c r="AD13345" s="16"/>
    </row>
    <row r="13346" spans="30:30" x14ac:dyDescent="0.3">
      <c r="AD13346" s="16"/>
    </row>
    <row r="13347" spans="30:30" x14ac:dyDescent="0.3">
      <c r="AD13347" s="16"/>
    </row>
    <row r="13348" spans="30:30" x14ac:dyDescent="0.3">
      <c r="AD13348" s="16"/>
    </row>
    <row r="13349" spans="30:30" x14ac:dyDescent="0.3">
      <c r="AD13349" s="16"/>
    </row>
    <row r="13350" spans="30:30" x14ac:dyDescent="0.3">
      <c r="AD13350" s="16"/>
    </row>
    <row r="13351" spans="30:30" x14ac:dyDescent="0.3">
      <c r="AD13351" s="16"/>
    </row>
    <row r="13352" spans="30:30" x14ac:dyDescent="0.3">
      <c r="AD13352" s="16"/>
    </row>
    <row r="13353" spans="30:30" x14ac:dyDescent="0.3">
      <c r="AD13353" s="16"/>
    </row>
    <row r="13354" spans="30:30" x14ac:dyDescent="0.3">
      <c r="AD13354" s="16"/>
    </row>
    <row r="13355" spans="30:30" x14ac:dyDescent="0.3">
      <c r="AD13355" s="16"/>
    </row>
    <row r="13356" spans="30:30" x14ac:dyDescent="0.3">
      <c r="AD13356" s="16"/>
    </row>
    <row r="13357" spans="30:30" x14ac:dyDescent="0.3">
      <c r="AD13357" s="16"/>
    </row>
    <row r="13358" spans="30:30" x14ac:dyDescent="0.3">
      <c r="AD13358" s="16"/>
    </row>
    <row r="13359" spans="30:30" x14ac:dyDescent="0.3">
      <c r="AD13359" s="16"/>
    </row>
    <row r="13360" spans="30:30" x14ac:dyDescent="0.3">
      <c r="AD13360" s="16"/>
    </row>
    <row r="13361" spans="30:30" x14ac:dyDescent="0.3">
      <c r="AD13361" s="16"/>
    </row>
    <row r="13362" spans="30:30" x14ac:dyDescent="0.3">
      <c r="AD13362" s="16"/>
    </row>
    <row r="13363" spans="30:30" x14ac:dyDescent="0.3">
      <c r="AD13363" s="16"/>
    </row>
    <row r="13364" spans="30:30" x14ac:dyDescent="0.3">
      <c r="AD13364" s="16"/>
    </row>
    <row r="13365" spans="30:30" x14ac:dyDescent="0.3">
      <c r="AD13365" s="16"/>
    </row>
    <row r="13366" spans="30:30" x14ac:dyDescent="0.3">
      <c r="AD13366" s="16"/>
    </row>
    <row r="13367" spans="30:30" x14ac:dyDescent="0.3">
      <c r="AD13367" s="16"/>
    </row>
    <row r="13368" spans="30:30" x14ac:dyDescent="0.3">
      <c r="AD13368" s="16"/>
    </row>
    <row r="13369" spans="30:30" x14ac:dyDescent="0.3">
      <c r="AD13369" s="16"/>
    </row>
    <row r="13370" spans="30:30" x14ac:dyDescent="0.3">
      <c r="AD13370" s="16"/>
    </row>
    <row r="13371" spans="30:30" x14ac:dyDescent="0.3">
      <c r="AD13371" s="16"/>
    </row>
    <row r="13372" spans="30:30" x14ac:dyDescent="0.3">
      <c r="AD13372" s="16"/>
    </row>
    <row r="13373" spans="30:30" x14ac:dyDescent="0.3">
      <c r="AD13373" s="16"/>
    </row>
    <row r="13374" spans="30:30" x14ac:dyDescent="0.3">
      <c r="AD13374" s="16"/>
    </row>
    <row r="13375" spans="30:30" x14ac:dyDescent="0.3">
      <c r="AD13375" s="16"/>
    </row>
    <row r="13376" spans="30:30" x14ac:dyDescent="0.3">
      <c r="AD13376" s="16"/>
    </row>
    <row r="13377" spans="30:30" x14ac:dyDescent="0.3">
      <c r="AD13377" s="16"/>
    </row>
    <row r="13378" spans="30:30" x14ac:dyDescent="0.3">
      <c r="AD13378" s="16"/>
    </row>
    <row r="13379" spans="30:30" x14ac:dyDescent="0.3">
      <c r="AD13379" s="16"/>
    </row>
    <row r="13380" spans="30:30" x14ac:dyDescent="0.3">
      <c r="AD13380" s="16"/>
    </row>
    <row r="13381" spans="30:30" x14ac:dyDescent="0.3">
      <c r="AD13381" s="16"/>
    </row>
    <row r="13382" spans="30:30" x14ac:dyDescent="0.3">
      <c r="AD13382" s="16"/>
    </row>
    <row r="13383" spans="30:30" x14ac:dyDescent="0.3">
      <c r="AD13383" s="16"/>
    </row>
    <row r="13384" spans="30:30" x14ac:dyDescent="0.3">
      <c r="AD13384" s="16"/>
    </row>
    <row r="13385" spans="30:30" x14ac:dyDescent="0.3">
      <c r="AD13385" s="16"/>
    </row>
    <row r="13386" spans="30:30" x14ac:dyDescent="0.3">
      <c r="AD13386" s="16"/>
    </row>
    <row r="13387" spans="30:30" x14ac:dyDescent="0.3">
      <c r="AD13387" s="16"/>
    </row>
    <row r="13388" spans="30:30" x14ac:dyDescent="0.3">
      <c r="AD13388" s="16"/>
    </row>
    <row r="13389" spans="30:30" x14ac:dyDescent="0.3">
      <c r="AD13389" s="16"/>
    </row>
    <row r="13390" spans="30:30" x14ac:dyDescent="0.3">
      <c r="AD13390" s="16"/>
    </row>
    <row r="13391" spans="30:30" x14ac:dyDescent="0.3">
      <c r="AD13391" s="16"/>
    </row>
    <row r="13392" spans="30:30" x14ac:dyDescent="0.3">
      <c r="AD13392" s="16"/>
    </row>
    <row r="13393" spans="30:30" x14ac:dyDescent="0.3">
      <c r="AD13393" s="16"/>
    </row>
    <row r="13394" spans="30:30" x14ac:dyDescent="0.3">
      <c r="AD13394" s="16"/>
    </row>
    <row r="13395" spans="30:30" x14ac:dyDescent="0.3">
      <c r="AD13395" s="16"/>
    </row>
    <row r="13396" spans="30:30" x14ac:dyDescent="0.3">
      <c r="AD13396" s="16"/>
    </row>
    <row r="13397" spans="30:30" x14ac:dyDescent="0.3">
      <c r="AD13397" s="16"/>
    </row>
    <row r="13398" spans="30:30" x14ac:dyDescent="0.3">
      <c r="AD13398" s="16"/>
    </row>
    <row r="13399" spans="30:30" x14ac:dyDescent="0.3">
      <c r="AD13399" s="16"/>
    </row>
    <row r="13400" spans="30:30" x14ac:dyDescent="0.3">
      <c r="AD13400" s="16"/>
    </row>
    <row r="13401" spans="30:30" x14ac:dyDescent="0.3">
      <c r="AD13401" s="16"/>
    </row>
    <row r="13402" spans="30:30" x14ac:dyDescent="0.3">
      <c r="AD13402" s="16"/>
    </row>
    <row r="13403" spans="30:30" x14ac:dyDescent="0.3">
      <c r="AD13403" s="16"/>
    </row>
    <row r="13404" spans="30:30" x14ac:dyDescent="0.3">
      <c r="AD13404" s="16"/>
    </row>
    <row r="13405" spans="30:30" x14ac:dyDescent="0.3">
      <c r="AD13405" s="16"/>
    </row>
    <row r="13406" spans="30:30" x14ac:dyDescent="0.3">
      <c r="AD13406" s="16"/>
    </row>
    <row r="13407" spans="30:30" x14ac:dyDescent="0.3">
      <c r="AD13407" s="16"/>
    </row>
    <row r="13408" spans="30:30" x14ac:dyDescent="0.3">
      <c r="AD13408" s="16"/>
    </row>
    <row r="13409" spans="30:30" x14ac:dyDescent="0.3">
      <c r="AD13409" s="16"/>
    </row>
    <row r="13410" spans="30:30" x14ac:dyDescent="0.3">
      <c r="AD13410" s="16"/>
    </row>
    <row r="13411" spans="30:30" x14ac:dyDescent="0.3">
      <c r="AD13411" s="16"/>
    </row>
    <row r="13412" spans="30:30" x14ac:dyDescent="0.3">
      <c r="AD13412" s="16"/>
    </row>
    <row r="13413" spans="30:30" x14ac:dyDescent="0.3">
      <c r="AD13413" s="16"/>
    </row>
    <row r="13414" spans="30:30" x14ac:dyDescent="0.3">
      <c r="AD13414" s="16"/>
    </row>
    <row r="13415" spans="30:30" x14ac:dyDescent="0.3">
      <c r="AD13415" s="16"/>
    </row>
    <row r="13416" spans="30:30" x14ac:dyDescent="0.3">
      <c r="AD13416" s="16"/>
    </row>
    <row r="13417" spans="30:30" x14ac:dyDescent="0.3">
      <c r="AD13417" s="16"/>
    </row>
    <row r="13418" spans="30:30" x14ac:dyDescent="0.3">
      <c r="AD13418" s="16"/>
    </row>
    <row r="13419" spans="30:30" x14ac:dyDescent="0.3">
      <c r="AD13419" s="16"/>
    </row>
    <row r="13420" spans="30:30" x14ac:dyDescent="0.3">
      <c r="AD13420" s="16"/>
    </row>
    <row r="13421" spans="30:30" x14ac:dyDescent="0.3">
      <c r="AD13421" s="16"/>
    </row>
    <row r="13422" spans="30:30" x14ac:dyDescent="0.3">
      <c r="AD13422" s="16"/>
    </row>
    <row r="13423" spans="30:30" x14ac:dyDescent="0.3">
      <c r="AD13423" s="16"/>
    </row>
    <row r="13424" spans="30:30" x14ac:dyDescent="0.3">
      <c r="AD13424" s="16"/>
    </row>
    <row r="13425" spans="30:30" x14ac:dyDescent="0.3">
      <c r="AD13425" s="16"/>
    </row>
    <row r="13426" spans="30:30" x14ac:dyDescent="0.3">
      <c r="AD13426" s="16"/>
    </row>
    <row r="13427" spans="30:30" x14ac:dyDescent="0.3">
      <c r="AD13427" s="16"/>
    </row>
    <row r="13428" spans="30:30" x14ac:dyDescent="0.3">
      <c r="AD13428" s="16"/>
    </row>
    <row r="13429" spans="30:30" x14ac:dyDescent="0.3">
      <c r="AD13429" s="16"/>
    </row>
    <row r="13430" spans="30:30" x14ac:dyDescent="0.3">
      <c r="AD13430" s="16"/>
    </row>
    <row r="13431" spans="30:30" x14ac:dyDescent="0.3">
      <c r="AD13431" s="16"/>
    </row>
    <row r="13432" spans="30:30" x14ac:dyDescent="0.3">
      <c r="AD13432" s="16"/>
    </row>
    <row r="13433" spans="30:30" x14ac:dyDescent="0.3">
      <c r="AD13433" s="16"/>
    </row>
    <row r="13434" spans="30:30" x14ac:dyDescent="0.3">
      <c r="AD13434" s="16"/>
    </row>
    <row r="13435" spans="30:30" x14ac:dyDescent="0.3">
      <c r="AD13435" s="16"/>
    </row>
    <row r="13436" spans="30:30" x14ac:dyDescent="0.3">
      <c r="AD13436" s="16"/>
    </row>
    <row r="13437" spans="30:30" x14ac:dyDescent="0.3">
      <c r="AD13437" s="16"/>
    </row>
    <row r="13438" spans="30:30" x14ac:dyDescent="0.3">
      <c r="AD13438" s="16"/>
    </row>
    <row r="13439" spans="30:30" x14ac:dyDescent="0.3">
      <c r="AD13439" s="16"/>
    </row>
    <row r="13440" spans="30:30" x14ac:dyDescent="0.3">
      <c r="AD13440" s="16"/>
    </row>
    <row r="13441" spans="30:30" x14ac:dyDescent="0.3">
      <c r="AD13441" s="16"/>
    </row>
    <row r="13442" spans="30:30" x14ac:dyDescent="0.3">
      <c r="AD13442" s="16"/>
    </row>
    <row r="13443" spans="30:30" x14ac:dyDescent="0.3">
      <c r="AD13443" s="16"/>
    </row>
    <row r="13444" spans="30:30" x14ac:dyDescent="0.3">
      <c r="AD13444" s="16"/>
    </row>
    <row r="13445" spans="30:30" x14ac:dyDescent="0.3">
      <c r="AD13445" s="16"/>
    </row>
    <row r="13446" spans="30:30" x14ac:dyDescent="0.3">
      <c r="AD13446" s="16"/>
    </row>
    <row r="13447" spans="30:30" x14ac:dyDescent="0.3">
      <c r="AD13447" s="16"/>
    </row>
    <row r="13448" spans="30:30" x14ac:dyDescent="0.3">
      <c r="AD13448" s="16"/>
    </row>
    <row r="13449" spans="30:30" x14ac:dyDescent="0.3">
      <c r="AD13449" s="16"/>
    </row>
    <row r="13450" spans="30:30" x14ac:dyDescent="0.3">
      <c r="AD13450" s="16"/>
    </row>
    <row r="13451" spans="30:30" x14ac:dyDescent="0.3">
      <c r="AD13451" s="16"/>
    </row>
    <row r="13452" spans="30:30" x14ac:dyDescent="0.3">
      <c r="AD13452" s="16"/>
    </row>
    <row r="13453" spans="30:30" x14ac:dyDescent="0.3">
      <c r="AD13453" s="16"/>
    </row>
    <row r="13454" spans="30:30" x14ac:dyDescent="0.3">
      <c r="AD13454" s="16"/>
    </row>
    <row r="13455" spans="30:30" x14ac:dyDescent="0.3">
      <c r="AD13455" s="16"/>
    </row>
    <row r="13456" spans="30:30" x14ac:dyDescent="0.3">
      <c r="AD13456" s="16"/>
    </row>
    <row r="13457" spans="30:30" x14ac:dyDescent="0.3">
      <c r="AD13457" s="16"/>
    </row>
    <row r="13458" spans="30:30" x14ac:dyDescent="0.3">
      <c r="AD13458" s="16"/>
    </row>
    <row r="13459" spans="30:30" x14ac:dyDescent="0.3">
      <c r="AD13459" s="16"/>
    </row>
    <row r="13460" spans="30:30" x14ac:dyDescent="0.3">
      <c r="AD13460" s="16"/>
    </row>
    <row r="13461" spans="30:30" x14ac:dyDescent="0.3">
      <c r="AD13461" s="16"/>
    </row>
    <row r="13462" spans="30:30" x14ac:dyDescent="0.3">
      <c r="AD13462" s="16"/>
    </row>
    <row r="13463" spans="30:30" x14ac:dyDescent="0.3">
      <c r="AD13463" s="16"/>
    </row>
    <row r="13464" spans="30:30" x14ac:dyDescent="0.3">
      <c r="AD13464" s="16"/>
    </row>
    <row r="13465" spans="30:30" x14ac:dyDescent="0.3">
      <c r="AD13465" s="16"/>
    </row>
    <row r="13466" spans="30:30" x14ac:dyDescent="0.3">
      <c r="AD13466" s="16"/>
    </row>
    <row r="13467" spans="30:30" x14ac:dyDescent="0.3">
      <c r="AD13467" s="16"/>
    </row>
    <row r="13468" spans="30:30" x14ac:dyDescent="0.3">
      <c r="AD13468" s="16"/>
    </row>
    <row r="13469" spans="30:30" x14ac:dyDescent="0.3">
      <c r="AD13469" s="16"/>
    </row>
    <row r="13470" spans="30:30" x14ac:dyDescent="0.3">
      <c r="AD13470" s="16"/>
    </row>
    <row r="13471" spans="30:30" x14ac:dyDescent="0.3">
      <c r="AD13471" s="16"/>
    </row>
    <row r="13472" spans="30:30" x14ac:dyDescent="0.3">
      <c r="AD13472" s="16"/>
    </row>
    <row r="13473" spans="30:30" x14ac:dyDescent="0.3">
      <c r="AD13473" s="16"/>
    </row>
    <row r="13474" spans="30:30" x14ac:dyDescent="0.3">
      <c r="AD13474" s="16"/>
    </row>
    <row r="13475" spans="30:30" x14ac:dyDescent="0.3">
      <c r="AD13475" s="16"/>
    </row>
    <row r="13476" spans="30:30" x14ac:dyDescent="0.3">
      <c r="AD13476" s="16"/>
    </row>
    <row r="13477" spans="30:30" x14ac:dyDescent="0.3">
      <c r="AD13477" s="16"/>
    </row>
    <row r="13478" spans="30:30" x14ac:dyDescent="0.3">
      <c r="AD13478" s="16"/>
    </row>
    <row r="13479" spans="30:30" x14ac:dyDescent="0.3">
      <c r="AD13479" s="16"/>
    </row>
    <row r="13480" spans="30:30" x14ac:dyDescent="0.3">
      <c r="AD13480" s="16"/>
    </row>
    <row r="13481" spans="30:30" x14ac:dyDescent="0.3">
      <c r="AD13481" s="16"/>
    </row>
    <row r="13482" spans="30:30" x14ac:dyDescent="0.3">
      <c r="AD13482" s="16"/>
    </row>
    <row r="13483" spans="30:30" x14ac:dyDescent="0.3">
      <c r="AD13483" s="16"/>
    </row>
    <row r="13484" spans="30:30" x14ac:dyDescent="0.3">
      <c r="AD13484" s="16"/>
    </row>
    <row r="13485" spans="30:30" x14ac:dyDescent="0.3">
      <c r="AD13485" s="16"/>
    </row>
    <row r="13486" spans="30:30" x14ac:dyDescent="0.3">
      <c r="AD13486" s="16"/>
    </row>
    <row r="13487" spans="30:30" x14ac:dyDescent="0.3">
      <c r="AD13487" s="16"/>
    </row>
    <row r="13488" spans="30:30" x14ac:dyDescent="0.3">
      <c r="AD13488" s="16"/>
    </row>
    <row r="13489" spans="30:30" x14ac:dyDescent="0.3">
      <c r="AD13489" s="16"/>
    </row>
    <row r="13490" spans="30:30" x14ac:dyDescent="0.3">
      <c r="AD13490" s="16"/>
    </row>
    <row r="13491" spans="30:30" x14ac:dyDescent="0.3">
      <c r="AD13491" s="16"/>
    </row>
    <row r="13492" spans="30:30" x14ac:dyDescent="0.3">
      <c r="AD13492" s="16"/>
    </row>
    <row r="13493" spans="30:30" x14ac:dyDescent="0.3">
      <c r="AD13493" s="16"/>
    </row>
    <row r="13494" spans="30:30" x14ac:dyDescent="0.3">
      <c r="AD13494" s="16"/>
    </row>
    <row r="13495" spans="30:30" x14ac:dyDescent="0.3">
      <c r="AD13495" s="16"/>
    </row>
    <row r="13496" spans="30:30" x14ac:dyDescent="0.3">
      <c r="AD13496" s="16"/>
    </row>
    <row r="13497" spans="30:30" x14ac:dyDescent="0.3">
      <c r="AD13497" s="16"/>
    </row>
    <row r="13498" spans="30:30" x14ac:dyDescent="0.3">
      <c r="AD13498" s="16"/>
    </row>
    <row r="13499" spans="30:30" x14ac:dyDescent="0.3">
      <c r="AD13499" s="16"/>
    </row>
    <row r="13500" spans="30:30" x14ac:dyDescent="0.3">
      <c r="AD13500" s="16"/>
    </row>
    <row r="13501" spans="30:30" x14ac:dyDescent="0.3">
      <c r="AD13501" s="16"/>
    </row>
    <row r="13502" spans="30:30" x14ac:dyDescent="0.3">
      <c r="AD13502" s="16"/>
    </row>
    <row r="13503" spans="30:30" x14ac:dyDescent="0.3">
      <c r="AD13503" s="16"/>
    </row>
    <row r="13504" spans="30:30" x14ac:dyDescent="0.3">
      <c r="AD13504" s="16"/>
    </row>
    <row r="13505" spans="30:30" x14ac:dyDescent="0.3">
      <c r="AD13505" s="16"/>
    </row>
    <row r="13506" spans="30:30" x14ac:dyDescent="0.3">
      <c r="AD13506" s="16"/>
    </row>
    <row r="13507" spans="30:30" x14ac:dyDescent="0.3">
      <c r="AD13507" s="16"/>
    </row>
    <row r="13508" spans="30:30" x14ac:dyDescent="0.3">
      <c r="AD13508" s="16"/>
    </row>
    <row r="13509" spans="30:30" x14ac:dyDescent="0.3">
      <c r="AD13509" s="16"/>
    </row>
    <row r="13510" spans="30:30" x14ac:dyDescent="0.3">
      <c r="AD13510" s="16"/>
    </row>
    <row r="13511" spans="30:30" x14ac:dyDescent="0.3">
      <c r="AD13511" s="16"/>
    </row>
    <row r="13512" spans="30:30" x14ac:dyDescent="0.3">
      <c r="AD13512" s="16"/>
    </row>
    <row r="13513" spans="30:30" x14ac:dyDescent="0.3">
      <c r="AD13513" s="16"/>
    </row>
    <row r="13514" spans="30:30" x14ac:dyDescent="0.3">
      <c r="AD13514" s="16"/>
    </row>
    <row r="13515" spans="30:30" x14ac:dyDescent="0.3">
      <c r="AD13515" s="16"/>
    </row>
    <row r="13516" spans="30:30" x14ac:dyDescent="0.3">
      <c r="AD13516" s="16"/>
    </row>
    <row r="13517" spans="30:30" x14ac:dyDescent="0.3">
      <c r="AD13517" s="16"/>
    </row>
    <row r="13518" spans="30:30" x14ac:dyDescent="0.3">
      <c r="AD13518" s="16"/>
    </row>
    <row r="13519" spans="30:30" x14ac:dyDescent="0.3">
      <c r="AD13519" s="16"/>
    </row>
    <row r="13520" spans="30:30" x14ac:dyDescent="0.3">
      <c r="AD13520" s="16"/>
    </row>
    <row r="13521" spans="30:30" x14ac:dyDescent="0.3">
      <c r="AD13521" s="16"/>
    </row>
    <row r="13522" spans="30:30" x14ac:dyDescent="0.3">
      <c r="AD13522" s="16"/>
    </row>
    <row r="13523" spans="30:30" x14ac:dyDescent="0.3">
      <c r="AD13523" s="16"/>
    </row>
    <row r="13524" spans="30:30" x14ac:dyDescent="0.3">
      <c r="AD13524" s="16"/>
    </row>
    <row r="13525" spans="30:30" x14ac:dyDescent="0.3">
      <c r="AD13525" s="16"/>
    </row>
    <row r="13526" spans="30:30" x14ac:dyDescent="0.3">
      <c r="AD13526" s="16"/>
    </row>
    <row r="13527" spans="30:30" x14ac:dyDescent="0.3">
      <c r="AD13527" s="16"/>
    </row>
    <row r="13528" spans="30:30" x14ac:dyDescent="0.3">
      <c r="AD13528" s="16"/>
    </row>
    <row r="13529" spans="30:30" x14ac:dyDescent="0.3">
      <c r="AD13529" s="16"/>
    </row>
    <row r="13530" spans="30:30" x14ac:dyDescent="0.3">
      <c r="AD13530" s="16"/>
    </row>
    <row r="13531" spans="30:30" x14ac:dyDescent="0.3">
      <c r="AD13531" s="16"/>
    </row>
    <row r="13532" spans="30:30" x14ac:dyDescent="0.3">
      <c r="AD13532" s="16"/>
    </row>
    <row r="13533" spans="30:30" x14ac:dyDescent="0.3">
      <c r="AD13533" s="16"/>
    </row>
    <row r="13534" spans="30:30" x14ac:dyDescent="0.3">
      <c r="AD13534" s="16"/>
    </row>
    <row r="13535" spans="30:30" x14ac:dyDescent="0.3">
      <c r="AD13535" s="16"/>
    </row>
    <row r="13536" spans="30:30" x14ac:dyDescent="0.3">
      <c r="AD13536" s="16"/>
    </row>
    <row r="13537" spans="30:30" x14ac:dyDescent="0.3">
      <c r="AD13537" s="16"/>
    </row>
    <row r="13538" spans="30:30" x14ac:dyDescent="0.3">
      <c r="AD13538" s="16"/>
    </row>
    <row r="13539" spans="30:30" x14ac:dyDescent="0.3">
      <c r="AD13539" s="16"/>
    </row>
    <row r="13540" spans="30:30" x14ac:dyDescent="0.3">
      <c r="AD13540" s="16"/>
    </row>
    <row r="13541" spans="30:30" x14ac:dyDescent="0.3">
      <c r="AD13541" s="16"/>
    </row>
    <row r="13542" spans="30:30" x14ac:dyDescent="0.3">
      <c r="AD13542" s="16"/>
    </row>
    <row r="13543" spans="30:30" x14ac:dyDescent="0.3">
      <c r="AD13543" s="16"/>
    </row>
    <row r="13544" spans="30:30" x14ac:dyDescent="0.3">
      <c r="AD13544" s="16"/>
    </row>
    <row r="13545" spans="30:30" x14ac:dyDescent="0.3">
      <c r="AD13545" s="16"/>
    </row>
    <row r="13546" spans="30:30" x14ac:dyDescent="0.3">
      <c r="AD13546" s="16"/>
    </row>
    <row r="13547" spans="30:30" x14ac:dyDescent="0.3">
      <c r="AD13547" s="16"/>
    </row>
    <row r="13548" spans="30:30" x14ac:dyDescent="0.3">
      <c r="AD13548" s="16"/>
    </row>
    <row r="13549" spans="30:30" x14ac:dyDescent="0.3">
      <c r="AD13549" s="16"/>
    </row>
    <row r="13550" spans="30:30" x14ac:dyDescent="0.3">
      <c r="AD13550" s="16"/>
    </row>
    <row r="13551" spans="30:30" x14ac:dyDescent="0.3">
      <c r="AD13551" s="16"/>
    </row>
    <row r="13552" spans="30:30" x14ac:dyDescent="0.3">
      <c r="AD13552" s="16"/>
    </row>
    <row r="13553" spans="30:30" x14ac:dyDescent="0.3">
      <c r="AD13553" s="16"/>
    </row>
    <row r="13554" spans="30:30" x14ac:dyDescent="0.3">
      <c r="AD13554" s="16"/>
    </row>
    <row r="13555" spans="30:30" x14ac:dyDescent="0.3">
      <c r="AD13555" s="16"/>
    </row>
    <row r="13556" spans="30:30" x14ac:dyDescent="0.3">
      <c r="AD13556" s="16"/>
    </row>
    <row r="13557" spans="30:30" x14ac:dyDescent="0.3">
      <c r="AD13557" s="16"/>
    </row>
    <row r="13558" spans="30:30" x14ac:dyDescent="0.3">
      <c r="AD13558" s="16"/>
    </row>
    <row r="13559" spans="30:30" x14ac:dyDescent="0.3">
      <c r="AD13559" s="16"/>
    </row>
    <row r="13560" spans="30:30" x14ac:dyDescent="0.3">
      <c r="AD13560" s="16"/>
    </row>
    <row r="13561" spans="30:30" x14ac:dyDescent="0.3">
      <c r="AD13561" s="16"/>
    </row>
    <row r="13562" spans="30:30" x14ac:dyDescent="0.3">
      <c r="AD13562" s="16"/>
    </row>
    <row r="13563" spans="30:30" x14ac:dyDescent="0.3">
      <c r="AD13563" s="16"/>
    </row>
    <row r="13564" spans="30:30" x14ac:dyDescent="0.3">
      <c r="AD13564" s="16"/>
    </row>
    <row r="13565" spans="30:30" x14ac:dyDescent="0.3">
      <c r="AD13565" s="16"/>
    </row>
    <row r="13566" spans="30:30" x14ac:dyDescent="0.3">
      <c r="AD13566" s="16"/>
    </row>
    <row r="13567" spans="30:30" x14ac:dyDescent="0.3">
      <c r="AD13567" s="16"/>
    </row>
    <row r="13568" spans="30:30" x14ac:dyDescent="0.3">
      <c r="AD13568" s="16"/>
    </row>
    <row r="13569" spans="30:30" x14ac:dyDescent="0.3">
      <c r="AD13569" s="16"/>
    </row>
    <row r="13570" spans="30:30" x14ac:dyDescent="0.3">
      <c r="AD13570" s="16"/>
    </row>
    <row r="13571" spans="30:30" x14ac:dyDescent="0.3">
      <c r="AD13571" s="16"/>
    </row>
    <row r="13572" spans="30:30" x14ac:dyDescent="0.3">
      <c r="AD13572" s="16"/>
    </row>
    <row r="13573" spans="30:30" x14ac:dyDescent="0.3">
      <c r="AD13573" s="16"/>
    </row>
    <row r="13574" spans="30:30" x14ac:dyDescent="0.3">
      <c r="AD13574" s="16"/>
    </row>
    <row r="13575" spans="30:30" x14ac:dyDescent="0.3">
      <c r="AD13575" s="16"/>
    </row>
    <row r="13576" spans="30:30" x14ac:dyDescent="0.3">
      <c r="AD13576" s="16"/>
    </row>
    <row r="13577" spans="30:30" x14ac:dyDescent="0.3">
      <c r="AD13577" s="16"/>
    </row>
    <row r="13578" spans="30:30" x14ac:dyDescent="0.3">
      <c r="AD13578" s="16"/>
    </row>
    <row r="13579" spans="30:30" x14ac:dyDescent="0.3">
      <c r="AD13579" s="16"/>
    </row>
    <row r="13580" spans="30:30" x14ac:dyDescent="0.3">
      <c r="AD13580" s="16"/>
    </row>
    <row r="13581" spans="30:30" x14ac:dyDescent="0.3">
      <c r="AD13581" s="16"/>
    </row>
    <row r="13582" spans="30:30" x14ac:dyDescent="0.3">
      <c r="AD13582" s="16"/>
    </row>
    <row r="13583" spans="30:30" x14ac:dyDescent="0.3">
      <c r="AD13583" s="16"/>
    </row>
    <row r="13584" spans="30:30" x14ac:dyDescent="0.3">
      <c r="AD13584" s="16"/>
    </row>
    <row r="13585" spans="30:30" x14ac:dyDescent="0.3">
      <c r="AD13585" s="16"/>
    </row>
    <row r="13586" spans="30:30" x14ac:dyDescent="0.3">
      <c r="AD13586" s="16"/>
    </row>
    <row r="13587" spans="30:30" x14ac:dyDescent="0.3">
      <c r="AD13587" s="16"/>
    </row>
    <row r="13588" spans="30:30" x14ac:dyDescent="0.3">
      <c r="AD13588" s="16"/>
    </row>
    <row r="13589" spans="30:30" x14ac:dyDescent="0.3">
      <c r="AD13589" s="16"/>
    </row>
    <row r="13590" spans="30:30" x14ac:dyDescent="0.3">
      <c r="AD13590" s="16"/>
    </row>
    <row r="13591" spans="30:30" x14ac:dyDescent="0.3">
      <c r="AD13591" s="16"/>
    </row>
    <row r="13592" spans="30:30" x14ac:dyDescent="0.3">
      <c r="AD13592" s="16"/>
    </row>
    <row r="13593" spans="30:30" x14ac:dyDescent="0.3">
      <c r="AD13593" s="16"/>
    </row>
    <row r="13594" spans="30:30" x14ac:dyDescent="0.3">
      <c r="AD13594" s="16"/>
    </row>
    <row r="13595" spans="30:30" x14ac:dyDescent="0.3">
      <c r="AD13595" s="16"/>
    </row>
    <row r="13596" spans="30:30" x14ac:dyDescent="0.3">
      <c r="AD13596" s="16"/>
    </row>
    <row r="13597" spans="30:30" x14ac:dyDescent="0.3">
      <c r="AD13597" s="16"/>
    </row>
    <row r="13598" spans="30:30" x14ac:dyDescent="0.3">
      <c r="AD13598" s="16"/>
    </row>
    <row r="13599" spans="30:30" x14ac:dyDescent="0.3">
      <c r="AD13599" s="16"/>
    </row>
    <row r="13600" spans="30:30" x14ac:dyDescent="0.3">
      <c r="AD13600" s="16"/>
    </row>
    <row r="13601" spans="30:30" x14ac:dyDescent="0.3">
      <c r="AD13601" s="16"/>
    </row>
    <row r="13602" spans="30:30" x14ac:dyDescent="0.3">
      <c r="AD13602" s="16"/>
    </row>
    <row r="13603" spans="30:30" x14ac:dyDescent="0.3">
      <c r="AD13603" s="16"/>
    </row>
    <row r="13604" spans="30:30" x14ac:dyDescent="0.3">
      <c r="AD13604" s="16"/>
    </row>
    <row r="13605" spans="30:30" x14ac:dyDescent="0.3">
      <c r="AD13605" s="16"/>
    </row>
    <row r="13606" spans="30:30" x14ac:dyDescent="0.3">
      <c r="AD13606" s="16"/>
    </row>
    <row r="13607" spans="30:30" x14ac:dyDescent="0.3">
      <c r="AD13607" s="16"/>
    </row>
    <row r="13608" spans="30:30" x14ac:dyDescent="0.3">
      <c r="AD13608" s="16"/>
    </row>
    <row r="13609" spans="30:30" x14ac:dyDescent="0.3">
      <c r="AD13609" s="16"/>
    </row>
    <row r="13610" spans="30:30" x14ac:dyDescent="0.3">
      <c r="AD13610" s="16"/>
    </row>
    <row r="13611" spans="30:30" x14ac:dyDescent="0.3">
      <c r="AD13611" s="16"/>
    </row>
    <row r="13612" spans="30:30" x14ac:dyDescent="0.3">
      <c r="AD13612" s="16"/>
    </row>
    <row r="13613" spans="30:30" x14ac:dyDescent="0.3">
      <c r="AD13613" s="16"/>
    </row>
    <row r="13614" spans="30:30" x14ac:dyDescent="0.3">
      <c r="AD13614" s="16"/>
    </row>
    <row r="13615" spans="30:30" x14ac:dyDescent="0.3">
      <c r="AD13615" s="16"/>
    </row>
    <row r="13616" spans="30:30" x14ac:dyDescent="0.3">
      <c r="AD13616" s="16"/>
    </row>
    <row r="13617" spans="30:30" x14ac:dyDescent="0.3">
      <c r="AD13617" s="16"/>
    </row>
    <row r="13618" spans="30:30" x14ac:dyDescent="0.3">
      <c r="AD13618" s="16"/>
    </row>
    <row r="13619" spans="30:30" x14ac:dyDescent="0.3">
      <c r="AD13619" s="16"/>
    </row>
    <row r="13620" spans="30:30" x14ac:dyDescent="0.3">
      <c r="AD13620" s="16"/>
    </row>
    <row r="13621" spans="30:30" x14ac:dyDescent="0.3">
      <c r="AD13621" s="16"/>
    </row>
    <row r="13622" spans="30:30" x14ac:dyDescent="0.3">
      <c r="AD13622" s="16"/>
    </row>
    <row r="13623" spans="30:30" x14ac:dyDescent="0.3">
      <c r="AD13623" s="16"/>
    </row>
    <row r="13624" spans="30:30" x14ac:dyDescent="0.3">
      <c r="AD13624" s="16"/>
    </row>
    <row r="13625" spans="30:30" x14ac:dyDescent="0.3">
      <c r="AD13625" s="16"/>
    </row>
    <row r="13626" spans="30:30" x14ac:dyDescent="0.3">
      <c r="AD13626" s="16"/>
    </row>
    <row r="13627" spans="30:30" x14ac:dyDescent="0.3">
      <c r="AD13627" s="16"/>
    </row>
    <row r="13628" spans="30:30" x14ac:dyDescent="0.3">
      <c r="AD13628" s="16"/>
    </row>
    <row r="13629" spans="30:30" x14ac:dyDescent="0.3">
      <c r="AD13629" s="16"/>
    </row>
    <row r="13630" spans="30:30" x14ac:dyDescent="0.3">
      <c r="AD13630" s="16"/>
    </row>
    <row r="13631" spans="30:30" x14ac:dyDescent="0.3">
      <c r="AD13631" s="16"/>
    </row>
    <row r="13632" spans="30:30" x14ac:dyDescent="0.3">
      <c r="AD13632" s="16"/>
    </row>
    <row r="13633" spans="30:30" x14ac:dyDescent="0.3">
      <c r="AD13633" s="16"/>
    </row>
    <row r="13634" spans="30:30" x14ac:dyDescent="0.3">
      <c r="AD13634" s="16"/>
    </row>
    <row r="13635" spans="30:30" x14ac:dyDescent="0.3">
      <c r="AD13635" s="16"/>
    </row>
    <row r="13636" spans="30:30" x14ac:dyDescent="0.3">
      <c r="AD13636" s="16"/>
    </row>
    <row r="13637" spans="30:30" x14ac:dyDescent="0.3">
      <c r="AD13637" s="16"/>
    </row>
    <row r="13638" spans="30:30" x14ac:dyDescent="0.3">
      <c r="AD13638" s="16"/>
    </row>
    <row r="13639" spans="30:30" x14ac:dyDescent="0.3">
      <c r="AD13639" s="16"/>
    </row>
    <row r="13640" spans="30:30" x14ac:dyDescent="0.3">
      <c r="AD13640" s="16"/>
    </row>
    <row r="13641" spans="30:30" x14ac:dyDescent="0.3">
      <c r="AD13641" s="16"/>
    </row>
    <row r="13642" spans="30:30" x14ac:dyDescent="0.3">
      <c r="AD13642" s="16"/>
    </row>
    <row r="13643" spans="30:30" x14ac:dyDescent="0.3">
      <c r="AD13643" s="16"/>
    </row>
    <row r="13644" spans="30:30" x14ac:dyDescent="0.3">
      <c r="AD13644" s="16"/>
    </row>
    <row r="13645" spans="30:30" x14ac:dyDescent="0.3">
      <c r="AD13645" s="16"/>
    </row>
    <row r="13646" spans="30:30" x14ac:dyDescent="0.3">
      <c r="AD13646" s="16"/>
    </row>
    <row r="13647" spans="30:30" x14ac:dyDescent="0.3">
      <c r="AD13647" s="16"/>
    </row>
    <row r="13648" spans="30:30" x14ac:dyDescent="0.3">
      <c r="AD13648" s="16"/>
    </row>
    <row r="13649" spans="30:30" x14ac:dyDescent="0.3">
      <c r="AD13649" s="16"/>
    </row>
    <row r="13650" spans="30:30" x14ac:dyDescent="0.3">
      <c r="AD13650" s="16"/>
    </row>
    <row r="13651" spans="30:30" x14ac:dyDescent="0.3">
      <c r="AD13651" s="16"/>
    </row>
    <row r="13652" spans="30:30" x14ac:dyDescent="0.3">
      <c r="AD13652" s="16"/>
    </row>
    <row r="13653" spans="30:30" x14ac:dyDescent="0.3">
      <c r="AD13653" s="16"/>
    </row>
    <row r="13654" spans="30:30" x14ac:dyDescent="0.3">
      <c r="AD13654" s="16"/>
    </row>
    <row r="13655" spans="30:30" x14ac:dyDescent="0.3">
      <c r="AD13655" s="16"/>
    </row>
    <row r="13656" spans="30:30" x14ac:dyDescent="0.3">
      <c r="AD13656" s="16"/>
    </row>
    <row r="13657" spans="30:30" x14ac:dyDescent="0.3">
      <c r="AD13657" s="16"/>
    </row>
    <row r="13658" spans="30:30" x14ac:dyDescent="0.3">
      <c r="AD13658" s="16"/>
    </row>
    <row r="13659" spans="30:30" x14ac:dyDescent="0.3">
      <c r="AD13659" s="16"/>
    </row>
    <row r="13660" spans="30:30" x14ac:dyDescent="0.3">
      <c r="AD13660" s="16"/>
    </row>
    <row r="13661" spans="30:30" x14ac:dyDescent="0.3">
      <c r="AD13661" s="16"/>
    </row>
    <row r="13662" spans="30:30" x14ac:dyDescent="0.3">
      <c r="AD13662" s="16"/>
    </row>
    <row r="13663" spans="30:30" x14ac:dyDescent="0.3">
      <c r="AD13663" s="16"/>
    </row>
    <row r="13664" spans="30:30" x14ac:dyDescent="0.3">
      <c r="AD13664" s="16"/>
    </row>
    <row r="13665" spans="30:30" x14ac:dyDescent="0.3">
      <c r="AD13665" s="16"/>
    </row>
    <row r="13666" spans="30:30" x14ac:dyDescent="0.3">
      <c r="AD13666" s="16"/>
    </row>
    <row r="13667" spans="30:30" x14ac:dyDescent="0.3">
      <c r="AD13667" s="16"/>
    </row>
    <row r="13668" spans="30:30" x14ac:dyDescent="0.3">
      <c r="AD13668" s="16"/>
    </row>
    <row r="13669" spans="30:30" x14ac:dyDescent="0.3">
      <c r="AD13669" s="16"/>
    </row>
    <row r="13670" spans="30:30" x14ac:dyDescent="0.3">
      <c r="AD13670" s="16"/>
    </row>
    <row r="13671" spans="30:30" x14ac:dyDescent="0.3">
      <c r="AD13671" s="16"/>
    </row>
    <row r="13672" spans="30:30" x14ac:dyDescent="0.3">
      <c r="AD13672" s="16"/>
    </row>
    <row r="13673" spans="30:30" x14ac:dyDescent="0.3">
      <c r="AD13673" s="16"/>
    </row>
    <row r="13674" spans="30:30" x14ac:dyDescent="0.3">
      <c r="AD13674" s="16"/>
    </row>
    <row r="13675" spans="30:30" x14ac:dyDescent="0.3">
      <c r="AD13675" s="16"/>
    </row>
    <row r="13676" spans="30:30" x14ac:dyDescent="0.3">
      <c r="AD13676" s="16"/>
    </row>
    <row r="13677" spans="30:30" x14ac:dyDescent="0.3">
      <c r="AD13677" s="16"/>
    </row>
    <row r="13678" spans="30:30" x14ac:dyDescent="0.3">
      <c r="AD13678" s="16"/>
    </row>
    <row r="13679" spans="30:30" x14ac:dyDescent="0.3">
      <c r="AD13679" s="16"/>
    </row>
    <row r="13680" spans="30:30" x14ac:dyDescent="0.3">
      <c r="AD13680" s="16"/>
    </row>
    <row r="13681" spans="30:30" x14ac:dyDescent="0.3">
      <c r="AD13681" s="16"/>
    </row>
    <row r="13682" spans="30:30" x14ac:dyDescent="0.3">
      <c r="AD13682" s="16"/>
    </row>
    <row r="13683" spans="30:30" x14ac:dyDescent="0.3">
      <c r="AD13683" s="16"/>
    </row>
    <row r="13684" spans="30:30" x14ac:dyDescent="0.3">
      <c r="AD13684" s="16"/>
    </row>
    <row r="13685" spans="30:30" x14ac:dyDescent="0.3">
      <c r="AD13685" s="16"/>
    </row>
    <row r="13686" spans="30:30" x14ac:dyDescent="0.3">
      <c r="AD13686" s="16"/>
    </row>
    <row r="13687" spans="30:30" x14ac:dyDescent="0.3">
      <c r="AD13687" s="16"/>
    </row>
    <row r="13688" spans="30:30" x14ac:dyDescent="0.3">
      <c r="AD13688" s="16"/>
    </row>
    <row r="13689" spans="30:30" x14ac:dyDescent="0.3">
      <c r="AD13689" s="16"/>
    </row>
    <row r="13690" spans="30:30" x14ac:dyDescent="0.3">
      <c r="AD13690" s="16"/>
    </row>
    <row r="13691" spans="30:30" x14ac:dyDescent="0.3">
      <c r="AD13691" s="16"/>
    </row>
    <row r="13692" spans="30:30" x14ac:dyDescent="0.3">
      <c r="AD13692" s="16"/>
    </row>
    <row r="13693" spans="30:30" x14ac:dyDescent="0.3">
      <c r="AD13693" s="16"/>
    </row>
    <row r="13694" spans="30:30" x14ac:dyDescent="0.3">
      <c r="AD13694" s="16"/>
    </row>
    <row r="13695" spans="30:30" x14ac:dyDescent="0.3">
      <c r="AD13695" s="16"/>
    </row>
    <row r="13696" spans="30:30" x14ac:dyDescent="0.3">
      <c r="AD13696" s="16"/>
    </row>
    <row r="13697" spans="30:30" x14ac:dyDescent="0.3">
      <c r="AD13697" s="16"/>
    </row>
    <row r="13698" spans="30:30" x14ac:dyDescent="0.3">
      <c r="AD13698" s="16"/>
    </row>
    <row r="13699" spans="30:30" x14ac:dyDescent="0.3">
      <c r="AD13699" s="16"/>
    </row>
    <row r="13700" spans="30:30" x14ac:dyDescent="0.3">
      <c r="AD13700" s="16"/>
    </row>
    <row r="13701" spans="30:30" x14ac:dyDescent="0.3">
      <c r="AD13701" s="16"/>
    </row>
    <row r="13702" spans="30:30" x14ac:dyDescent="0.3">
      <c r="AD13702" s="16"/>
    </row>
    <row r="13703" spans="30:30" x14ac:dyDescent="0.3">
      <c r="AD13703" s="16"/>
    </row>
    <row r="13704" spans="30:30" x14ac:dyDescent="0.3">
      <c r="AD13704" s="16"/>
    </row>
    <row r="13705" spans="30:30" x14ac:dyDescent="0.3">
      <c r="AD13705" s="16"/>
    </row>
    <row r="13706" spans="30:30" x14ac:dyDescent="0.3">
      <c r="AD13706" s="16"/>
    </row>
    <row r="13707" spans="30:30" x14ac:dyDescent="0.3">
      <c r="AD13707" s="16"/>
    </row>
    <row r="13708" spans="30:30" x14ac:dyDescent="0.3">
      <c r="AD13708" s="16"/>
    </row>
    <row r="13709" spans="30:30" x14ac:dyDescent="0.3">
      <c r="AD13709" s="16"/>
    </row>
    <row r="13710" spans="30:30" x14ac:dyDescent="0.3">
      <c r="AD13710" s="16"/>
    </row>
    <row r="13711" spans="30:30" x14ac:dyDescent="0.3">
      <c r="AD13711" s="16"/>
    </row>
    <row r="13712" spans="30:30" x14ac:dyDescent="0.3">
      <c r="AD13712" s="16"/>
    </row>
    <row r="13713" spans="30:30" x14ac:dyDescent="0.3">
      <c r="AD13713" s="16"/>
    </row>
    <row r="13714" spans="30:30" x14ac:dyDescent="0.3">
      <c r="AD13714" s="16"/>
    </row>
    <row r="13715" spans="30:30" x14ac:dyDescent="0.3">
      <c r="AD13715" s="16"/>
    </row>
    <row r="13716" spans="30:30" x14ac:dyDescent="0.3">
      <c r="AD13716" s="16"/>
    </row>
    <row r="13717" spans="30:30" x14ac:dyDescent="0.3">
      <c r="AD13717" s="16"/>
    </row>
    <row r="13718" spans="30:30" x14ac:dyDescent="0.3">
      <c r="AD13718" s="16"/>
    </row>
    <row r="13719" spans="30:30" x14ac:dyDescent="0.3">
      <c r="AD13719" s="16"/>
    </row>
    <row r="13720" spans="30:30" x14ac:dyDescent="0.3">
      <c r="AD13720" s="16"/>
    </row>
    <row r="13721" spans="30:30" x14ac:dyDescent="0.3">
      <c r="AD13721" s="16"/>
    </row>
    <row r="13722" spans="30:30" x14ac:dyDescent="0.3">
      <c r="AD13722" s="16"/>
    </row>
    <row r="13723" spans="30:30" x14ac:dyDescent="0.3">
      <c r="AD13723" s="16"/>
    </row>
    <row r="13724" spans="30:30" x14ac:dyDescent="0.3">
      <c r="AD13724" s="16"/>
    </row>
    <row r="13725" spans="30:30" x14ac:dyDescent="0.3">
      <c r="AD13725" s="16"/>
    </row>
    <row r="13726" spans="30:30" x14ac:dyDescent="0.3">
      <c r="AD13726" s="16"/>
    </row>
    <row r="13727" spans="30:30" x14ac:dyDescent="0.3">
      <c r="AD13727" s="16"/>
    </row>
    <row r="13728" spans="30:30" x14ac:dyDescent="0.3">
      <c r="AD13728" s="16"/>
    </row>
    <row r="13729" spans="30:30" x14ac:dyDescent="0.3">
      <c r="AD13729" s="16"/>
    </row>
    <row r="13730" spans="30:30" x14ac:dyDescent="0.3">
      <c r="AD13730" s="16"/>
    </row>
    <row r="13731" spans="30:30" x14ac:dyDescent="0.3">
      <c r="AD13731" s="16"/>
    </row>
    <row r="13732" spans="30:30" x14ac:dyDescent="0.3">
      <c r="AD13732" s="16"/>
    </row>
    <row r="13733" spans="30:30" x14ac:dyDescent="0.3">
      <c r="AD13733" s="16"/>
    </row>
    <row r="13734" spans="30:30" x14ac:dyDescent="0.3">
      <c r="AD13734" s="16"/>
    </row>
    <row r="13735" spans="30:30" x14ac:dyDescent="0.3">
      <c r="AD13735" s="16"/>
    </row>
    <row r="13736" spans="30:30" x14ac:dyDescent="0.3">
      <c r="AD13736" s="16"/>
    </row>
    <row r="13737" spans="30:30" x14ac:dyDescent="0.3">
      <c r="AD13737" s="16"/>
    </row>
    <row r="13738" spans="30:30" x14ac:dyDescent="0.3">
      <c r="AD13738" s="16"/>
    </row>
    <row r="13739" spans="30:30" x14ac:dyDescent="0.3">
      <c r="AD13739" s="16"/>
    </row>
    <row r="13740" spans="30:30" x14ac:dyDescent="0.3">
      <c r="AD13740" s="16"/>
    </row>
    <row r="13741" spans="30:30" x14ac:dyDescent="0.3">
      <c r="AD13741" s="16"/>
    </row>
    <row r="13742" spans="30:30" x14ac:dyDescent="0.3">
      <c r="AD13742" s="16"/>
    </row>
    <row r="13743" spans="30:30" x14ac:dyDescent="0.3">
      <c r="AD13743" s="16"/>
    </row>
    <row r="13744" spans="30:30" x14ac:dyDescent="0.3">
      <c r="AD13744" s="16"/>
    </row>
    <row r="13745" spans="30:30" x14ac:dyDescent="0.3">
      <c r="AD13745" s="16"/>
    </row>
    <row r="13746" spans="30:30" x14ac:dyDescent="0.3">
      <c r="AD13746" s="16"/>
    </row>
    <row r="13747" spans="30:30" x14ac:dyDescent="0.3">
      <c r="AD13747" s="16"/>
    </row>
    <row r="13748" spans="30:30" x14ac:dyDescent="0.3">
      <c r="AD13748" s="16"/>
    </row>
    <row r="13749" spans="30:30" x14ac:dyDescent="0.3">
      <c r="AD13749" s="16"/>
    </row>
    <row r="13750" spans="30:30" x14ac:dyDescent="0.3">
      <c r="AD13750" s="16"/>
    </row>
    <row r="13751" spans="30:30" x14ac:dyDescent="0.3">
      <c r="AD13751" s="16"/>
    </row>
    <row r="13752" spans="30:30" x14ac:dyDescent="0.3">
      <c r="AD13752" s="16"/>
    </row>
    <row r="13753" spans="30:30" x14ac:dyDescent="0.3">
      <c r="AD13753" s="16"/>
    </row>
    <row r="13754" spans="30:30" x14ac:dyDescent="0.3">
      <c r="AD13754" s="16"/>
    </row>
    <row r="13755" spans="30:30" x14ac:dyDescent="0.3">
      <c r="AD13755" s="16"/>
    </row>
    <row r="13756" spans="30:30" x14ac:dyDescent="0.3">
      <c r="AD13756" s="16"/>
    </row>
    <row r="13757" spans="30:30" x14ac:dyDescent="0.3">
      <c r="AD13757" s="16"/>
    </row>
    <row r="13758" spans="30:30" x14ac:dyDescent="0.3">
      <c r="AD13758" s="16"/>
    </row>
    <row r="13759" spans="30:30" x14ac:dyDescent="0.3">
      <c r="AD13759" s="16"/>
    </row>
    <row r="13760" spans="30:30" x14ac:dyDescent="0.3">
      <c r="AD13760" s="16"/>
    </row>
    <row r="13761" spans="30:30" x14ac:dyDescent="0.3">
      <c r="AD13761" s="16"/>
    </row>
    <row r="13762" spans="30:30" x14ac:dyDescent="0.3">
      <c r="AD13762" s="16"/>
    </row>
    <row r="13763" spans="30:30" x14ac:dyDescent="0.3">
      <c r="AD13763" s="16"/>
    </row>
    <row r="13764" spans="30:30" x14ac:dyDescent="0.3">
      <c r="AD13764" s="16"/>
    </row>
    <row r="13765" spans="30:30" x14ac:dyDescent="0.3">
      <c r="AD13765" s="16"/>
    </row>
    <row r="13766" spans="30:30" x14ac:dyDescent="0.3">
      <c r="AD13766" s="16"/>
    </row>
    <row r="13767" spans="30:30" x14ac:dyDescent="0.3">
      <c r="AD13767" s="16"/>
    </row>
    <row r="13768" spans="30:30" x14ac:dyDescent="0.3">
      <c r="AD13768" s="16"/>
    </row>
    <row r="13769" spans="30:30" x14ac:dyDescent="0.3">
      <c r="AD13769" s="16"/>
    </row>
    <row r="13770" spans="30:30" x14ac:dyDescent="0.3">
      <c r="AD13770" s="16"/>
    </row>
    <row r="13771" spans="30:30" x14ac:dyDescent="0.3">
      <c r="AD13771" s="16"/>
    </row>
    <row r="13772" spans="30:30" x14ac:dyDescent="0.3">
      <c r="AD13772" s="16"/>
    </row>
    <row r="13773" spans="30:30" x14ac:dyDescent="0.3">
      <c r="AD13773" s="16"/>
    </row>
    <row r="13774" spans="30:30" x14ac:dyDescent="0.3">
      <c r="AD13774" s="16"/>
    </row>
    <row r="13775" spans="30:30" x14ac:dyDescent="0.3">
      <c r="AD13775" s="16"/>
    </row>
    <row r="13776" spans="30:30" x14ac:dyDescent="0.3">
      <c r="AD13776" s="16"/>
    </row>
    <row r="13777" spans="30:30" x14ac:dyDescent="0.3">
      <c r="AD13777" s="16"/>
    </row>
    <row r="13778" spans="30:30" x14ac:dyDescent="0.3">
      <c r="AD13778" s="16"/>
    </row>
    <row r="13779" spans="30:30" x14ac:dyDescent="0.3">
      <c r="AD13779" s="16"/>
    </row>
    <row r="13780" spans="30:30" x14ac:dyDescent="0.3">
      <c r="AD13780" s="16"/>
    </row>
    <row r="13781" spans="30:30" x14ac:dyDescent="0.3">
      <c r="AD13781" s="16"/>
    </row>
    <row r="13782" spans="30:30" x14ac:dyDescent="0.3">
      <c r="AD13782" s="16"/>
    </row>
    <row r="13783" spans="30:30" x14ac:dyDescent="0.3">
      <c r="AD13783" s="16"/>
    </row>
    <row r="13784" spans="30:30" x14ac:dyDescent="0.3">
      <c r="AD13784" s="16"/>
    </row>
    <row r="13785" spans="30:30" x14ac:dyDescent="0.3">
      <c r="AD13785" s="16"/>
    </row>
    <row r="13786" spans="30:30" x14ac:dyDescent="0.3">
      <c r="AD13786" s="16"/>
    </row>
    <row r="13787" spans="30:30" x14ac:dyDescent="0.3">
      <c r="AD13787" s="16"/>
    </row>
    <row r="13788" spans="30:30" x14ac:dyDescent="0.3">
      <c r="AD13788" s="16"/>
    </row>
    <row r="13789" spans="30:30" x14ac:dyDescent="0.3">
      <c r="AD13789" s="16"/>
    </row>
    <row r="13790" spans="30:30" x14ac:dyDescent="0.3">
      <c r="AD13790" s="16"/>
    </row>
    <row r="13791" spans="30:30" x14ac:dyDescent="0.3">
      <c r="AD13791" s="16"/>
    </row>
    <row r="13792" spans="30:30" x14ac:dyDescent="0.3">
      <c r="AD13792" s="16"/>
    </row>
    <row r="13793" spans="30:30" x14ac:dyDescent="0.3">
      <c r="AD13793" s="16"/>
    </row>
    <row r="13794" spans="30:30" x14ac:dyDescent="0.3">
      <c r="AD13794" s="16"/>
    </row>
    <row r="13795" spans="30:30" x14ac:dyDescent="0.3">
      <c r="AD13795" s="16"/>
    </row>
    <row r="13796" spans="30:30" x14ac:dyDescent="0.3">
      <c r="AD13796" s="16"/>
    </row>
    <row r="13797" spans="30:30" x14ac:dyDescent="0.3">
      <c r="AD13797" s="16"/>
    </row>
    <row r="13798" spans="30:30" x14ac:dyDescent="0.3">
      <c r="AD13798" s="16"/>
    </row>
    <row r="13799" spans="30:30" x14ac:dyDescent="0.3">
      <c r="AD13799" s="16"/>
    </row>
    <row r="13800" spans="30:30" x14ac:dyDescent="0.3">
      <c r="AD13800" s="16"/>
    </row>
    <row r="13801" spans="30:30" x14ac:dyDescent="0.3">
      <c r="AD13801" s="16"/>
    </row>
    <row r="13802" spans="30:30" x14ac:dyDescent="0.3">
      <c r="AD13802" s="16"/>
    </row>
    <row r="13803" spans="30:30" x14ac:dyDescent="0.3">
      <c r="AD13803" s="16"/>
    </row>
    <row r="13804" spans="30:30" x14ac:dyDescent="0.3">
      <c r="AD13804" s="16"/>
    </row>
    <row r="13805" spans="30:30" x14ac:dyDescent="0.3">
      <c r="AD13805" s="16"/>
    </row>
    <row r="13806" spans="30:30" x14ac:dyDescent="0.3">
      <c r="AD13806" s="16"/>
    </row>
    <row r="13807" spans="30:30" x14ac:dyDescent="0.3">
      <c r="AD13807" s="16"/>
    </row>
    <row r="13808" spans="30:30" x14ac:dyDescent="0.3">
      <c r="AD13808" s="16"/>
    </row>
    <row r="13809" spans="30:30" x14ac:dyDescent="0.3">
      <c r="AD13809" s="16"/>
    </row>
    <row r="13810" spans="30:30" x14ac:dyDescent="0.3">
      <c r="AD13810" s="16"/>
    </row>
    <row r="13811" spans="30:30" x14ac:dyDescent="0.3">
      <c r="AD13811" s="16"/>
    </row>
    <row r="13812" spans="30:30" x14ac:dyDescent="0.3">
      <c r="AD13812" s="16"/>
    </row>
    <row r="13813" spans="30:30" x14ac:dyDescent="0.3">
      <c r="AD13813" s="16"/>
    </row>
    <row r="13814" spans="30:30" x14ac:dyDescent="0.3">
      <c r="AD13814" s="16"/>
    </row>
    <row r="13815" spans="30:30" x14ac:dyDescent="0.3">
      <c r="AD13815" s="16"/>
    </row>
    <row r="13816" spans="30:30" x14ac:dyDescent="0.3">
      <c r="AD13816" s="16"/>
    </row>
    <row r="13817" spans="30:30" x14ac:dyDescent="0.3">
      <c r="AD13817" s="16"/>
    </row>
    <row r="13818" spans="30:30" x14ac:dyDescent="0.3">
      <c r="AD13818" s="16"/>
    </row>
    <row r="13819" spans="30:30" x14ac:dyDescent="0.3">
      <c r="AD13819" s="16"/>
    </row>
    <row r="13820" spans="30:30" x14ac:dyDescent="0.3">
      <c r="AD13820" s="16"/>
    </row>
    <row r="13821" spans="30:30" x14ac:dyDescent="0.3">
      <c r="AD13821" s="16"/>
    </row>
    <row r="13822" spans="30:30" x14ac:dyDescent="0.3">
      <c r="AD13822" s="16"/>
    </row>
    <row r="13823" spans="30:30" x14ac:dyDescent="0.3">
      <c r="AD13823" s="16"/>
    </row>
    <row r="13824" spans="30:30" x14ac:dyDescent="0.3">
      <c r="AD13824" s="16"/>
    </row>
    <row r="13825" spans="30:30" x14ac:dyDescent="0.3">
      <c r="AD13825" s="16"/>
    </row>
    <row r="13826" spans="30:30" x14ac:dyDescent="0.3">
      <c r="AD13826" s="16"/>
    </row>
    <row r="13827" spans="30:30" x14ac:dyDescent="0.3">
      <c r="AD13827" s="16"/>
    </row>
    <row r="13828" spans="30:30" x14ac:dyDescent="0.3">
      <c r="AD13828" s="16"/>
    </row>
    <row r="13829" spans="30:30" x14ac:dyDescent="0.3">
      <c r="AD13829" s="16"/>
    </row>
    <row r="13830" spans="30:30" x14ac:dyDescent="0.3">
      <c r="AD13830" s="16"/>
    </row>
    <row r="13831" spans="30:30" x14ac:dyDescent="0.3">
      <c r="AD13831" s="16"/>
    </row>
    <row r="13832" spans="30:30" x14ac:dyDescent="0.3">
      <c r="AD13832" s="16"/>
    </row>
    <row r="13833" spans="30:30" x14ac:dyDescent="0.3">
      <c r="AD13833" s="16"/>
    </row>
    <row r="13834" spans="30:30" x14ac:dyDescent="0.3">
      <c r="AD13834" s="16"/>
    </row>
    <row r="13835" spans="30:30" x14ac:dyDescent="0.3">
      <c r="AD13835" s="16"/>
    </row>
    <row r="13836" spans="30:30" x14ac:dyDescent="0.3">
      <c r="AD13836" s="16"/>
    </row>
    <row r="13837" spans="30:30" x14ac:dyDescent="0.3">
      <c r="AD13837" s="16"/>
    </row>
    <row r="13838" spans="30:30" x14ac:dyDescent="0.3">
      <c r="AD13838" s="16"/>
    </row>
    <row r="13839" spans="30:30" x14ac:dyDescent="0.3">
      <c r="AD13839" s="16"/>
    </row>
    <row r="13840" spans="30:30" x14ac:dyDescent="0.3">
      <c r="AD13840" s="16"/>
    </row>
    <row r="13841" spans="30:30" x14ac:dyDescent="0.3">
      <c r="AD13841" s="16"/>
    </row>
    <row r="13842" spans="30:30" x14ac:dyDescent="0.3">
      <c r="AD13842" s="16"/>
    </row>
    <row r="13843" spans="30:30" x14ac:dyDescent="0.3">
      <c r="AD13843" s="16"/>
    </row>
    <row r="13844" spans="30:30" x14ac:dyDescent="0.3">
      <c r="AD13844" s="16"/>
    </row>
    <row r="13845" spans="30:30" x14ac:dyDescent="0.3">
      <c r="AD13845" s="16"/>
    </row>
    <row r="13846" spans="30:30" x14ac:dyDescent="0.3">
      <c r="AD13846" s="16"/>
    </row>
    <row r="13847" spans="30:30" x14ac:dyDescent="0.3">
      <c r="AD13847" s="16"/>
    </row>
    <row r="13848" spans="30:30" x14ac:dyDescent="0.3">
      <c r="AD13848" s="16"/>
    </row>
    <row r="13849" spans="30:30" x14ac:dyDescent="0.3">
      <c r="AD13849" s="16"/>
    </row>
    <row r="13850" spans="30:30" x14ac:dyDescent="0.3">
      <c r="AD13850" s="16"/>
    </row>
    <row r="13851" spans="30:30" x14ac:dyDescent="0.3">
      <c r="AD13851" s="16"/>
    </row>
    <row r="13852" spans="30:30" x14ac:dyDescent="0.3">
      <c r="AD13852" s="16"/>
    </row>
    <row r="13853" spans="30:30" x14ac:dyDescent="0.3">
      <c r="AD13853" s="16"/>
    </row>
    <row r="13854" spans="30:30" x14ac:dyDescent="0.3">
      <c r="AD13854" s="16"/>
    </row>
    <row r="13855" spans="30:30" x14ac:dyDescent="0.3">
      <c r="AD13855" s="16"/>
    </row>
    <row r="13856" spans="30:30" x14ac:dyDescent="0.3">
      <c r="AD13856" s="16"/>
    </row>
    <row r="13857" spans="30:30" x14ac:dyDescent="0.3">
      <c r="AD13857" s="16"/>
    </row>
    <row r="13858" spans="30:30" x14ac:dyDescent="0.3">
      <c r="AD13858" s="16"/>
    </row>
    <row r="13859" spans="30:30" x14ac:dyDescent="0.3">
      <c r="AD13859" s="16"/>
    </row>
    <row r="13860" spans="30:30" x14ac:dyDescent="0.3">
      <c r="AD13860" s="16"/>
    </row>
    <row r="13861" spans="30:30" x14ac:dyDescent="0.3">
      <c r="AD13861" s="16"/>
    </row>
    <row r="13862" spans="30:30" x14ac:dyDescent="0.3">
      <c r="AD13862" s="16"/>
    </row>
    <row r="13863" spans="30:30" x14ac:dyDescent="0.3">
      <c r="AD13863" s="16"/>
    </row>
    <row r="13864" spans="30:30" x14ac:dyDescent="0.3">
      <c r="AD13864" s="16"/>
    </row>
    <row r="13865" spans="30:30" x14ac:dyDescent="0.3">
      <c r="AD13865" s="16"/>
    </row>
    <row r="13866" spans="30:30" x14ac:dyDescent="0.3">
      <c r="AD13866" s="16"/>
    </row>
    <row r="13867" spans="30:30" x14ac:dyDescent="0.3">
      <c r="AD13867" s="16"/>
    </row>
    <row r="13868" spans="30:30" x14ac:dyDescent="0.3">
      <c r="AD13868" s="16"/>
    </row>
    <row r="13869" spans="30:30" x14ac:dyDescent="0.3">
      <c r="AD13869" s="16"/>
    </row>
    <row r="13870" spans="30:30" x14ac:dyDescent="0.3">
      <c r="AD13870" s="16"/>
    </row>
    <row r="13871" spans="30:30" x14ac:dyDescent="0.3">
      <c r="AD13871" s="16"/>
    </row>
    <row r="13872" spans="30:30" x14ac:dyDescent="0.3">
      <c r="AD13872" s="16"/>
    </row>
    <row r="13873" spans="30:30" x14ac:dyDescent="0.3">
      <c r="AD13873" s="16"/>
    </row>
    <row r="13874" spans="30:30" x14ac:dyDescent="0.3">
      <c r="AD13874" s="16"/>
    </row>
    <row r="13875" spans="30:30" x14ac:dyDescent="0.3">
      <c r="AD13875" s="16"/>
    </row>
    <row r="13876" spans="30:30" x14ac:dyDescent="0.3">
      <c r="AD13876" s="16"/>
    </row>
    <row r="13877" spans="30:30" x14ac:dyDescent="0.3">
      <c r="AD13877" s="16"/>
    </row>
    <row r="13878" spans="30:30" x14ac:dyDescent="0.3">
      <c r="AD13878" s="16"/>
    </row>
    <row r="13879" spans="30:30" x14ac:dyDescent="0.3">
      <c r="AD13879" s="16"/>
    </row>
    <row r="13880" spans="30:30" x14ac:dyDescent="0.3">
      <c r="AD13880" s="16"/>
    </row>
    <row r="13881" spans="30:30" x14ac:dyDescent="0.3">
      <c r="AD13881" s="16"/>
    </row>
    <row r="13882" spans="30:30" x14ac:dyDescent="0.3">
      <c r="AD13882" s="16"/>
    </row>
    <row r="13883" spans="30:30" x14ac:dyDescent="0.3">
      <c r="AD13883" s="16"/>
    </row>
    <row r="13884" spans="30:30" x14ac:dyDescent="0.3">
      <c r="AD13884" s="16"/>
    </row>
    <row r="13885" spans="30:30" x14ac:dyDescent="0.3">
      <c r="AD13885" s="16"/>
    </row>
    <row r="13886" spans="30:30" x14ac:dyDescent="0.3">
      <c r="AD13886" s="16"/>
    </row>
    <row r="13887" spans="30:30" x14ac:dyDescent="0.3">
      <c r="AD13887" s="16"/>
    </row>
    <row r="13888" spans="30:30" x14ac:dyDescent="0.3">
      <c r="AD13888" s="16"/>
    </row>
    <row r="13889" spans="30:30" x14ac:dyDescent="0.3">
      <c r="AD13889" s="16"/>
    </row>
    <row r="13890" spans="30:30" x14ac:dyDescent="0.3">
      <c r="AD13890" s="16"/>
    </row>
    <row r="13891" spans="30:30" x14ac:dyDescent="0.3">
      <c r="AD13891" s="16"/>
    </row>
    <row r="13892" spans="30:30" x14ac:dyDescent="0.3">
      <c r="AD13892" s="16"/>
    </row>
    <row r="13893" spans="30:30" x14ac:dyDescent="0.3">
      <c r="AD13893" s="16"/>
    </row>
    <row r="13894" spans="30:30" x14ac:dyDescent="0.3">
      <c r="AD13894" s="16"/>
    </row>
    <row r="13895" spans="30:30" x14ac:dyDescent="0.3">
      <c r="AD13895" s="16"/>
    </row>
    <row r="13896" spans="30:30" x14ac:dyDescent="0.3">
      <c r="AD13896" s="16"/>
    </row>
    <row r="13897" spans="30:30" x14ac:dyDescent="0.3">
      <c r="AD13897" s="16"/>
    </row>
    <row r="13898" spans="30:30" x14ac:dyDescent="0.3">
      <c r="AD13898" s="16"/>
    </row>
    <row r="13899" spans="30:30" x14ac:dyDescent="0.3">
      <c r="AD13899" s="16"/>
    </row>
    <row r="13900" spans="30:30" x14ac:dyDescent="0.3">
      <c r="AD13900" s="16"/>
    </row>
    <row r="13901" spans="30:30" x14ac:dyDescent="0.3">
      <c r="AD13901" s="16"/>
    </row>
    <row r="13902" spans="30:30" x14ac:dyDescent="0.3">
      <c r="AD13902" s="16"/>
    </row>
    <row r="13903" spans="30:30" x14ac:dyDescent="0.3">
      <c r="AD13903" s="16"/>
    </row>
    <row r="13904" spans="30:30" x14ac:dyDescent="0.3">
      <c r="AD13904" s="16"/>
    </row>
    <row r="13905" spans="30:30" x14ac:dyDescent="0.3">
      <c r="AD13905" s="16"/>
    </row>
    <row r="13906" spans="30:30" x14ac:dyDescent="0.3">
      <c r="AD13906" s="16"/>
    </row>
    <row r="13907" spans="30:30" x14ac:dyDescent="0.3">
      <c r="AD13907" s="16"/>
    </row>
    <row r="13908" spans="30:30" x14ac:dyDescent="0.3">
      <c r="AD13908" s="16"/>
    </row>
    <row r="13909" spans="30:30" x14ac:dyDescent="0.3">
      <c r="AD13909" s="16"/>
    </row>
    <row r="13910" spans="30:30" x14ac:dyDescent="0.3">
      <c r="AD13910" s="16"/>
    </row>
    <row r="13911" spans="30:30" x14ac:dyDescent="0.3">
      <c r="AD13911" s="16"/>
    </row>
    <row r="13912" spans="30:30" x14ac:dyDescent="0.3">
      <c r="AD13912" s="16"/>
    </row>
    <row r="13913" spans="30:30" x14ac:dyDescent="0.3">
      <c r="AD13913" s="16"/>
    </row>
    <row r="13914" spans="30:30" x14ac:dyDescent="0.3">
      <c r="AD13914" s="16"/>
    </row>
    <row r="13915" spans="30:30" x14ac:dyDescent="0.3">
      <c r="AD13915" s="16"/>
    </row>
    <row r="13916" spans="30:30" x14ac:dyDescent="0.3">
      <c r="AD13916" s="16"/>
    </row>
    <row r="13917" spans="30:30" x14ac:dyDescent="0.3">
      <c r="AD13917" s="16"/>
    </row>
    <row r="13918" spans="30:30" x14ac:dyDescent="0.3">
      <c r="AD13918" s="16"/>
    </row>
    <row r="13919" spans="30:30" x14ac:dyDescent="0.3">
      <c r="AD13919" s="16"/>
    </row>
    <row r="13920" spans="30:30" x14ac:dyDescent="0.3">
      <c r="AD13920" s="16"/>
    </row>
    <row r="13921" spans="30:30" x14ac:dyDescent="0.3">
      <c r="AD13921" s="16"/>
    </row>
    <row r="13922" spans="30:30" x14ac:dyDescent="0.3">
      <c r="AD13922" s="16"/>
    </row>
    <row r="13923" spans="30:30" x14ac:dyDescent="0.3">
      <c r="AD13923" s="16"/>
    </row>
    <row r="13924" spans="30:30" x14ac:dyDescent="0.3">
      <c r="AD13924" s="16"/>
    </row>
    <row r="13925" spans="30:30" x14ac:dyDescent="0.3">
      <c r="AD13925" s="16"/>
    </row>
    <row r="13926" spans="30:30" x14ac:dyDescent="0.3">
      <c r="AD13926" s="16"/>
    </row>
    <row r="13927" spans="30:30" x14ac:dyDescent="0.3">
      <c r="AD13927" s="16"/>
    </row>
    <row r="13928" spans="30:30" x14ac:dyDescent="0.3">
      <c r="AD13928" s="16"/>
    </row>
    <row r="13929" spans="30:30" x14ac:dyDescent="0.3">
      <c r="AD13929" s="16"/>
    </row>
    <row r="13930" spans="30:30" x14ac:dyDescent="0.3">
      <c r="AD13930" s="16"/>
    </row>
    <row r="13931" spans="30:30" x14ac:dyDescent="0.3">
      <c r="AD13931" s="16"/>
    </row>
    <row r="13932" spans="30:30" x14ac:dyDescent="0.3">
      <c r="AD13932" s="16"/>
    </row>
    <row r="13933" spans="30:30" x14ac:dyDescent="0.3">
      <c r="AD13933" s="16"/>
    </row>
    <row r="13934" spans="30:30" x14ac:dyDescent="0.3">
      <c r="AD13934" s="16"/>
    </row>
    <row r="13935" spans="30:30" x14ac:dyDescent="0.3">
      <c r="AD13935" s="16"/>
    </row>
    <row r="13936" spans="30:30" x14ac:dyDescent="0.3">
      <c r="AD13936" s="16"/>
    </row>
    <row r="13937" spans="30:30" x14ac:dyDescent="0.3">
      <c r="AD13937" s="16"/>
    </row>
    <row r="13938" spans="30:30" x14ac:dyDescent="0.3">
      <c r="AD13938" s="16"/>
    </row>
    <row r="13939" spans="30:30" x14ac:dyDescent="0.3">
      <c r="AD13939" s="16"/>
    </row>
    <row r="13940" spans="30:30" x14ac:dyDescent="0.3">
      <c r="AD13940" s="16"/>
    </row>
    <row r="13941" spans="30:30" x14ac:dyDescent="0.3">
      <c r="AD13941" s="16"/>
    </row>
    <row r="13942" spans="30:30" x14ac:dyDescent="0.3">
      <c r="AD13942" s="16"/>
    </row>
    <row r="13943" spans="30:30" x14ac:dyDescent="0.3">
      <c r="AD13943" s="16"/>
    </row>
    <row r="13944" spans="30:30" x14ac:dyDescent="0.3">
      <c r="AD13944" s="16"/>
    </row>
    <row r="13945" spans="30:30" x14ac:dyDescent="0.3">
      <c r="AD13945" s="16"/>
    </row>
    <row r="13946" spans="30:30" x14ac:dyDescent="0.3">
      <c r="AD13946" s="16"/>
    </row>
    <row r="13947" spans="30:30" x14ac:dyDescent="0.3">
      <c r="AD13947" s="16"/>
    </row>
    <row r="13948" spans="30:30" x14ac:dyDescent="0.3">
      <c r="AD13948" s="16"/>
    </row>
    <row r="13949" spans="30:30" x14ac:dyDescent="0.3">
      <c r="AD13949" s="16"/>
    </row>
    <row r="13950" spans="30:30" x14ac:dyDescent="0.3">
      <c r="AD13950" s="16"/>
    </row>
    <row r="13951" spans="30:30" x14ac:dyDescent="0.3">
      <c r="AD13951" s="16"/>
    </row>
    <row r="13952" spans="30:30" x14ac:dyDescent="0.3">
      <c r="AD13952" s="16"/>
    </row>
    <row r="13953" spans="30:30" x14ac:dyDescent="0.3">
      <c r="AD13953" s="16"/>
    </row>
    <row r="13954" spans="30:30" x14ac:dyDescent="0.3">
      <c r="AD13954" s="16"/>
    </row>
    <row r="13955" spans="30:30" x14ac:dyDescent="0.3">
      <c r="AD13955" s="16"/>
    </row>
    <row r="13956" spans="30:30" x14ac:dyDescent="0.3">
      <c r="AD13956" s="16"/>
    </row>
    <row r="13957" spans="30:30" x14ac:dyDescent="0.3">
      <c r="AD13957" s="16"/>
    </row>
    <row r="13958" spans="30:30" x14ac:dyDescent="0.3">
      <c r="AD13958" s="16"/>
    </row>
    <row r="13959" spans="30:30" x14ac:dyDescent="0.3">
      <c r="AD13959" s="16"/>
    </row>
    <row r="13960" spans="30:30" x14ac:dyDescent="0.3">
      <c r="AD13960" s="16"/>
    </row>
    <row r="13961" spans="30:30" x14ac:dyDescent="0.3">
      <c r="AD13961" s="16"/>
    </row>
    <row r="13962" spans="30:30" x14ac:dyDescent="0.3">
      <c r="AD13962" s="16"/>
    </row>
    <row r="13963" spans="30:30" x14ac:dyDescent="0.3">
      <c r="AD13963" s="16"/>
    </row>
    <row r="13964" spans="30:30" x14ac:dyDescent="0.3">
      <c r="AD13964" s="16"/>
    </row>
    <row r="13965" spans="30:30" x14ac:dyDescent="0.3">
      <c r="AD13965" s="16"/>
    </row>
    <row r="13966" spans="30:30" x14ac:dyDescent="0.3">
      <c r="AD13966" s="16"/>
    </row>
    <row r="13967" spans="30:30" x14ac:dyDescent="0.3">
      <c r="AD13967" s="16"/>
    </row>
    <row r="13968" spans="30:30" x14ac:dyDescent="0.3">
      <c r="AD13968" s="16"/>
    </row>
    <row r="13969" spans="30:30" x14ac:dyDescent="0.3">
      <c r="AD13969" s="16"/>
    </row>
    <row r="13970" spans="30:30" x14ac:dyDescent="0.3">
      <c r="AD13970" s="16"/>
    </row>
    <row r="13971" spans="30:30" x14ac:dyDescent="0.3">
      <c r="AD13971" s="16"/>
    </row>
    <row r="13972" spans="30:30" x14ac:dyDescent="0.3">
      <c r="AD13972" s="16"/>
    </row>
    <row r="13973" spans="30:30" x14ac:dyDescent="0.3">
      <c r="AD13973" s="16"/>
    </row>
    <row r="13974" spans="30:30" x14ac:dyDescent="0.3">
      <c r="AD13974" s="16"/>
    </row>
    <row r="13975" spans="30:30" x14ac:dyDescent="0.3">
      <c r="AD13975" s="16"/>
    </row>
    <row r="13976" spans="30:30" x14ac:dyDescent="0.3">
      <c r="AD13976" s="16"/>
    </row>
    <row r="13977" spans="30:30" x14ac:dyDescent="0.3">
      <c r="AD13977" s="16"/>
    </row>
    <row r="13978" spans="30:30" x14ac:dyDescent="0.3">
      <c r="AD13978" s="16"/>
    </row>
    <row r="13979" spans="30:30" x14ac:dyDescent="0.3">
      <c r="AD13979" s="16"/>
    </row>
    <row r="13980" spans="30:30" x14ac:dyDescent="0.3">
      <c r="AD13980" s="16"/>
    </row>
    <row r="13981" spans="30:30" x14ac:dyDescent="0.3">
      <c r="AD13981" s="16"/>
    </row>
    <row r="13982" spans="30:30" x14ac:dyDescent="0.3">
      <c r="AD13982" s="16"/>
    </row>
    <row r="13983" spans="30:30" x14ac:dyDescent="0.3">
      <c r="AD13983" s="16"/>
    </row>
    <row r="13984" spans="30:30" x14ac:dyDescent="0.3">
      <c r="AD13984" s="16"/>
    </row>
    <row r="13985" spans="30:30" x14ac:dyDescent="0.3">
      <c r="AD13985" s="16"/>
    </row>
    <row r="13986" spans="30:30" x14ac:dyDescent="0.3">
      <c r="AD13986" s="16"/>
    </row>
    <row r="13987" spans="30:30" x14ac:dyDescent="0.3">
      <c r="AD13987" s="16"/>
    </row>
    <row r="13988" spans="30:30" x14ac:dyDescent="0.3">
      <c r="AD13988" s="16"/>
    </row>
    <row r="13989" spans="30:30" x14ac:dyDescent="0.3">
      <c r="AD13989" s="16"/>
    </row>
    <row r="13990" spans="30:30" x14ac:dyDescent="0.3">
      <c r="AD13990" s="16"/>
    </row>
    <row r="13991" spans="30:30" x14ac:dyDescent="0.3">
      <c r="AD13991" s="16"/>
    </row>
    <row r="13992" spans="30:30" x14ac:dyDescent="0.3">
      <c r="AD13992" s="16"/>
    </row>
    <row r="13993" spans="30:30" x14ac:dyDescent="0.3">
      <c r="AD13993" s="16"/>
    </row>
    <row r="13994" spans="30:30" x14ac:dyDescent="0.3">
      <c r="AD13994" s="16"/>
    </row>
    <row r="13995" spans="30:30" x14ac:dyDescent="0.3">
      <c r="AD13995" s="16"/>
    </row>
    <row r="13996" spans="30:30" x14ac:dyDescent="0.3">
      <c r="AD13996" s="16"/>
    </row>
    <row r="13997" spans="30:30" x14ac:dyDescent="0.3">
      <c r="AD13997" s="16"/>
    </row>
    <row r="13998" spans="30:30" x14ac:dyDescent="0.3">
      <c r="AD13998" s="16"/>
    </row>
    <row r="13999" spans="30:30" x14ac:dyDescent="0.3">
      <c r="AD13999" s="16"/>
    </row>
    <row r="14000" spans="30:30" x14ac:dyDescent="0.3">
      <c r="AD14000" s="16"/>
    </row>
    <row r="14001" spans="30:30" x14ac:dyDescent="0.3">
      <c r="AD14001" s="16"/>
    </row>
    <row r="14002" spans="30:30" x14ac:dyDescent="0.3">
      <c r="AD14002" s="16"/>
    </row>
    <row r="14003" spans="30:30" x14ac:dyDescent="0.3">
      <c r="AD14003" s="16"/>
    </row>
    <row r="14004" spans="30:30" x14ac:dyDescent="0.3">
      <c r="AD14004" s="16"/>
    </row>
    <row r="14005" spans="30:30" x14ac:dyDescent="0.3">
      <c r="AD14005" s="16"/>
    </row>
    <row r="14006" spans="30:30" x14ac:dyDescent="0.3">
      <c r="AD14006" s="16"/>
    </row>
    <row r="14007" spans="30:30" x14ac:dyDescent="0.3">
      <c r="AD14007" s="16"/>
    </row>
    <row r="14008" spans="30:30" x14ac:dyDescent="0.3">
      <c r="AD14008" s="16"/>
    </row>
    <row r="14009" spans="30:30" x14ac:dyDescent="0.3">
      <c r="AD14009" s="16"/>
    </row>
    <row r="14010" spans="30:30" x14ac:dyDescent="0.3">
      <c r="AD14010" s="16"/>
    </row>
    <row r="14011" spans="30:30" x14ac:dyDescent="0.3">
      <c r="AD14011" s="16"/>
    </row>
    <row r="14012" spans="30:30" x14ac:dyDescent="0.3">
      <c r="AD14012" s="16"/>
    </row>
    <row r="14013" spans="30:30" x14ac:dyDescent="0.3">
      <c r="AD14013" s="16"/>
    </row>
    <row r="14014" spans="30:30" x14ac:dyDescent="0.3">
      <c r="AD14014" s="16"/>
    </row>
    <row r="14015" spans="30:30" x14ac:dyDescent="0.3">
      <c r="AD14015" s="16"/>
    </row>
    <row r="14016" spans="30:30" x14ac:dyDescent="0.3">
      <c r="AD14016" s="16"/>
    </row>
    <row r="14017" spans="30:30" x14ac:dyDescent="0.3">
      <c r="AD14017" s="16"/>
    </row>
    <row r="14018" spans="30:30" x14ac:dyDescent="0.3">
      <c r="AD14018" s="16"/>
    </row>
    <row r="14019" spans="30:30" x14ac:dyDescent="0.3">
      <c r="AD14019" s="16"/>
    </row>
    <row r="14020" spans="30:30" x14ac:dyDescent="0.3">
      <c r="AD14020" s="16"/>
    </row>
    <row r="14021" spans="30:30" x14ac:dyDescent="0.3">
      <c r="AD14021" s="16"/>
    </row>
    <row r="14022" spans="30:30" x14ac:dyDescent="0.3">
      <c r="AD14022" s="16"/>
    </row>
    <row r="14023" spans="30:30" x14ac:dyDescent="0.3">
      <c r="AD14023" s="16"/>
    </row>
    <row r="14024" spans="30:30" x14ac:dyDescent="0.3">
      <c r="AD14024" s="16"/>
    </row>
    <row r="14025" spans="30:30" x14ac:dyDescent="0.3">
      <c r="AD14025" s="16"/>
    </row>
    <row r="14026" spans="30:30" x14ac:dyDescent="0.3">
      <c r="AD14026" s="16"/>
    </row>
    <row r="14027" spans="30:30" x14ac:dyDescent="0.3">
      <c r="AD14027" s="16"/>
    </row>
    <row r="14028" spans="30:30" x14ac:dyDescent="0.3">
      <c r="AD14028" s="16"/>
    </row>
    <row r="14029" spans="30:30" x14ac:dyDescent="0.3">
      <c r="AD14029" s="16"/>
    </row>
    <row r="14030" spans="30:30" x14ac:dyDescent="0.3">
      <c r="AD14030" s="16"/>
    </row>
    <row r="14031" spans="30:30" x14ac:dyDescent="0.3">
      <c r="AD14031" s="16"/>
    </row>
    <row r="14032" spans="30:30" x14ac:dyDescent="0.3">
      <c r="AD14032" s="16"/>
    </row>
    <row r="14033" spans="30:30" x14ac:dyDescent="0.3">
      <c r="AD14033" s="16"/>
    </row>
    <row r="14034" spans="30:30" x14ac:dyDescent="0.3">
      <c r="AD14034" s="16"/>
    </row>
    <row r="14035" spans="30:30" x14ac:dyDescent="0.3">
      <c r="AD14035" s="16"/>
    </row>
    <row r="14036" spans="30:30" x14ac:dyDescent="0.3">
      <c r="AD14036" s="16"/>
    </row>
    <row r="14037" spans="30:30" x14ac:dyDescent="0.3">
      <c r="AD14037" s="16"/>
    </row>
    <row r="14038" spans="30:30" x14ac:dyDescent="0.3">
      <c r="AD14038" s="16"/>
    </row>
    <row r="14039" spans="30:30" x14ac:dyDescent="0.3">
      <c r="AD14039" s="16"/>
    </row>
    <row r="14040" spans="30:30" x14ac:dyDescent="0.3">
      <c r="AD14040" s="16"/>
    </row>
    <row r="14041" spans="30:30" x14ac:dyDescent="0.3">
      <c r="AD14041" s="16"/>
    </row>
    <row r="14042" spans="30:30" x14ac:dyDescent="0.3">
      <c r="AD14042" s="16"/>
    </row>
    <row r="14043" spans="30:30" x14ac:dyDescent="0.3">
      <c r="AD14043" s="16"/>
    </row>
    <row r="14044" spans="30:30" x14ac:dyDescent="0.3">
      <c r="AD14044" s="16"/>
    </row>
    <row r="14045" spans="30:30" x14ac:dyDescent="0.3">
      <c r="AD14045" s="16"/>
    </row>
    <row r="14046" spans="30:30" x14ac:dyDescent="0.3">
      <c r="AD14046" s="16"/>
    </row>
    <row r="14047" spans="30:30" x14ac:dyDescent="0.3">
      <c r="AD14047" s="16"/>
    </row>
    <row r="14048" spans="30:30" x14ac:dyDescent="0.3">
      <c r="AD14048" s="16"/>
    </row>
    <row r="14049" spans="30:30" x14ac:dyDescent="0.3">
      <c r="AD14049" s="16"/>
    </row>
    <row r="14050" spans="30:30" x14ac:dyDescent="0.3">
      <c r="AD14050" s="16"/>
    </row>
    <row r="14051" spans="30:30" x14ac:dyDescent="0.3">
      <c r="AD14051" s="16"/>
    </row>
    <row r="14052" spans="30:30" x14ac:dyDescent="0.3">
      <c r="AD14052" s="16"/>
    </row>
    <row r="14053" spans="30:30" x14ac:dyDescent="0.3">
      <c r="AD14053" s="16"/>
    </row>
    <row r="14054" spans="30:30" x14ac:dyDescent="0.3">
      <c r="AD14054" s="16"/>
    </row>
    <row r="14055" spans="30:30" x14ac:dyDescent="0.3">
      <c r="AD14055" s="16"/>
    </row>
    <row r="14056" spans="30:30" x14ac:dyDescent="0.3">
      <c r="AD14056" s="16"/>
    </row>
    <row r="14057" spans="30:30" x14ac:dyDescent="0.3">
      <c r="AD14057" s="16"/>
    </row>
    <row r="14058" spans="30:30" x14ac:dyDescent="0.3">
      <c r="AD14058" s="16"/>
    </row>
    <row r="14059" spans="30:30" x14ac:dyDescent="0.3">
      <c r="AD14059" s="16"/>
    </row>
    <row r="14060" spans="30:30" x14ac:dyDescent="0.3">
      <c r="AD14060" s="16"/>
    </row>
    <row r="14061" spans="30:30" x14ac:dyDescent="0.3">
      <c r="AD14061" s="16"/>
    </row>
    <row r="14062" spans="30:30" x14ac:dyDescent="0.3">
      <c r="AD14062" s="16"/>
    </row>
    <row r="14063" spans="30:30" x14ac:dyDescent="0.3">
      <c r="AD14063" s="16"/>
    </row>
    <row r="14064" spans="30:30" x14ac:dyDescent="0.3">
      <c r="AD14064" s="16"/>
    </row>
    <row r="14065" spans="30:30" x14ac:dyDescent="0.3">
      <c r="AD14065" s="16"/>
    </row>
    <row r="14066" spans="30:30" x14ac:dyDescent="0.3">
      <c r="AD14066" s="16"/>
    </row>
    <row r="14067" spans="30:30" x14ac:dyDescent="0.3">
      <c r="AD14067" s="16"/>
    </row>
    <row r="14068" spans="30:30" x14ac:dyDescent="0.3">
      <c r="AD14068" s="16"/>
    </row>
    <row r="14069" spans="30:30" x14ac:dyDescent="0.3">
      <c r="AD14069" s="16"/>
    </row>
    <row r="14070" spans="30:30" x14ac:dyDescent="0.3">
      <c r="AD14070" s="16"/>
    </row>
    <row r="14071" spans="30:30" x14ac:dyDescent="0.3">
      <c r="AD14071" s="16"/>
    </row>
    <row r="14072" spans="30:30" x14ac:dyDescent="0.3">
      <c r="AD14072" s="16"/>
    </row>
    <row r="14073" spans="30:30" x14ac:dyDescent="0.3">
      <c r="AD14073" s="16"/>
    </row>
    <row r="14074" spans="30:30" x14ac:dyDescent="0.3">
      <c r="AD14074" s="16"/>
    </row>
    <row r="14075" spans="30:30" x14ac:dyDescent="0.3">
      <c r="AD14075" s="16"/>
    </row>
    <row r="14076" spans="30:30" x14ac:dyDescent="0.3">
      <c r="AD14076" s="16"/>
    </row>
    <row r="14077" spans="30:30" x14ac:dyDescent="0.3">
      <c r="AD14077" s="16"/>
    </row>
    <row r="14078" spans="30:30" x14ac:dyDescent="0.3">
      <c r="AD14078" s="16"/>
    </row>
    <row r="14079" spans="30:30" x14ac:dyDescent="0.3">
      <c r="AD14079" s="16"/>
    </row>
    <row r="14080" spans="30:30" x14ac:dyDescent="0.3">
      <c r="AD14080" s="16"/>
    </row>
    <row r="14081" spans="30:30" x14ac:dyDescent="0.3">
      <c r="AD14081" s="16"/>
    </row>
    <row r="14082" spans="30:30" x14ac:dyDescent="0.3">
      <c r="AD14082" s="16"/>
    </row>
    <row r="14083" spans="30:30" x14ac:dyDescent="0.3">
      <c r="AD14083" s="16"/>
    </row>
    <row r="14084" spans="30:30" x14ac:dyDescent="0.3">
      <c r="AD14084" s="16"/>
    </row>
    <row r="14085" spans="30:30" x14ac:dyDescent="0.3">
      <c r="AD14085" s="16"/>
    </row>
    <row r="14086" spans="30:30" x14ac:dyDescent="0.3">
      <c r="AD14086" s="16"/>
    </row>
    <row r="14087" spans="30:30" x14ac:dyDescent="0.3">
      <c r="AD14087" s="16"/>
    </row>
    <row r="14088" spans="30:30" x14ac:dyDescent="0.3">
      <c r="AD14088" s="16"/>
    </row>
    <row r="14089" spans="30:30" x14ac:dyDescent="0.3">
      <c r="AD14089" s="16"/>
    </row>
    <row r="14090" spans="30:30" x14ac:dyDescent="0.3">
      <c r="AD14090" s="16"/>
    </row>
    <row r="14091" spans="30:30" x14ac:dyDescent="0.3">
      <c r="AD14091" s="16"/>
    </row>
    <row r="14092" spans="30:30" x14ac:dyDescent="0.3">
      <c r="AD14092" s="16"/>
    </row>
    <row r="14093" spans="30:30" x14ac:dyDescent="0.3">
      <c r="AD14093" s="16"/>
    </row>
    <row r="14094" spans="30:30" x14ac:dyDescent="0.3">
      <c r="AD14094" s="16"/>
    </row>
    <row r="14095" spans="30:30" x14ac:dyDescent="0.3">
      <c r="AD14095" s="16"/>
    </row>
    <row r="14096" spans="30:30" x14ac:dyDescent="0.3">
      <c r="AD14096" s="16"/>
    </row>
    <row r="14097" spans="30:30" x14ac:dyDescent="0.3">
      <c r="AD14097" s="16"/>
    </row>
    <row r="14098" spans="30:30" x14ac:dyDescent="0.3">
      <c r="AD14098" s="16"/>
    </row>
    <row r="14099" spans="30:30" x14ac:dyDescent="0.3">
      <c r="AD14099" s="16"/>
    </row>
    <row r="14100" spans="30:30" x14ac:dyDescent="0.3">
      <c r="AD14100" s="16"/>
    </row>
    <row r="14101" spans="30:30" x14ac:dyDescent="0.3">
      <c r="AD14101" s="16"/>
    </row>
    <row r="14102" spans="30:30" x14ac:dyDescent="0.3">
      <c r="AD14102" s="16"/>
    </row>
    <row r="14103" spans="30:30" x14ac:dyDescent="0.3">
      <c r="AD14103" s="16"/>
    </row>
    <row r="14104" spans="30:30" x14ac:dyDescent="0.3">
      <c r="AD14104" s="16"/>
    </row>
    <row r="14105" spans="30:30" x14ac:dyDescent="0.3">
      <c r="AD14105" s="16"/>
    </row>
    <row r="14106" spans="30:30" x14ac:dyDescent="0.3">
      <c r="AD14106" s="16"/>
    </row>
    <row r="14107" spans="30:30" x14ac:dyDescent="0.3">
      <c r="AD14107" s="16"/>
    </row>
    <row r="14108" spans="30:30" x14ac:dyDescent="0.3">
      <c r="AD14108" s="16"/>
    </row>
    <row r="14109" spans="30:30" x14ac:dyDescent="0.3">
      <c r="AD14109" s="16"/>
    </row>
    <row r="14110" spans="30:30" x14ac:dyDescent="0.3">
      <c r="AD14110" s="16"/>
    </row>
    <row r="14111" spans="30:30" x14ac:dyDescent="0.3">
      <c r="AD14111" s="16"/>
    </row>
    <row r="14112" spans="30:30" x14ac:dyDescent="0.3">
      <c r="AD14112" s="16"/>
    </row>
    <row r="14113" spans="30:30" x14ac:dyDescent="0.3">
      <c r="AD14113" s="16"/>
    </row>
    <row r="14114" spans="30:30" x14ac:dyDescent="0.3">
      <c r="AD14114" s="16"/>
    </row>
    <row r="14115" spans="30:30" x14ac:dyDescent="0.3">
      <c r="AD14115" s="16"/>
    </row>
    <row r="14116" spans="30:30" x14ac:dyDescent="0.3">
      <c r="AD14116" s="16"/>
    </row>
    <row r="14117" spans="30:30" x14ac:dyDescent="0.3">
      <c r="AD14117" s="16"/>
    </row>
    <row r="14118" spans="30:30" x14ac:dyDescent="0.3">
      <c r="AD14118" s="16"/>
    </row>
    <row r="14119" spans="30:30" x14ac:dyDescent="0.3">
      <c r="AD14119" s="16"/>
    </row>
    <row r="14120" spans="30:30" x14ac:dyDescent="0.3">
      <c r="AD14120" s="16"/>
    </row>
    <row r="14121" spans="30:30" x14ac:dyDescent="0.3">
      <c r="AD14121" s="16"/>
    </row>
    <row r="14122" spans="30:30" x14ac:dyDescent="0.3">
      <c r="AD14122" s="16"/>
    </row>
    <row r="14123" spans="30:30" x14ac:dyDescent="0.3">
      <c r="AD14123" s="16"/>
    </row>
    <row r="14124" spans="30:30" x14ac:dyDescent="0.3">
      <c r="AD14124" s="16"/>
    </row>
    <row r="14125" spans="30:30" x14ac:dyDescent="0.3">
      <c r="AD14125" s="16"/>
    </row>
    <row r="14126" spans="30:30" x14ac:dyDescent="0.3">
      <c r="AD14126" s="16"/>
    </row>
    <row r="14127" spans="30:30" x14ac:dyDescent="0.3">
      <c r="AD14127" s="16"/>
    </row>
    <row r="14128" spans="30:30" x14ac:dyDescent="0.3">
      <c r="AD14128" s="16"/>
    </row>
    <row r="14129" spans="30:30" x14ac:dyDescent="0.3">
      <c r="AD14129" s="16"/>
    </row>
    <row r="14130" spans="30:30" x14ac:dyDescent="0.3">
      <c r="AD14130" s="16"/>
    </row>
    <row r="14131" spans="30:30" x14ac:dyDescent="0.3">
      <c r="AD14131" s="16"/>
    </row>
    <row r="14132" spans="30:30" x14ac:dyDescent="0.3">
      <c r="AD14132" s="16"/>
    </row>
    <row r="14133" spans="30:30" x14ac:dyDescent="0.3">
      <c r="AD14133" s="16"/>
    </row>
    <row r="14134" spans="30:30" x14ac:dyDescent="0.3">
      <c r="AD14134" s="16"/>
    </row>
    <row r="14135" spans="30:30" x14ac:dyDescent="0.3">
      <c r="AD14135" s="16"/>
    </row>
    <row r="14136" spans="30:30" x14ac:dyDescent="0.3">
      <c r="AD14136" s="16"/>
    </row>
    <row r="14137" spans="30:30" x14ac:dyDescent="0.3">
      <c r="AD14137" s="16"/>
    </row>
    <row r="14138" spans="30:30" x14ac:dyDescent="0.3">
      <c r="AD14138" s="16"/>
    </row>
    <row r="14139" spans="30:30" x14ac:dyDescent="0.3">
      <c r="AD14139" s="16"/>
    </row>
    <row r="14140" spans="30:30" x14ac:dyDescent="0.3">
      <c r="AD14140" s="16"/>
    </row>
    <row r="14141" spans="30:30" x14ac:dyDescent="0.3">
      <c r="AD14141" s="16"/>
    </row>
    <row r="14142" spans="30:30" x14ac:dyDescent="0.3">
      <c r="AD14142" s="16"/>
    </row>
    <row r="14143" spans="30:30" x14ac:dyDescent="0.3">
      <c r="AD14143" s="16"/>
    </row>
    <row r="14144" spans="30:30" x14ac:dyDescent="0.3">
      <c r="AD14144" s="16"/>
    </row>
    <row r="14145" spans="30:30" x14ac:dyDescent="0.3">
      <c r="AD14145" s="16"/>
    </row>
    <row r="14146" spans="30:30" x14ac:dyDescent="0.3">
      <c r="AD14146" s="16"/>
    </row>
    <row r="14147" spans="30:30" x14ac:dyDescent="0.3">
      <c r="AD14147" s="16"/>
    </row>
    <row r="14148" spans="30:30" x14ac:dyDescent="0.3">
      <c r="AD14148" s="16"/>
    </row>
    <row r="14149" spans="30:30" x14ac:dyDescent="0.3">
      <c r="AD14149" s="16"/>
    </row>
    <row r="14150" spans="30:30" x14ac:dyDescent="0.3">
      <c r="AD14150" s="16"/>
    </row>
    <row r="14151" spans="30:30" x14ac:dyDescent="0.3">
      <c r="AD14151" s="16"/>
    </row>
    <row r="14152" spans="30:30" x14ac:dyDescent="0.3">
      <c r="AD14152" s="16"/>
    </row>
    <row r="14153" spans="30:30" x14ac:dyDescent="0.3">
      <c r="AD14153" s="16"/>
    </row>
    <row r="14154" spans="30:30" x14ac:dyDescent="0.3">
      <c r="AD14154" s="16"/>
    </row>
    <row r="14155" spans="30:30" x14ac:dyDescent="0.3">
      <c r="AD14155" s="16"/>
    </row>
    <row r="14156" spans="30:30" x14ac:dyDescent="0.3">
      <c r="AD14156" s="16"/>
    </row>
    <row r="14157" spans="30:30" x14ac:dyDescent="0.3">
      <c r="AD14157" s="16"/>
    </row>
    <row r="14158" spans="30:30" x14ac:dyDescent="0.3">
      <c r="AD14158" s="16"/>
    </row>
    <row r="14159" spans="30:30" x14ac:dyDescent="0.3">
      <c r="AD14159" s="16"/>
    </row>
    <row r="14160" spans="30:30" x14ac:dyDescent="0.3">
      <c r="AD14160" s="16"/>
    </row>
    <row r="14161" spans="30:30" x14ac:dyDescent="0.3">
      <c r="AD14161" s="16"/>
    </row>
    <row r="14162" spans="30:30" x14ac:dyDescent="0.3">
      <c r="AD14162" s="16"/>
    </row>
    <row r="14163" spans="30:30" x14ac:dyDescent="0.3">
      <c r="AD14163" s="16"/>
    </row>
    <row r="14164" spans="30:30" x14ac:dyDescent="0.3">
      <c r="AD14164" s="16"/>
    </row>
    <row r="14165" spans="30:30" x14ac:dyDescent="0.3">
      <c r="AD14165" s="16"/>
    </row>
    <row r="14166" spans="30:30" x14ac:dyDescent="0.3">
      <c r="AD14166" s="16"/>
    </row>
    <row r="14167" spans="30:30" x14ac:dyDescent="0.3">
      <c r="AD14167" s="16"/>
    </row>
    <row r="14168" spans="30:30" x14ac:dyDescent="0.3">
      <c r="AD14168" s="16"/>
    </row>
    <row r="14169" spans="30:30" x14ac:dyDescent="0.3">
      <c r="AD14169" s="16"/>
    </row>
    <row r="14170" spans="30:30" x14ac:dyDescent="0.3">
      <c r="AD14170" s="16"/>
    </row>
    <row r="14171" spans="30:30" x14ac:dyDescent="0.3">
      <c r="AD14171" s="16"/>
    </row>
    <row r="14172" spans="30:30" x14ac:dyDescent="0.3">
      <c r="AD14172" s="16"/>
    </row>
    <row r="14173" spans="30:30" x14ac:dyDescent="0.3">
      <c r="AD14173" s="16"/>
    </row>
    <row r="14174" spans="30:30" x14ac:dyDescent="0.3">
      <c r="AD14174" s="16"/>
    </row>
    <row r="14175" spans="30:30" x14ac:dyDescent="0.3">
      <c r="AD14175" s="16"/>
    </row>
    <row r="14176" spans="30:30" x14ac:dyDescent="0.3">
      <c r="AD14176" s="16"/>
    </row>
    <row r="14177" spans="30:30" x14ac:dyDescent="0.3">
      <c r="AD14177" s="16"/>
    </row>
    <row r="14178" spans="30:30" x14ac:dyDescent="0.3">
      <c r="AD14178" s="16"/>
    </row>
    <row r="14179" spans="30:30" x14ac:dyDescent="0.3">
      <c r="AD14179" s="16"/>
    </row>
    <row r="14180" spans="30:30" x14ac:dyDescent="0.3">
      <c r="AD14180" s="16"/>
    </row>
    <row r="14181" spans="30:30" x14ac:dyDescent="0.3">
      <c r="AD14181" s="16"/>
    </row>
    <row r="14182" spans="30:30" x14ac:dyDescent="0.3">
      <c r="AD14182" s="16"/>
    </row>
    <row r="14183" spans="30:30" x14ac:dyDescent="0.3">
      <c r="AD14183" s="16"/>
    </row>
    <row r="14184" spans="30:30" x14ac:dyDescent="0.3">
      <c r="AD14184" s="16"/>
    </row>
    <row r="14185" spans="30:30" x14ac:dyDescent="0.3">
      <c r="AD14185" s="16"/>
    </row>
    <row r="14186" spans="30:30" x14ac:dyDescent="0.3">
      <c r="AD14186" s="16"/>
    </row>
    <row r="14187" spans="30:30" x14ac:dyDescent="0.3">
      <c r="AD14187" s="16"/>
    </row>
    <row r="14188" spans="30:30" x14ac:dyDescent="0.3">
      <c r="AD14188" s="16"/>
    </row>
    <row r="14189" spans="30:30" x14ac:dyDescent="0.3">
      <c r="AD14189" s="16"/>
    </row>
    <row r="14190" spans="30:30" x14ac:dyDescent="0.3">
      <c r="AD14190" s="16"/>
    </row>
    <row r="14191" spans="30:30" x14ac:dyDescent="0.3">
      <c r="AD14191" s="16"/>
    </row>
    <row r="14192" spans="30:30" x14ac:dyDescent="0.3">
      <c r="AD14192" s="16"/>
    </row>
    <row r="14193" spans="30:30" x14ac:dyDescent="0.3">
      <c r="AD14193" s="16"/>
    </row>
    <row r="14194" spans="30:30" x14ac:dyDescent="0.3">
      <c r="AD14194" s="16"/>
    </row>
    <row r="14195" spans="30:30" x14ac:dyDescent="0.3">
      <c r="AD14195" s="16"/>
    </row>
    <row r="14196" spans="30:30" x14ac:dyDescent="0.3">
      <c r="AD14196" s="16"/>
    </row>
    <row r="14197" spans="30:30" x14ac:dyDescent="0.3">
      <c r="AD14197" s="16"/>
    </row>
    <row r="14198" spans="30:30" x14ac:dyDescent="0.3">
      <c r="AD14198" s="16"/>
    </row>
    <row r="14199" spans="30:30" x14ac:dyDescent="0.3">
      <c r="AD14199" s="16"/>
    </row>
    <row r="14200" spans="30:30" x14ac:dyDescent="0.3">
      <c r="AD14200" s="16"/>
    </row>
    <row r="14201" spans="30:30" x14ac:dyDescent="0.3">
      <c r="AD14201" s="16"/>
    </row>
    <row r="14202" spans="30:30" x14ac:dyDescent="0.3">
      <c r="AD14202" s="16"/>
    </row>
    <row r="14203" spans="30:30" x14ac:dyDescent="0.3">
      <c r="AD14203" s="16"/>
    </row>
    <row r="14204" spans="30:30" x14ac:dyDescent="0.3">
      <c r="AD14204" s="16"/>
    </row>
    <row r="14205" spans="30:30" x14ac:dyDescent="0.3">
      <c r="AD14205" s="16"/>
    </row>
    <row r="14206" spans="30:30" x14ac:dyDescent="0.3">
      <c r="AD14206" s="16"/>
    </row>
    <row r="14207" spans="30:30" x14ac:dyDescent="0.3">
      <c r="AD14207" s="16"/>
    </row>
    <row r="14208" spans="30:30" x14ac:dyDescent="0.3">
      <c r="AD14208" s="16"/>
    </row>
    <row r="14209" spans="30:30" x14ac:dyDescent="0.3">
      <c r="AD14209" s="16"/>
    </row>
    <row r="14210" spans="30:30" x14ac:dyDescent="0.3">
      <c r="AD14210" s="16"/>
    </row>
    <row r="14211" spans="30:30" x14ac:dyDescent="0.3">
      <c r="AD14211" s="16"/>
    </row>
    <row r="14212" spans="30:30" x14ac:dyDescent="0.3">
      <c r="AD14212" s="16"/>
    </row>
    <row r="14213" spans="30:30" x14ac:dyDescent="0.3">
      <c r="AD14213" s="16"/>
    </row>
    <row r="14214" spans="30:30" x14ac:dyDescent="0.3">
      <c r="AD14214" s="16"/>
    </row>
    <row r="14215" spans="30:30" x14ac:dyDescent="0.3">
      <c r="AD14215" s="16"/>
    </row>
    <row r="14216" spans="30:30" x14ac:dyDescent="0.3">
      <c r="AD14216" s="16"/>
    </row>
    <row r="14217" spans="30:30" x14ac:dyDescent="0.3">
      <c r="AD14217" s="16"/>
    </row>
    <row r="14218" spans="30:30" x14ac:dyDescent="0.3">
      <c r="AD14218" s="16"/>
    </row>
    <row r="14219" spans="30:30" x14ac:dyDescent="0.3">
      <c r="AD14219" s="16"/>
    </row>
    <row r="14220" spans="30:30" x14ac:dyDescent="0.3">
      <c r="AD14220" s="16"/>
    </row>
    <row r="14221" spans="30:30" x14ac:dyDescent="0.3">
      <c r="AD14221" s="16"/>
    </row>
    <row r="14222" spans="30:30" x14ac:dyDescent="0.3">
      <c r="AD14222" s="16"/>
    </row>
    <row r="14223" spans="30:30" x14ac:dyDescent="0.3">
      <c r="AD14223" s="16"/>
    </row>
    <row r="14224" spans="30:30" x14ac:dyDescent="0.3">
      <c r="AD14224" s="16"/>
    </row>
    <row r="14225" spans="30:30" x14ac:dyDescent="0.3">
      <c r="AD14225" s="16"/>
    </row>
    <row r="14226" spans="30:30" x14ac:dyDescent="0.3">
      <c r="AD14226" s="16"/>
    </row>
    <row r="14227" spans="30:30" x14ac:dyDescent="0.3">
      <c r="AD14227" s="16"/>
    </row>
    <row r="14228" spans="30:30" x14ac:dyDescent="0.3">
      <c r="AD14228" s="16"/>
    </row>
    <row r="14229" spans="30:30" x14ac:dyDescent="0.3">
      <c r="AD14229" s="16"/>
    </row>
    <row r="14230" spans="30:30" x14ac:dyDescent="0.3">
      <c r="AD14230" s="16"/>
    </row>
    <row r="14231" spans="30:30" x14ac:dyDescent="0.3">
      <c r="AD14231" s="16"/>
    </row>
    <row r="14232" spans="30:30" x14ac:dyDescent="0.3">
      <c r="AD14232" s="16"/>
    </row>
    <row r="14233" spans="30:30" x14ac:dyDescent="0.3">
      <c r="AD14233" s="16"/>
    </row>
    <row r="14234" spans="30:30" x14ac:dyDescent="0.3">
      <c r="AD14234" s="16"/>
    </row>
    <row r="14235" spans="30:30" x14ac:dyDescent="0.3">
      <c r="AD14235" s="16"/>
    </row>
    <row r="14236" spans="30:30" x14ac:dyDescent="0.3">
      <c r="AD14236" s="16"/>
    </row>
    <row r="14237" spans="30:30" x14ac:dyDescent="0.3">
      <c r="AD14237" s="16"/>
    </row>
    <row r="14238" spans="30:30" x14ac:dyDescent="0.3">
      <c r="AD14238" s="16"/>
    </row>
    <row r="14239" spans="30:30" x14ac:dyDescent="0.3">
      <c r="AD14239" s="16"/>
    </row>
    <row r="14240" spans="30:30" x14ac:dyDescent="0.3">
      <c r="AD14240" s="16"/>
    </row>
    <row r="14241" spans="30:30" x14ac:dyDescent="0.3">
      <c r="AD14241" s="16"/>
    </row>
    <row r="14242" spans="30:30" x14ac:dyDescent="0.3">
      <c r="AD14242" s="16"/>
    </row>
    <row r="14243" spans="30:30" x14ac:dyDescent="0.3">
      <c r="AD14243" s="16"/>
    </row>
    <row r="14244" spans="30:30" x14ac:dyDescent="0.3">
      <c r="AD14244" s="16"/>
    </row>
    <row r="14245" spans="30:30" x14ac:dyDescent="0.3">
      <c r="AD14245" s="16"/>
    </row>
    <row r="14246" spans="30:30" x14ac:dyDescent="0.3">
      <c r="AD14246" s="16"/>
    </row>
    <row r="14247" spans="30:30" x14ac:dyDescent="0.3">
      <c r="AD14247" s="16"/>
    </row>
    <row r="14248" spans="30:30" x14ac:dyDescent="0.3">
      <c r="AD14248" s="16"/>
    </row>
    <row r="14249" spans="30:30" x14ac:dyDescent="0.3">
      <c r="AD14249" s="16"/>
    </row>
    <row r="14250" spans="30:30" x14ac:dyDescent="0.3">
      <c r="AD14250" s="16"/>
    </row>
    <row r="14251" spans="30:30" x14ac:dyDescent="0.3">
      <c r="AD14251" s="16"/>
    </row>
    <row r="14252" spans="30:30" x14ac:dyDescent="0.3">
      <c r="AD14252" s="16"/>
    </row>
    <row r="14253" spans="30:30" x14ac:dyDescent="0.3">
      <c r="AD14253" s="16"/>
    </row>
    <row r="14254" spans="30:30" x14ac:dyDescent="0.3">
      <c r="AD14254" s="16"/>
    </row>
    <row r="14255" spans="30:30" x14ac:dyDescent="0.3">
      <c r="AD14255" s="16"/>
    </row>
    <row r="14256" spans="30:30" x14ac:dyDescent="0.3">
      <c r="AD14256" s="16"/>
    </row>
    <row r="14257" spans="30:30" x14ac:dyDescent="0.3">
      <c r="AD14257" s="16"/>
    </row>
    <row r="14258" spans="30:30" x14ac:dyDescent="0.3">
      <c r="AD14258" s="16"/>
    </row>
    <row r="14259" spans="30:30" x14ac:dyDescent="0.3">
      <c r="AD14259" s="16"/>
    </row>
    <row r="14260" spans="30:30" x14ac:dyDescent="0.3">
      <c r="AD14260" s="16"/>
    </row>
    <row r="14261" spans="30:30" x14ac:dyDescent="0.3">
      <c r="AD14261" s="16"/>
    </row>
    <row r="14262" spans="30:30" x14ac:dyDescent="0.3">
      <c r="AD14262" s="16"/>
    </row>
    <row r="14263" spans="30:30" x14ac:dyDescent="0.3">
      <c r="AD14263" s="16"/>
    </row>
    <row r="14264" spans="30:30" x14ac:dyDescent="0.3">
      <c r="AD14264" s="16"/>
    </row>
    <row r="14265" spans="30:30" x14ac:dyDescent="0.3">
      <c r="AD14265" s="16"/>
    </row>
    <row r="14266" spans="30:30" x14ac:dyDescent="0.3">
      <c r="AD14266" s="16"/>
    </row>
    <row r="14267" spans="30:30" x14ac:dyDescent="0.3">
      <c r="AD14267" s="16"/>
    </row>
    <row r="14268" spans="30:30" x14ac:dyDescent="0.3">
      <c r="AD14268" s="16"/>
    </row>
    <row r="14269" spans="30:30" x14ac:dyDescent="0.3">
      <c r="AD14269" s="16"/>
    </row>
    <row r="14270" spans="30:30" x14ac:dyDescent="0.3">
      <c r="AD14270" s="16"/>
    </row>
    <row r="14271" spans="30:30" x14ac:dyDescent="0.3">
      <c r="AD14271" s="16"/>
    </row>
    <row r="14272" spans="30:30" x14ac:dyDescent="0.3">
      <c r="AD14272" s="16"/>
    </row>
    <row r="14273" spans="30:30" x14ac:dyDescent="0.3">
      <c r="AD14273" s="16"/>
    </row>
    <row r="14274" spans="30:30" x14ac:dyDescent="0.3">
      <c r="AD14274" s="16"/>
    </row>
    <row r="14275" spans="30:30" x14ac:dyDescent="0.3">
      <c r="AD14275" s="16"/>
    </row>
    <row r="14276" spans="30:30" x14ac:dyDescent="0.3">
      <c r="AD14276" s="16"/>
    </row>
    <row r="14277" spans="30:30" x14ac:dyDescent="0.3">
      <c r="AD14277" s="16"/>
    </row>
    <row r="14278" spans="30:30" x14ac:dyDescent="0.3">
      <c r="AD14278" s="16"/>
    </row>
    <row r="14279" spans="30:30" x14ac:dyDescent="0.3">
      <c r="AD14279" s="16"/>
    </row>
    <row r="14280" spans="30:30" x14ac:dyDescent="0.3">
      <c r="AD14280" s="16"/>
    </row>
    <row r="14281" spans="30:30" x14ac:dyDescent="0.3">
      <c r="AD14281" s="16"/>
    </row>
    <row r="14282" spans="30:30" x14ac:dyDescent="0.3">
      <c r="AD14282" s="16"/>
    </row>
    <row r="14283" spans="30:30" x14ac:dyDescent="0.3">
      <c r="AD14283" s="16"/>
    </row>
    <row r="14284" spans="30:30" x14ac:dyDescent="0.3">
      <c r="AD14284" s="16"/>
    </row>
    <row r="14285" spans="30:30" x14ac:dyDescent="0.3">
      <c r="AD14285" s="16"/>
    </row>
    <row r="14286" spans="30:30" x14ac:dyDescent="0.3">
      <c r="AD14286" s="16"/>
    </row>
    <row r="14287" spans="30:30" x14ac:dyDescent="0.3">
      <c r="AD14287" s="16"/>
    </row>
    <row r="14288" spans="30:30" x14ac:dyDescent="0.3">
      <c r="AD14288" s="16"/>
    </row>
    <row r="14289" spans="30:30" x14ac:dyDescent="0.3">
      <c r="AD14289" s="16"/>
    </row>
    <row r="14290" spans="30:30" x14ac:dyDescent="0.3">
      <c r="AD14290" s="16"/>
    </row>
    <row r="14291" spans="30:30" x14ac:dyDescent="0.3">
      <c r="AD14291" s="16"/>
    </row>
    <row r="14292" spans="30:30" x14ac:dyDescent="0.3">
      <c r="AD14292" s="16"/>
    </row>
    <row r="14293" spans="30:30" x14ac:dyDescent="0.3">
      <c r="AD14293" s="16"/>
    </row>
    <row r="14294" spans="30:30" x14ac:dyDescent="0.3">
      <c r="AD14294" s="16"/>
    </row>
    <row r="14295" spans="30:30" x14ac:dyDescent="0.3">
      <c r="AD14295" s="16"/>
    </row>
    <row r="14296" spans="30:30" x14ac:dyDescent="0.3">
      <c r="AD14296" s="16"/>
    </row>
    <row r="14297" spans="30:30" x14ac:dyDescent="0.3">
      <c r="AD14297" s="16"/>
    </row>
    <row r="14298" spans="30:30" x14ac:dyDescent="0.3">
      <c r="AD14298" s="16"/>
    </row>
    <row r="14299" spans="30:30" x14ac:dyDescent="0.3">
      <c r="AD14299" s="16"/>
    </row>
    <row r="14300" spans="30:30" x14ac:dyDescent="0.3">
      <c r="AD14300" s="16"/>
    </row>
    <row r="14301" spans="30:30" x14ac:dyDescent="0.3">
      <c r="AD14301" s="16"/>
    </row>
    <row r="14302" spans="30:30" x14ac:dyDescent="0.3">
      <c r="AD14302" s="16"/>
    </row>
    <row r="14303" spans="30:30" x14ac:dyDescent="0.3">
      <c r="AD14303" s="16"/>
    </row>
    <row r="14304" spans="30:30" x14ac:dyDescent="0.3">
      <c r="AD14304" s="16"/>
    </row>
    <row r="14305" spans="30:30" x14ac:dyDescent="0.3">
      <c r="AD14305" s="16"/>
    </row>
    <row r="14306" spans="30:30" x14ac:dyDescent="0.3">
      <c r="AD14306" s="16"/>
    </row>
    <row r="14307" spans="30:30" x14ac:dyDescent="0.3">
      <c r="AD14307" s="16"/>
    </row>
    <row r="14308" spans="30:30" x14ac:dyDescent="0.3">
      <c r="AD14308" s="16"/>
    </row>
    <row r="14309" spans="30:30" x14ac:dyDescent="0.3">
      <c r="AD14309" s="16"/>
    </row>
    <row r="14310" spans="30:30" x14ac:dyDescent="0.3">
      <c r="AD14310" s="16"/>
    </row>
    <row r="14311" spans="30:30" x14ac:dyDescent="0.3">
      <c r="AD14311" s="16"/>
    </row>
    <row r="14312" spans="30:30" x14ac:dyDescent="0.3">
      <c r="AD14312" s="16"/>
    </row>
    <row r="14313" spans="30:30" x14ac:dyDescent="0.3">
      <c r="AD14313" s="16"/>
    </row>
    <row r="14314" spans="30:30" x14ac:dyDescent="0.3">
      <c r="AD14314" s="16"/>
    </row>
    <row r="14315" spans="30:30" x14ac:dyDescent="0.3">
      <c r="AD14315" s="16"/>
    </row>
    <row r="14316" spans="30:30" x14ac:dyDescent="0.3">
      <c r="AD14316" s="16"/>
    </row>
    <row r="14317" spans="30:30" x14ac:dyDescent="0.3">
      <c r="AD14317" s="16"/>
    </row>
    <row r="14318" spans="30:30" x14ac:dyDescent="0.3">
      <c r="AD14318" s="16"/>
    </row>
    <row r="14319" spans="30:30" x14ac:dyDescent="0.3">
      <c r="AD14319" s="16"/>
    </row>
    <row r="14320" spans="30:30" x14ac:dyDescent="0.3">
      <c r="AD14320" s="16"/>
    </row>
    <row r="14321" spans="30:30" x14ac:dyDescent="0.3">
      <c r="AD14321" s="16"/>
    </row>
    <row r="14322" spans="30:30" x14ac:dyDescent="0.3">
      <c r="AD14322" s="16"/>
    </row>
    <row r="14323" spans="30:30" x14ac:dyDescent="0.3">
      <c r="AD14323" s="16"/>
    </row>
    <row r="14324" spans="30:30" x14ac:dyDescent="0.3">
      <c r="AD14324" s="16"/>
    </row>
    <row r="14325" spans="30:30" x14ac:dyDescent="0.3">
      <c r="AD14325" s="16"/>
    </row>
    <row r="14326" spans="30:30" x14ac:dyDescent="0.3">
      <c r="AD14326" s="16"/>
    </row>
    <row r="14327" spans="30:30" x14ac:dyDescent="0.3">
      <c r="AD14327" s="16"/>
    </row>
    <row r="14328" spans="30:30" x14ac:dyDescent="0.3">
      <c r="AD14328" s="16"/>
    </row>
    <row r="14329" spans="30:30" x14ac:dyDescent="0.3">
      <c r="AD14329" s="16"/>
    </row>
    <row r="14330" spans="30:30" x14ac:dyDescent="0.3">
      <c r="AD14330" s="16"/>
    </row>
    <row r="14331" spans="30:30" x14ac:dyDescent="0.3">
      <c r="AD14331" s="16"/>
    </row>
    <row r="14332" spans="30:30" x14ac:dyDescent="0.3">
      <c r="AD14332" s="16"/>
    </row>
    <row r="14333" spans="30:30" x14ac:dyDescent="0.3">
      <c r="AD14333" s="16"/>
    </row>
    <row r="14334" spans="30:30" x14ac:dyDescent="0.3">
      <c r="AD14334" s="16"/>
    </row>
    <row r="14335" spans="30:30" x14ac:dyDescent="0.3">
      <c r="AD14335" s="16"/>
    </row>
    <row r="14336" spans="30:30" x14ac:dyDescent="0.3">
      <c r="AD14336" s="16"/>
    </row>
    <row r="14337" spans="30:30" x14ac:dyDescent="0.3">
      <c r="AD14337" s="16"/>
    </row>
    <row r="14338" spans="30:30" x14ac:dyDescent="0.3">
      <c r="AD14338" s="16"/>
    </row>
    <row r="14339" spans="30:30" x14ac:dyDescent="0.3">
      <c r="AD14339" s="16"/>
    </row>
    <row r="14340" spans="30:30" x14ac:dyDescent="0.3">
      <c r="AD14340" s="16"/>
    </row>
    <row r="14341" spans="30:30" x14ac:dyDescent="0.3">
      <c r="AD14341" s="16"/>
    </row>
    <row r="14342" spans="30:30" x14ac:dyDescent="0.3">
      <c r="AD14342" s="16"/>
    </row>
    <row r="14343" spans="30:30" x14ac:dyDescent="0.3">
      <c r="AD14343" s="16"/>
    </row>
    <row r="14344" spans="30:30" x14ac:dyDescent="0.3">
      <c r="AD14344" s="16"/>
    </row>
    <row r="14345" spans="30:30" x14ac:dyDescent="0.3">
      <c r="AD14345" s="16"/>
    </row>
    <row r="14346" spans="30:30" x14ac:dyDescent="0.3">
      <c r="AD14346" s="16"/>
    </row>
    <row r="14347" spans="30:30" x14ac:dyDescent="0.3">
      <c r="AD14347" s="16"/>
    </row>
    <row r="14348" spans="30:30" x14ac:dyDescent="0.3">
      <c r="AD14348" s="16"/>
    </row>
    <row r="14349" spans="30:30" x14ac:dyDescent="0.3">
      <c r="AD14349" s="16"/>
    </row>
    <row r="14350" spans="30:30" x14ac:dyDescent="0.3">
      <c r="AD14350" s="16"/>
    </row>
    <row r="14351" spans="30:30" x14ac:dyDescent="0.3">
      <c r="AD14351" s="16"/>
    </row>
    <row r="14352" spans="30:30" x14ac:dyDescent="0.3">
      <c r="AD14352" s="16"/>
    </row>
    <row r="14353" spans="30:30" x14ac:dyDescent="0.3">
      <c r="AD14353" s="16"/>
    </row>
    <row r="14354" spans="30:30" x14ac:dyDescent="0.3">
      <c r="AD14354" s="16"/>
    </row>
    <row r="14355" spans="30:30" x14ac:dyDescent="0.3">
      <c r="AD14355" s="16"/>
    </row>
    <row r="14356" spans="30:30" x14ac:dyDescent="0.3">
      <c r="AD14356" s="16"/>
    </row>
    <row r="14357" spans="30:30" x14ac:dyDescent="0.3">
      <c r="AD14357" s="16"/>
    </row>
    <row r="14358" spans="30:30" x14ac:dyDescent="0.3">
      <c r="AD14358" s="16"/>
    </row>
    <row r="14359" spans="30:30" x14ac:dyDescent="0.3">
      <c r="AD14359" s="16"/>
    </row>
    <row r="14360" spans="30:30" x14ac:dyDescent="0.3">
      <c r="AD14360" s="16"/>
    </row>
    <row r="14361" spans="30:30" x14ac:dyDescent="0.3">
      <c r="AD14361" s="16"/>
    </row>
    <row r="14362" spans="30:30" x14ac:dyDescent="0.3">
      <c r="AD14362" s="16"/>
    </row>
    <row r="14363" spans="30:30" x14ac:dyDescent="0.3">
      <c r="AD14363" s="16"/>
    </row>
    <row r="14364" spans="30:30" x14ac:dyDescent="0.3">
      <c r="AD14364" s="16"/>
    </row>
    <row r="14365" spans="30:30" x14ac:dyDescent="0.3">
      <c r="AD14365" s="16"/>
    </row>
    <row r="14366" spans="30:30" x14ac:dyDescent="0.3">
      <c r="AD14366" s="16"/>
    </row>
    <row r="14367" spans="30:30" x14ac:dyDescent="0.3">
      <c r="AD14367" s="16"/>
    </row>
    <row r="14368" spans="30:30" x14ac:dyDescent="0.3">
      <c r="AD14368" s="16"/>
    </row>
    <row r="14369" spans="30:30" x14ac:dyDescent="0.3">
      <c r="AD14369" s="16"/>
    </row>
    <row r="14370" spans="30:30" x14ac:dyDescent="0.3">
      <c r="AD14370" s="16"/>
    </row>
    <row r="14371" spans="30:30" x14ac:dyDescent="0.3">
      <c r="AD14371" s="16"/>
    </row>
    <row r="14372" spans="30:30" x14ac:dyDescent="0.3">
      <c r="AD14372" s="16"/>
    </row>
    <row r="14373" spans="30:30" x14ac:dyDescent="0.3">
      <c r="AD14373" s="16"/>
    </row>
    <row r="14374" spans="30:30" x14ac:dyDescent="0.3">
      <c r="AD14374" s="16"/>
    </row>
    <row r="14375" spans="30:30" x14ac:dyDescent="0.3">
      <c r="AD14375" s="16"/>
    </row>
    <row r="14376" spans="30:30" x14ac:dyDescent="0.3">
      <c r="AD14376" s="16"/>
    </row>
    <row r="14377" spans="30:30" x14ac:dyDescent="0.3">
      <c r="AD14377" s="16"/>
    </row>
    <row r="14378" spans="30:30" x14ac:dyDescent="0.3">
      <c r="AD14378" s="16"/>
    </row>
    <row r="14379" spans="30:30" x14ac:dyDescent="0.3">
      <c r="AD14379" s="16"/>
    </row>
    <row r="14380" spans="30:30" x14ac:dyDescent="0.3">
      <c r="AD14380" s="16"/>
    </row>
    <row r="14381" spans="30:30" x14ac:dyDescent="0.3">
      <c r="AD14381" s="16"/>
    </row>
    <row r="14382" spans="30:30" x14ac:dyDescent="0.3">
      <c r="AD14382" s="16"/>
    </row>
    <row r="14383" spans="30:30" x14ac:dyDescent="0.3">
      <c r="AD14383" s="16"/>
    </row>
    <row r="14384" spans="30:30" x14ac:dyDescent="0.3">
      <c r="AD14384" s="16"/>
    </row>
    <row r="14385" spans="30:30" x14ac:dyDescent="0.3">
      <c r="AD14385" s="16"/>
    </row>
    <row r="14386" spans="30:30" x14ac:dyDescent="0.3">
      <c r="AD14386" s="16"/>
    </row>
    <row r="14387" spans="30:30" x14ac:dyDescent="0.3">
      <c r="AD14387" s="16"/>
    </row>
    <row r="14388" spans="30:30" x14ac:dyDescent="0.3">
      <c r="AD14388" s="16"/>
    </row>
    <row r="14389" spans="30:30" x14ac:dyDescent="0.3">
      <c r="AD14389" s="16"/>
    </row>
    <row r="14390" spans="30:30" x14ac:dyDescent="0.3">
      <c r="AD14390" s="16"/>
    </row>
    <row r="14391" spans="30:30" x14ac:dyDescent="0.3">
      <c r="AD14391" s="16"/>
    </row>
    <row r="14392" spans="30:30" x14ac:dyDescent="0.3">
      <c r="AD14392" s="16"/>
    </row>
    <row r="14393" spans="30:30" x14ac:dyDescent="0.3">
      <c r="AD14393" s="16"/>
    </row>
    <row r="14394" spans="30:30" x14ac:dyDescent="0.3">
      <c r="AD14394" s="16"/>
    </row>
    <row r="14395" spans="30:30" x14ac:dyDescent="0.3">
      <c r="AD14395" s="16"/>
    </row>
    <row r="14396" spans="30:30" x14ac:dyDescent="0.3">
      <c r="AD14396" s="16"/>
    </row>
    <row r="14397" spans="30:30" x14ac:dyDescent="0.3">
      <c r="AD14397" s="16"/>
    </row>
    <row r="14398" spans="30:30" x14ac:dyDescent="0.3">
      <c r="AD14398" s="16"/>
    </row>
    <row r="14399" spans="30:30" x14ac:dyDescent="0.3">
      <c r="AD14399" s="16"/>
    </row>
    <row r="14400" spans="30:30" x14ac:dyDescent="0.3">
      <c r="AD14400" s="16"/>
    </row>
    <row r="14401" spans="30:30" x14ac:dyDescent="0.3">
      <c r="AD14401" s="16"/>
    </row>
    <row r="14402" spans="30:30" x14ac:dyDescent="0.3">
      <c r="AD14402" s="16"/>
    </row>
    <row r="14403" spans="30:30" x14ac:dyDescent="0.3">
      <c r="AD14403" s="16"/>
    </row>
    <row r="14404" spans="30:30" x14ac:dyDescent="0.3">
      <c r="AD14404" s="16"/>
    </row>
    <row r="14405" spans="30:30" x14ac:dyDescent="0.3">
      <c r="AD14405" s="16"/>
    </row>
    <row r="14406" spans="30:30" x14ac:dyDescent="0.3">
      <c r="AD14406" s="16"/>
    </row>
    <row r="14407" spans="30:30" x14ac:dyDescent="0.3">
      <c r="AD14407" s="16"/>
    </row>
    <row r="14408" spans="30:30" x14ac:dyDescent="0.3">
      <c r="AD14408" s="16"/>
    </row>
    <row r="14409" spans="30:30" x14ac:dyDescent="0.3">
      <c r="AD14409" s="16"/>
    </row>
    <row r="14410" spans="30:30" x14ac:dyDescent="0.3">
      <c r="AD14410" s="16"/>
    </row>
    <row r="14411" spans="30:30" x14ac:dyDescent="0.3">
      <c r="AD14411" s="16"/>
    </row>
    <row r="14412" spans="30:30" x14ac:dyDescent="0.3">
      <c r="AD14412" s="16"/>
    </row>
    <row r="14413" spans="30:30" x14ac:dyDescent="0.3">
      <c r="AD14413" s="16"/>
    </row>
    <row r="14414" spans="30:30" x14ac:dyDescent="0.3">
      <c r="AD14414" s="16"/>
    </row>
    <row r="14415" spans="30:30" x14ac:dyDescent="0.3">
      <c r="AD14415" s="16"/>
    </row>
    <row r="14416" spans="30:30" x14ac:dyDescent="0.3">
      <c r="AD14416" s="16"/>
    </row>
    <row r="14417" spans="30:30" x14ac:dyDescent="0.3">
      <c r="AD14417" s="16"/>
    </row>
    <row r="14418" spans="30:30" x14ac:dyDescent="0.3">
      <c r="AD14418" s="16"/>
    </row>
    <row r="14419" spans="30:30" x14ac:dyDescent="0.3">
      <c r="AD14419" s="16"/>
    </row>
    <row r="14420" spans="30:30" x14ac:dyDescent="0.3">
      <c r="AD14420" s="16"/>
    </row>
    <row r="14421" spans="30:30" x14ac:dyDescent="0.3">
      <c r="AD14421" s="16"/>
    </row>
    <row r="14422" spans="30:30" x14ac:dyDescent="0.3">
      <c r="AD14422" s="16"/>
    </row>
    <row r="14423" spans="30:30" x14ac:dyDescent="0.3">
      <c r="AD14423" s="16"/>
    </row>
    <row r="14424" spans="30:30" x14ac:dyDescent="0.3">
      <c r="AD14424" s="16"/>
    </row>
    <row r="14425" spans="30:30" x14ac:dyDescent="0.3">
      <c r="AD14425" s="16"/>
    </row>
    <row r="14426" spans="30:30" x14ac:dyDescent="0.3">
      <c r="AD14426" s="16"/>
    </row>
    <row r="14427" spans="30:30" x14ac:dyDescent="0.3">
      <c r="AD14427" s="16"/>
    </row>
    <row r="14428" spans="30:30" x14ac:dyDescent="0.3">
      <c r="AD14428" s="16"/>
    </row>
    <row r="14429" spans="30:30" x14ac:dyDescent="0.3">
      <c r="AD14429" s="16"/>
    </row>
    <row r="14430" spans="30:30" x14ac:dyDescent="0.3">
      <c r="AD14430" s="16"/>
    </row>
    <row r="14431" spans="30:30" x14ac:dyDescent="0.3">
      <c r="AD14431" s="16"/>
    </row>
    <row r="14432" spans="30:30" x14ac:dyDescent="0.3">
      <c r="AD14432" s="16"/>
    </row>
    <row r="14433" spans="30:30" x14ac:dyDescent="0.3">
      <c r="AD14433" s="16"/>
    </row>
    <row r="14434" spans="30:30" x14ac:dyDescent="0.3">
      <c r="AD14434" s="16"/>
    </row>
    <row r="14435" spans="30:30" x14ac:dyDescent="0.3">
      <c r="AD14435" s="16"/>
    </row>
    <row r="14436" spans="30:30" x14ac:dyDescent="0.3">
      <c r="AD14436" s="16"/>
    </row>
    <row r="14437" spans="30:30" x14ac:dyDescent="0.3">
      <c r="AD14437" s="16"/>
    </row>
    <row r="14438" spans="30:30" x14ac:dyDescent="0.3">
      <c r="AD14438" s="16"/>
    </row>
    <row r="14439" spans="30:30" x14ac:dyDescent="0.3">
      <c r="AD14439" s="16"/>
    </row>
    <row r="14440" spans="30:30" x14ac:dyDescent="0.3">
      <c r="AD14440" s="16"/>
    </row>
    <row r="14441" spans="30:30" x14ac:dyDescent="0.3">
      <c r="AD14441" s="16"/>
    </row>
    <row r="14442" spans="30:30" x14ac:dyDescent="0.3">
      <c r="AD14442" s="16"/>
    </row>
    <row r="14443" spans="30:30" x14ac:dyDescent="0.3">
      <c r="AD14443" s="16"/>
    </row>
    <row r="14444" spans="30:30" x14ac:dyDescent="0.3">
      <c r="AD14444" s="16"/>
    </row>
    <row r="14445" spans="30:30" x14ac:dyDescent="0.3">
      <c r="AD14445" s="16"/>
    </row>
    <row r="14446" spans="30:30" x14ac:dyDescent="0.3">
      <c r="AD14446" s="16"/>
    </row>
    <row r="14447" spans="30:30" x14ac:dyDescent="0.3">
      <c r="AD14447" s="16"/>
    </row>
    <row r="14448" spans="30:30" x14ac:dyDescent="0.3">
      <c r="AD14448" s="16"/>
    </row>
    <row r="14449" spans="30:30" x14ac:dyDescent="0.3">
      <c r="AD14449" s="16"/>
    </row>
    <row r="14450" spans="30:30" x14ac:dyDescent="0.3">
      <c r="AD14450" s="16"/>
    </row>
    <row r="14451" spans="30:30" x14ac:dyDescent="0.3">
      <c r="AD14451" s="16"/>
    </row>
    <row r="14452" spans="30:30" x14ac:dyDescent="0.3">
      <c r="AD14452" s="16"/>
    </row>
    <row r="14453" spans="30:30" x14ac:dyDescent="0.3">
      <c r="AD14453" s="16"/>
    </row>
    <row r="14454" spans="30:30" x14ac:dyDescent="0.3">
      <c r="AD14454" s="16"/>
    </row>
    <row r="14455" spans="30:30" x14ac:dyDescent="0.3">
      <c r="AD14455" s="16"/>
    </row>
    <row r="14456" spans="30:30" x14ac:dyDescent="0.3">
      <c r="AD14456" s="16"/>
    </row>
    <row r="14457" spans="30:30" x14ac:dyDescent="0.3">
      <c r="AD14457" s="16"/>
    </row>
    <row r="14458" spans="30:30" x14ac:dyDescent="0.3">
      <c r="AD14458" s="16"/>
    </row>
    <row r="14459" spans="30:30" x14ac:dyDescent="0.3">
      <c r="AD14459" s="16"/>
    </row>
    <row r="14460" spans="30:30" x14ac:dyDescent="0.3">
      <c r="AD14460" s="16"/>
    </row>
    <row r="14461" spans="30:30" x14ac:dyDescent="0.3">
      <c r="AD14461" s="16"/>
    </row>
    <row r="14462" spans="30:30" x14ac:dyDescent="0.3">
      <c r="AD14462" s="16"/>
    </row>
    <row r="14463" spans="30:30" x14ac:dyDescent="0.3">
      <c r="AD14463" s="16"/>
    </row>
    <row r="14464" spans="30:30" x14ac:dyDescent="0.3">
      <c r="AD14464" s="16"/>
    </row>
    <row r="14465" spans="30:30" x14ac:dyDescent="0.3">
      <c r="AD14465" s="16"/>
    </row>
    <row r="14466" spans="30:30" x14ac:dyDescent="0.3">
      <c r="AD14466" s="16"/>
    </row>
    <row r="14467" spans="30:30" x14ac:dyDescent="0.3">
      <c r="AD14467" s="16"/>
    </row>
    <row r="14468" spans="30:30" x14ac:dyDescent="0.3">
      <c r="AD14468" s="16"/>
    </row>
    <row r="14469" spans="30:30" x14ac:dyDescent="0.3">
      <c r="AD14469" s="16"/>
    </row>
    <row r="14470" spans="30:30" x14ac:dyDescent="0.3">
      <c r="AD14470" s="16"/>
    </row>
    <row r="14471" spans="30:30" x14ac:dyDescent="0.3">
      <c r="AD14471" s="16"/>
    </row>
    <row r="14472" spans="30:30" x14ac:dyDescent="0.3">
      <c r="AD14472" s="16"/>
    </row>
    <row r="14473" spans="30:30" x14ac:dyDescent="0.3">
      <c r="AD14473" s="16"/>
    </row>
    <row r="14474" spans="30:30" x14ac:dyDescent="0.3">
      <c r="AD14474" s="16"/>
    </row>
    <row r="14475" spans="30:30" x14ac:dyDescent="0.3">
      <c r="AD14475" s="16"/>
    </row>
    <row r="14476" spans="30:30" x14ac:dyDescent="0.3">
      <c r="AD14476" s="16"/>
    </row>
    <row r="14477" spans="30:30" x14ac:dyDescent="0.3">
      <c r="AD14477" s="16"/>
    </row>
    <row r="14478" spans="30:30" x14ac:dyDescent="0.3">
      <c r="AD14478" s="16"/>
    </row>
    <row r="14479" spans="30:30" x14ac:dyDescent="0.3">
      <c r="AD14479" s="16"/>
    </row>
    <row r="14480" spans="30:30" x14ac:dyDescent="0.3">
      <c r="AD14480" s="16"/>
    </row>
    <row r="14481" spans="30:30" x14ac:dyDescent="0.3">
      <c r="AD14481" s="16"/>
    </row>
    <row r="14482" spans="30:30" x14ac:dyDescent="0.3">
      <c r="AD14482" s="16"/>
    </row>
    <row r="14483" spans="30:30" x14ac:dyDescent="0.3">
      <c r="AD14483" s="16"/>
    </row>
    <row r="14484" spans="30:30" x14ac:dyDescent="0.3">
      <c r="AD14484" s="16"/>
    </row>
    <row r="14485" spans="30:30" x14ac:dyDescent="0.3">
      <c r="AD14485" s="16"/>
    </row>
    <row r="14486" spans="30:30" x14ac:dyDescent="0.3">
      <c r="AD14486" s="16"/>
    </row>
    <row r="14487" spans="30:30" x14ac:dyDescent="0.3">
      <c r="AD14487" s="16"/>
    </row>
    <row r="14488" spans="30:30" x14ac:dyDescent="0.3">
      <c r="AD14488" s="16"/>
    </row>
    <row r="14489" spans="30:30" x14ac:dyDescent="0.3">
      <c r="AD14489" s="16"/>
    </row>
    <row r="14490" spans="30:30" x14ac:dyDescent="0.3">
      <c r="AD14490" s="16"/>
    </row>
    <row r="14491" spans="30:30" x14ac:dyDescent="0.3">
      <c r="AD14491" s="16"/>
    </row>
    <row r="14492" spans="30:30" x14ac:dyDescent="0.3">
      <c r="AD14492" s="16"/>
    </row>
    <row r="14493" spans="30:30" x14ac:dyDescent="0.3">
      <c r="AD14493" s="16"/>
    </row>
    <row r="14494" spans="30:30" x14ac:dyDescent="0.3">
      <c r="AD14494" s="16"/>
    </row>
    <row r="14495" spans="30:30" x14ac:dyDescent="0.3">
      <c r="AD14495" s="16"/>
    </row>
    <row r="14496" spans="30:30" x14ac:dyDescent="0.3">
      <c r="AD14496" s="16"/>
    </row>
    <row r="14497" spans="30:30" x14ac:dyDescent="0.3">
      <c r="AD14497" s="16"/>
    </row>
    <row r="14498" spans="30:30" x14ac:dyDescent="0.3">
      <c r="AD14498" s="16"/>
    </row>
    <row r="14499" spans="30:30" x14ac:dyDescent="0.3">
      <c r="AD14499" s="16"/>
    </row>
    <row r="14500" spans="30:30" x14ac:dyDescent="0.3">
      <c r="AD14500" s="16"/>
    </row>
    <row r="14501" spans="30:30" x14ac:dyDescent="0.3">
      <c r="AD14501" s="16"/>
    </row>
    <row r="14502" spans="30:30" x14ac:dyDescent="0.3">
      <c r="AD14502" s="16"/>
    </row>
    <row r="14503" spans="30:30" x14ac:dyDescent="0.3">
      <c r="AD14503" s="16"/>
    </row>
    <row r="14504" spans="30:30" x14ac:dyDescent="0.3">
      <c r="AD14504" s="16"/>
    </row>
    <row r="14505" spans="30:30" x14ac:dyDescent="0.3">
      <c r="AD14505" s="16"/>
    </row>
    <row r="14506" spans="30:30" x14ac:dyDescent="0.3">
      <c r="AD14506" s="16"/>
    </row>
    <row r="14507" spans="30:30" x14ac:dyDescent="0.3">
      <c r="AD14507" s="16"/>
    </row>
    <row r="14508" spans="30:30" x14ac:dyDescent="0.3">
      <c r="AD14508" s="16"/>
    </row>
    <row r="14509" spans="30:30" x14ac:dyDescent="0.3">
      <c r="AD14509" s="16"/>
    </row>
    <row r="14510" spans="30:30" x14ac:dyDescent="0.3">
      <c r="AD14510" s="16"/>
    </row>
    <row r="14511" spans="30:30" x14ac:dyDescent="0.3">
      <c r="AD14511" s="16"/>
    </row>
    <row r="14512" spans="30:30" x14ac:dyDescent="0.3">
      <c r="AD14512" s="16"/>
    </row>
    <row r="14513" spans="30:30" x14ac:dyDescent="0.3">
      <c r="AD14513" s="16"/>
    </row>
    <row r="14514" spans="30:30" x14ac:dyDescent="0.3">
      <c r="AD14514" s="16"/>
    </row>
    <row r="14515" spans="30:30" x14ac:dyDescent="0.3">
      <c r="AD14515" s="16"/>
    </row>
    <row r="14516" spans="30:30" x14ac:dyDescent="0.3">
      <c r="AD14516" s="16"/>
    </row>
    <row r="14517" spans="30:30" x14ac:dyDescent="0.3">
      <c r="AD14517" s="16"/>
    </row>
    <row r="14518" spans="30:30" x14ac:dyDescent="0.3">
      <c r="AD14518" s="16"/>
    </row>
    <row r="14519" spans="30:30" x14ac:dyDescent="0.3">
      <c r="AD14519" s="16"/>
    </row>
    <row r="14520" spans="30:30" x14ac:dyDescent="0.3">
      <c r="AD14520" s="16"/>
    </row>
    <row r="14521" spans="30:30" x14ac:dyDescent="0.3">
      <c r="AD14521" s="16"/>
    </row>
    <row r="14522" spans="30:30" x14ac:dyDescent="0.3">
      <c r="AD14522" s="16"/>
    </row>
    <row r="14523" spans="30:30" x14ac:dyDescent="0.3">
      <c r="AD14523" s="16"/>
    </row>
    <row r="14524" spans="30:30" x14ac:dyDescent="0.3">
      <c r="AD14524" s="16"/>
    </row>
    <row r="14525" spans="30:30" x14ac:dyDescent="0.3">
      <c r="AD14525" s="16"/>
    </row>
    <row r="14526" spans="30:30" x14ac:dyDescent="0.3">
      <c r="AD14526" s="16"/>
    </row>
    <row r="14527" spans="30:30" x14ac:dyDescent="0.3">
      <c r="AD14527" s="16"/>
    </row>
    <row r="14528" spans="30:30" x14ac:dyDescent="0.3">
      <c r="AD14528" s="16"/>
    </row>
    <row r="14529" spans="30:30" x14ac:dyDescent="0.3">
      <c r="AD14529" s="16"/>
    </row>
    <row r="14530" spans="30:30" x14ac:dyDescent="0.3">
      <c r="AD14530" s="16"/>
    </row>
    <row r="14531" spans="30:30" x14ac:dyDescent="0.3">
      <c r="AD14531" s="16"/>
    </row>
    <row r="14532" spans="30:30" x14ac:dyDescent="0.3">
      <c r="AD14532" s="16"/>
    </row>
    <row r="14533" spans="30:30" x14ac:dyDescent="0.3">
      <c r="AD14533" s="16"/>
    </row>
    <row r="14534" spans="30:30" x14ac:dyDescent="0.3">
      <c r="AD14534" s="16"/>
    </row>
    <row r="14535" spans="30:30" x14ac:dyDescent="0.3">
      <c r="AD14535" s="16"/>
    </row>
    <row r="14536" spans="30:30" x14ac:dyDescent="0.3">
      <c r="AD14536" s="16"/>
    </row>
    <row r="14537" spans="30:30" x14ac:dyDescent="0.3">
      <c r="AD14537" s="16"/>
    </row>
    <row r="14538" spans="30:30" x14ac:dyDescent="0.3">
      <c r="AD14538" s="16"/>
    </row>
    <row r="14539" spans="30:30" x14ac:dyDescent="0.3">
      <c r="AD14539" s="16"/>
    </row>
    <row r="14540" spans="30:30" x14ac:dyDescent="0.3">
      <c r="AD14540" s="16"/>
    </row>
    <row r="14541" spans="30:30" x14ac:dyDescent="0.3">
      <c r="AD14541" s="16"/>
    </row>
    <row r="14542" spans="30:30" x14ac:dyDescent="0.3">
      <c r="AD14542" s="16"/>
    </row>
    <row r="14543" spans="30:30" x14ac:dyDescent="0.3">
      <c r="AD14543" s="16"/>
    </row>
    <row r="14544" spans="30:30" x14ac:dyDescent="0.3">
      <c r="AD14544" s="16"/>
    </row>
    <row r="14545" spans="30:30" x14ac:dyDescent="0.3">
      <c r="AD14545" s="16"/>
    </row>
    <row r="14546" spans="30:30" x14ac:dyDescent="0.3">
      <c r="AD14546" s="16"/>
    </row>
    <row r="14547" spans="30:30" x14ac:dyDescent="0.3">
      <c r="AD14547" s="16"/>
    </row>
    <row r="14548" spans="30:30" x14ac:dyDescent="0.3">
      <c r="AD14548" s="16"/>
    </row>
    <row r="14549" spans="30:30" x14ac:dyDescent="0.3">
      <c r="AD14549" s="16"/>
    </row>
    <row r="14550" spans="30:30" x14ac:dyDescent="0.3">
      <c r="AD14550" s="16"/>
    </row>
    <row r="14551" spans="30:30" x14ac:dyDescent="0.3">
      <c r="AD14551" s="16"/>
    </row>
    <row r="14552" spans="30:30" x14ac:dyDescent="0.3">
      <c r="AD14552" s="16"/>
    </row>
    <row r="14553" spans="30:30" x14ac:dyDescent="0.3">
      <c r="AD14553" s="16"/>
    </row>
    <row r="14554" spans="30:30" x14ac:dyDescent="0.3">
      <c r="AD14554" s="16"/>
    </row>
    <row r="14555" spans="30:30" x14ac:dyDescent="0.3">
      <c r="AD14555" s="16"/>
    </row>
    <row r="14556" spans="30:30" x14ac:dyDescent="0.3">
      <c r="AD14556" s="16"/>
    </row>
    <row r="14557" spans="30:30" x14ac:dyDescent="0.3">
      <c r="AD14557" s="16"/>
    </row>
    <row r="14558" spans="30:30" x14ac:dyDescent="0.3">
      <c r="AD14558" s="16"/>
    </row>
    <row r="14559" spans="30:30" x14ac:dyDescent="0.3">
      <c r="AD14559" s="16"/>
    </row>
    <row r="14560" spans="30:30" x14ac:dyDescent="0.3">
      <c r="AD14560" s="16"/>
    </row>
    <row r="14561" spans="30:30" x14ac:dyDescent="0.3">
      <c r="AD14561" s="16"/>
    </row>
    <row r="14562" spans="30:30" x14ac:dyDescent="0.3">
      <c r="AD14562" s="16"/>
    </row>
    <row r="14563" spans="30:30" x14ac:dyDescent="0.3">
      <c r="AD14563" s="16"/>
    </row>
    <row r="14564" spans="30:30" x14ac:dyDescent="0.3">
      <c r="AD14564" s="16"/>
    </row>
    <row r="14565" spans="30:30" x14ac:dyDescent="0.3">
      <c r="AD14565" s="16"/>
    </row>
    <row r="14566" spans="30:30" x14ac:dyDescent="0.3">
      <c r="AD14566" s="16"/>
    </row>
    <row r="14567" spans="30:30" x14ac:dyDescent="0.3">
      <c r="AD14567" s="16"/>
    </row>
    <row r="14568" spans="30:30" x14ac:dyDescent="0.3">
      <c r="AD14568" s="16"/>
    </row>
    <row r="14569" spans="30:30" x14ac:dyDescent="0.3">
      <c r="AD14569" s="16"/>
    </row>
    <row r="14570" spans="30:30" x14ac:dyDescent="0.3">
      <c r="AD14570" s="16"/>
    </row>
    <row r="14571" spans="30:30" x14ac:dyDescent="0.3">
      <c r="AD14571" s="16"/>
    </row>
    <row r="14572" spans="30:30" x14ac:dyDescent="0.3">
      <c r="AD14572" s="16"/>
    </row>
    <row r="14573" spans="30:30" x14ac:dyDescent="0.3">
      <c r="AD14573" s="16"/>
    </row>
    <row r="14574" spans="30:30" x14ac:dyDescent="0.3">
      <c r="AD14574" s="16"/>
    </row>
    <row r="14575" spans="30:30" x14ac:dyDescent="0.3">
      <c r="AD14575" s="16"/>
    </row>
    <row r="14576" spans="30:30" x14ac:dyDescent="0.3">
      <c r="AD14576" s="16"/>
    </row>
    <row r="14577" spans="30:30" x14ac:dyDescent="0.3">
      <c r="AD14577" s="16"/>
    </row>
    <row r="14578" spans="30:30" x14ac:dyDescent="0.3">
      <c r="AD14578" s="16"/>
    </row>
    <row r="14579" spans="30:30" x14ac:dyDescent="0.3">
      <c r="AD14579" s="16"/>
    </row>
    <row r="14580" spans="30:30" x14ac:dyDescent="0.3">
      <c r="AD14580" s="16"/>
    </row>
    <row r="14581" spans="30:30" x14ac:dyDescent="0.3">
      <c r="AD14581" s="16"/>
    </row>
    <row r="14582" spans="30:30" x14ac:dyDescent="0.3">
      <c r="AD14582" s="16"/>
    </row>
    <row r="14583" spans="30:30" x14ac:dyDescent="0.3">
      <c r="AD14583" s="16"/>
    </row>
    <row r="14584" spans="30:30" x14ac:dyDescent="0.3">
      <c r="AD14584" s="16"/>
    </row>
    <row r="14585" spans="30:30" x14ac:dyDescent="0.3">
      <c r="AD14585" s="16"/>
    </row>
    <row r="14586" spans="30:30" x14ac:dyDescent="0.3">
      <c r="AD14586" s="16"/>
    </row>
    <row r="14587" spans="30:30" x14ac:dyDescent="0.3">
      <c r="AD14587" s="16"/>
    </row>
    <row r="14588" spans="30:30" x14ac:dyDescent="0.3">
      <c r="AD14588" s="16"/>
    </row>
    <row r="14589" spans="30:30" x14ac:dyDescent="0.3">
      <c r="AD14589" s="16"/>
    </row>
    <row r="14590" spans="30:30" x14ac:dyDescent="0.3">
      <c r="AD14590" s="16"/>
    </row>
    <row r="14591" spans="30:30" x14ac:dyDescent="0.3">
      <c r="AD14591" s="16"/>
    </row>
    <row r="14592" spans="30:30" x14ac:dyDescent="0.3">
      <c r="AD14592" s="16"/>
    </row>
    <row r="14593" spans="30:30" x14ac:dyDescent="0.3">
      <c r="AD14593" s="16"/>
    </row>
    <row r="14594" spans="30:30" x14ac:dyDescent="0.3">
      <c r="AD14594" s="16"/>
    </row>
    <row r="14595" spans="30:30" x14ac:dyDescent="0.3">
      <c r="AD14595" s="16"/>
    </row>
    <row r="14596" spans="30:30" x14ac:dyDescent="0.3">
      <c r="AD14596" s="16"/>
    </row>
    <row r="14597" spans="30:30" x14ac:dyDescent="0.3">
      <c r="AD14597" s="16"/>
    </row>
    <row r="14598" spans="30:30" x14ac:dyDescent="0.3">
      <c r="AD14598" s="16"/>
    </row>
    <row r="14599" spans="30:30" x14ac:dyDescent="0.3">
      <c r="AD14599" s="16"/>
    </row>
    <row r="14600" spans="30:30" x14ac:dyDescent="0.3">
      <c r="AD14600" s="16"/>
    </row>
    <row r="14601" spans="30:30" x14ac:dyDescent="0.3">
      <c r="AD14601" s="16"/>
    </row>
    <row r="14602" spans="30:30" x14ac:dyDescent="0.3">
      <c r="AD14602" s="16"/>
    </row>
    <row r="14603" spans="30:30" x14ac:dyDescent="0.3">
      <c r="AD14603" s="16"/>
    </row>
    <row r="14604" spans="30:30" x14ac:dyDescent="0.3">
      <c r="AD14604" s="16"/>
    </row>
    <row r="14605" spans="30:30" x14ac:dyDescent="0.3">
      <c r="AD14605" s="16"/>
    </row>
    <row r="14606" spans="30:30" x14ac:dyDescent="0.3">
      <c r="AD14606" s="16"/>
    </row>
    <row r="14607" spans="30:30" x14ac:dyDescent="0.3">
      <c r="AD14607" s="16"/>
    </row>
    <row r="14608" spans="30:30" x14ac:dyDescent="0.3">
      <c r="AD14608" s="16"/>
    </row>
    <row r="14609" spans="30:30" x14ac:dyDescent="0.3">
      <c r="AD14609" s="16"/>
    </row>
    <row r="14610" spans="30:30" x14ac:dyDescent="0.3">
      <c r="AD14610" s="16"/>
    </row>
    <row r="14611" spans="30:30" x14ac:dyDescent="0.3">
      <c r="AD14611" s="16"/>
    </row>
    <row r="14612" spans="30:30" x14ac:dyDescent="0.3">
      <c r="AD14612" s="16"/>
    </row>
    <row r="14613" spans="30:30" x14ac:dyDescent="0.3">
      <c r="AD14613" s="16"/>
    </row>
    <row r="14614" spans="30:30" x14ac:dyDescent="0.3">
      <c r="AD14614" s="16"/>
    </row>
    <row r="14615" spans="30:30" x14ac:dyDescent="0.3">
      <c r="AD14615" s="16"/>
    </row>
    <row r="14616" spans="30:30" x14ac:dyDescent="0.3">
      <c r="AD14616" s="16"/>
    </row>
    <row r="14617" spans="30:30" x14ac:dyDescent="0.3">
      <c r="AD14617" s="16"/>
    </row>
    <row r="14618" spans="30:30" x14ac:dyDescent="0.3">
      <c r="AD14618" s="16"/>
    </row>
    <row r="14619" spans="30:30" x14ac:dyDescent="0.3">
      <c r="AD14619" s="16"/>
    </row>
    <row r="14620" spans="30:30" x14ac:dyDescent="0.3">
      <c r="AD14620" s="16"/>
    </row>
    <row r="14621" spans="30:30" x14ac:dyDescent="0.3">
      <c r="AD14621" s="16"/>
    </row>
    <row r="14622" spans="30:30" x14ac:dyDescent="0.3">
      <c r="AD14622" s="16"/>
    </row>
    <row r="14623" spans="30:30" x14ac:dyDescent="0.3">
      <c r="AD14623" s="16"/>
    </row>
    <row r="14624" spans="30:30" x14ac:dyDescent="0.3">
      <c r="AD14624" s="16"/>
    </row>
    <row r="14625" spans="30:30" x14ac:dyDescent="0.3">
      <c r="AD14625" s="16"/>
    </row>
    <row r="14626" spans="30:30" x14ac:dyDescent="0.3">
      <c r="AD14626" s="16"/>
    </row>
    <row r="14627" spans="30:30" x14ac:dyDescent="0.3">
      <c r="AD14627" s="16"/>
    </row>
    <row r="14628" spans="30:30" x14ac:dyDescent="0.3">
      <c r="AD14628" s="16"/>
    </row>
    <row r="14629" spans="30:30" x14ac:dyDescent="0.3">
      <c r="AD14629" s="16"/>
    </row>
    <row r="14630" spans="30:30" x14ac:dyDescent="0.3">
      <c r="AD14630" s="16"/>
    </row>
    <row r="14631" spans="30:30" x14ac:dyDescent="0.3">
      <c r="AD14631" s="16"/>
    </row>
    <row r="14632" spans="30:30" x14ac:dyDescent="0.3">
      <c r="AD14632" s="16"/>
    </row>
    <row r="14633" spans="30:30" x14ac:dyDescent="0.3">
      <c r="AD14633" s="16"/>
    </row>
    <row r="14634" spans="30:30" x14ac:dyDescent="0.3">
      <c r="AD14634" s="16"/>
    </row>
    <row r="14635" spans="30:30" x14ac:dyDescent="0.3">
      <c r="AD14635" s="16"/>
    </row>
    <row r="14636" spans="30:30" x14ac:dyDescent="0.3">
      <c r="AD14636" s="16"/>
    </row>
    <row r="14637" spans="30:30" x14ac:dyDescent="0.3">
      <c r="AD14637" s="16"/>
    </row>
    <row r="14638" spans="30:30" x14ac:dyDescent="0.3">
      <c r="AD14638" s="16"/>
    </row>
    <row r="14639" spans="30:30" x14ac:dyDescent="0.3">
      <c r="AD14639" s="16"/>
    </row>
    <row r="14640" spans="30:30" x14ac:dyDescent="0.3">
      <c r="AD14640" s="16"/>
    </row>
    <row r="14641" spans="30:30" x14ac:dyDescent="0.3">
      <c r="AD14641" s="16"/>
    </row>
    <row r="14642" spans="30:30" x14ac:dyDescent="0.3">
      <c r="AD14642" s="16"/>
    </row>
    <row r="14643" spans="30:30" x14ac:dyDescent="0.3">
      <c r="AD14643" s="16"/>
    </row>
    <row r="14644" spans="30:30" x14ac:dyDescent="0.3">
      <c r="AD14644" s="16"/>
    </row>
    <row r="14645" spans="30:30" x14ac:dyDescent="0.3">
      <c r="AD14645" s="16"/>
    </row>
    <row r="14646" spans="30:30" x14ac:dyDescent="0.3">
      <c r="AD14646" s="16"/>
    </row>
    <row r="14647" spans="30:30" x14ac:dyDescent="0.3">
      <c r="AD14647" s="16"/>
    </row>
    <row r="14648" spans="30:30" x14ac:dyDescent="0.3">
      <c r="AD14648" s="16"/>
    </row>
    <row r="14649" spans="30:30" x14ac:dyDescent="0.3">
      <c r="AD14649" s="16"/>
    </row>
    <row r="14650" spans="30:30" x14ac:dyDescent="0.3">
      <c r="AD14650" s="16"/>
    </row>
    <row r="14651" spans="30:30" x14ac:dyDescent="0.3">
      <c r="AD14651" s="16"/>
    </row>
    <row r="14652" spans="30:30" x14ac:dyDescent="0.3">
      <c r="AD14652" s="16"/>
    </row>
    <row r="14653" spans="30:30" x14ac:dyDescent="0.3">
      <c r="AD14653" s="16"/>
    </row>
    <row r="14654" spans="30:30" x14ac:dyDescent="0.3">
      <c r="AD14654" s="16"/>
    </row>
    <row r="14655" spans="30:30" x14ac:dyDescent="0.3">
      <c r="AD14655" s="16"/>
    </row>
    <row r="14656" spans="30:30" x14ac:dyDescent="0.3">
      <c r="AD14656" s="16"/>
    </row>
    <row r="14657" spans="30:30" x14ac:dyDescent="0.3">
      <c r="AD14657" s="16"/>
    </row>
    <row r="14658" spans="30:30" x14ac:dyDescent="0.3">
      <c r="AD14658" s="16"/>
    </row>
    <row r="14659" spans="30:30" x14ac:dyDescent="0.3">
      <c r="AD14659" s="16"/>
    </row>
    <row r="14660" spans="30:30" x14ac:dyDescent="0.3">
      <c r="AD14660" s="16"/>
    </row>
    <row r="14661" spans="30:30" x14ac:dyDescent="0.3">
      <c r="AD14661" s="16"/>
    </row>
    <row r="14662" spans="30:30" x14ac:dyDescent="0.3">
      <c r="AD14662" s="16"/>
    </row>
    <row r="14663" spans="30:30" x14ac:dyDescent="0.3">
      <c r="AD14663" s="16"/>
    </row>
    <row r="14664" spans="30:30" x14ac:dyDescent="0.3">
      <c r="AD14664" s="16"/>
    </row>
    <row r="14665" spans="30:30" x14ac:dyDescent="0.3">
      <c r="AD14665" s="16"/>
    </row>
    <row r="14666" spans="30:30" x14ac:dyDescent="0.3">
      <c r="AD14666" s="16"/>
    </row>
    <row r="14667" spans="30:30" x14ac:dyDescent="0.3">
      <c r="AD14667" s="16"/>
    </row>
    <row r="14668" spans="30:30" x14ac:dyDescent="0.3">
      <c r="AD14668" s="16"/>
    </row>
    <row r="14669" spans="30:30" x14ac:dyDescent="0.3">
      <c r="AD14669" s="16"/>
    </row>
    <row r="14670" spans="30:30" x14ac:dyDescent="0.3">
      <c r="AD14670" s="16"/>
    </row>
    <row r="14671" spans="30:30" x14ac:dyDescent="0.3">
      <c r="AD14671" s="16"/>
    </row>
    <row r="14672" spans="30:30" x14ac:dyDescent="0.3">
      <c r="AD14672" s="16"/>
    </row>
    <row r="14673" spans="30:30" x14ac:dyDescent="0.3">
      <c r="AD14673" s="16"/>
    </row>
    <row r="14674" spans="30:30" x14ac:dyDescent="0.3">
      <c r="AD14674" s="16"/>
    </row>
    <row r="14675" spans="30:30" x14ac:dyDescent="0.3">
      <c r="AD14675" s="16"/>
    </row>
    <row r="14676" spans="30:30" x14ac:dyDescent="0.3">
      <c r="AD14676" s="16"/>
    </row>
    <row r="14677" spans="30:30" x14ac:dyDescent="0.3">
      <c r="AD14677" s="16"/>
    </row>
    <row r="14678" spans="30:30" x14ac:dyDescent="0.3">
      <c r="AD14678" s="16"/>
    </row>
    <row r="14679" spans="30:30" x14ac:dyDescent="0.3">
      <c r="AD14679" s="16"/>
    </row>
    <row r="14680" spans="30:30" x14ac:dyDescent="0.3">
      <c r="AD14680" s="16"/>
    </row>
    <row r="14681" spans="30:30" x14ac:dyDescent="0.3">
      <c r="AD14681" s="16"/>
    </row>
    <row r="14682" spans="30:30" x14ac:dyDescent="0.3">
      <c r="AD14682" s="16"/>
    </row>
    <row r="14683" spans="30:30" x14ac:dyDescent="0.3">
      <c r="AD14683" s="16"/>
    </row>
    <row r="14684" spans="30:30" x14ac:dyDescent="0.3">
      <c r="AD14684" s="16"/>
    </row>
    <row r="14685" spans="30:30" x14ac:dyDescent="0.3">
      <c r="AD14685" s="16"/>
    </row>
    <row r="14686" spans="30:30" x14ac:dyDescent="0.3">
      <c r="AD14686" s="16"/>
    </row>
    <row r="14687" spans="30:30" x14ac:dyDescent="0.3">
      <c r="AD14687" s="16"/>
    </row>
    <row r="14688" spans="30:30" x14ac:dyDescent="0.3">
      <c r="AD14688" s="16"/>
    </row>
    <row r="14689" spans="30:30" x14ac:dyDescent="0.3">
      <c r="AD14689" s="16"/>
    </row>
    <row r="14690" spans="30:30" x14ac:dyDescent="0.3">
      <c r="AD14690" s="16"/>
    </row>
    <row r="14691" spans="30:30" x14ac:dyDescent="0.3">
      <c r="AD14691" s="16"/>
    </row>
    <row r="14692" spans="30:30" x14ac:dyDescent="0.3">
      <c r="AD14692" s="16"/>
    </row>
    <row r="14693" spans="30:30" x14ac:dyDescent="0.3">
      <c r="AD14693" s="16"/>
    </row>
    <row r="14694" spans="30:30" x14ac:dyDescent="0.3">
      <c r="AD14694" s="16"/>
    </row>
    <row r="14695" spans="30:30" x14ac:dyDescent="0.3">
      <c r="AD14695" s="16"/>
    </row>
    <row r="14696" spans="30:30" x14ac:dyDescent="0.3">
      <c r="AD14696" s="16"/>
    </row>
    <row r="14697" spans="30:30" x14ac:dyDescent="0.3">
      <c r="AD14697" s="16"/>
    </row>
    <row r="14698" spans="30:30" x14ac:dyDescent="0.3">
      <c r="AD14698" s="16"/>
    </row>
    <row r="14699" spans="30:30" x14ac:dyDescent="0.3">
      <c r="AD14699" s="16"/>
    </row>
    <row r="14700" spans="30:30" x14ac:dyDescent="0.3">
      <c r="AD14700" s="16"/>
    </row>
    <row r="14701" spans="30:30" x14ac:dyDescent="0.3">
      <c r="AD14701" s="16"/>
    </row>
    <row r="14702" spans="30:30" x14ac:dyDescent="0.3">
      <c r="AD14702" s="16"/>
    </row>
    <row r="14703" spans="30:30" x14ac:dyDescent="0.3">
      <c r="AD14703" s="16"/>
    </row>
    <row r="14704" spans="30:30" x14ac:dyDescent="0.3">
      <c r="AD14704" s="16"/>
    </row>
    <row r="14705" spans="30:30" x14ac:dyDescent="0.3">
      <c r="AD14705" s="16"/>
    </row>
    <row r="14706" spans="30:30" x14ac:dyDescent="0.3">
      <c r="AD14706" s="16"/>
    </row>
    <row r="14707" spans="30:30" x14ac:dyDescent="0.3">
      <c r="AD14707" s="16"/>
    </row>
    <row r="14708" spans="30:30" x14ac:dyDescent="0.3">
      <c r="AD14708" s="16"/>
    </row>
    <row r="14709" spans="30:30" x14ac:dyDescent="0.3">
      <c r="AD14709" s="16"/>
    </row>
    <row r="14710" spans="30:30" x14ac:dyDescent="0.3">
      <c r="AD14710" s="16"/>
    </row>
    <row r="14711" spans="30:30" x14ac:dyDescent="0.3">
      <c r="AD14711" s="16"/>
    </row>
    <row r="14712" spans="30:30" x14ac:dyDescent="0.3">
      <c r="AD14712" s="16"/>
    </row>
    <row r="14713" spans="30:30" x14ac:dyDescent="0.3">
      <c r="AD14713" s="16"/>
    </row>
    <row r="14714" spans="30:30" x14ac:dyDescent="0.3">
      <c r="AD14714" s="16"/>
    </row>
    <row r="14715" spans="30:30" x14ac:dyDescent="0.3">
      <c r="AD14715" s="16"/>
    </row>
    <row r="14716" spans="30:30" x14ac:dyDescent="0.3">
      <c r="AD14716" s="16"/>
    </row>
    <row r="14717" spans="30:30" x14ac:dyDescent="0.3">
      <c r="AD14717" s="16"/>
    </row>
    <row r="14718" spans="30:30" x14ac:dyDescent="0.3">
      <c r="AD14718" s="16"/>
    </row>
    <row r="14719" spans="30:30" x14ac:dyDescent="0.3">
      <c r="AD14719" s="16"/>
    </row>
    <row r="14720" spans="30:30" x14ac:dyDescent="0.3">
      <c r="AD14720" s="16"/>
    </row>
    <row r="14721" spans="30:30" x14ac:dyDescent="0.3">
      <c r="AD14721" s="16"/>
    </row>
    <row r="14722" spans="30:30" x14ac:dyDescent="0.3">
      <c r="AD14722" s="16"/>
    </row>
    <row r="14723" spans="30:30" x14ac:dyDescent="0.3">
      <c r="AD14723" s="16"/>
    </row>
    <row r="14724" spans="30:30" x14ac:dyDescent="0.3">
      <c r="AD14724" s="16"/>
    </row>
    <row r="14725" spans="30:30" x14ac:dyDescent="0.3">
      <c r="AD14725" s="16"/>
    </row>
    <row r="14726" spans="30:30" x14ac:dyDescent="0.3">
      <c r="AD14726" s="16"/>
    </row>
    <row r="14727" spans="30:30" x14ac:dyDescent="0.3">
      <c r="AD14727" s="16"/>
    </row>
    <row r="14728" spans="30:30" x14ac:dyDescent="0.3">
      <c r="AD14728" s="16"/>
    </row>
    <row r="14729" spans="30:30" x14ac:dyDescent="0.3">
      <c r="AD14729" s="16"/>
    </row>
    <row r="14730" spans="30:30" x14ac:dyDescent="0.3">
      <c r="AD14730" s="16"/>
    </row>
    <row r="14731" spans="30:30" x14ac:dyDescent="0.3">
      <c r="AD14731" s="16"/>
    </row>
    <row r="14732" spans="30:30" x14ac:dyDescent="0.3">
      <c r="AD14732" s="16"/>
    </row>
    <row r="14733" spans="30:30" x14ac:dyDescent="0.3">
      <c r="AD14733" s="16"/>
    </row>
    <row r="14734" spans="30:30" x14ac:dyDescent="0.3">
      <c r="AD14734" s="16"/>
    </row>
    <row r="14735" spans="30:30" x14ac:dyDescent="0.3">
      <c r="AD14735" s="16"/>
    </row>
    <row r="14736" spans="30:30" x14ac:dyDescent="0.3">
      <c r="AD14736" s="16"/>
    </row>
    <row r="14737" spans="30:30" x14ac:dyDescent="0.3">
      <c r="AD14737" s="16"/>
    </row>
    <row r="14738" spans="30:30" x14ac:dyDescent="0.3">
      <c r="AD14738" s="16"/>
    </row>
    <row r="14739" spans="30:30" x14ac:dyDescent="0.3">
      <c r="AD14739" s="16"/>
    </row>
    <row r="14740" spans="30:30" x14ac:dyDescent="0.3">
      <c r="AD14740" s="16"/>
    </row>
    <row r="14741" spans="30:30" x14ac:dyDescent="0.3">
      <c r="AD14741" s="16"/>
    </row>
    <row r="14742" spans="30:30" x14ac:dyDescent="0.3">
      <c r="AD14742" s="16"/>
    </row>
    <row r="14743" spans="30:30" x14ac:dyDescent="0.3">
      <c r="AD14743" s="16"/>
    </row>
    <row r="14744" spans="30:30" x14ac:dyDescent="0.3">
      <c r="AD14744" s="16"/>
    </row>
    <row r="14745" spans="30:30" x14ac:dyDescent="0.3">
      <c r="AD14745" s="16"/>
    </row>
    <row r="14746" spans="30:30" x14ac:dyDescent="0.3">
      <c r="AD14746" s="16"/>
    </row>
    <row r="14747" spans="30:30" x14ac:dyDescent="0.3">
      <c r="AD14747" s="16"/>
    </row>
    <row r="14748" spans="30:30" x14ac:dyDescent="0.3">
      <c r="AD14748" s="16"/>
    </row>
    <row r="14749" spans="30:30" x14ac:dyDescent="0.3">
      <c r="AD14749" s="16"/>
    </row>
    <row r="14750" spans="30:30" x14ac:dyDescent="0.3">
      <c r="AD14750" s="16"/>
    </row>
    <row r="14751" spans="30:30" x14ac:dyDescent="0.3">
      <c r="AD14751" s="16"/>
    </row>
    <row r="14752" spans="30:30" x14ac:dyDescent="0.3">
      <c r="AD14752" s="16"/>
    </row>
    <row r="14753" spans="30:30" x14ac:dyDescent="0.3">
      <c r="AD14753" s="16"/>
    </row>
    <row r="14754" spans="30:30" x14ac:dyDescent="0.3">
      <c r="AD14754" s="16"/>
    </row>
    <row r="14755" spans="30:30" x14ac:dyDescent="0.3">
      <c r="AD14755" s="16"/>
    </row>
    <row r="14756" spans="30:30" x14ac:dyDescent="0.3">
      <c r="AD14756" s="16"/>
    </row>
    <row r="14757" spans="30:30" x14ac:dyDescent="0.3">
      <c r="AD14757" s="16"/>
    </row>
    <row r="14758" spans="30:30" x14ac:dyDescent="0.3">
      <c r="AD14758" s="16"/>
    </row>
    <row r="14759" spans="30:30" x14ac:dyDescent="0.3">
      <c r="AD14759" s="16"/>
    </row>
    <row r="14760" spans="30:30" x14ac:dyDescent="0.3">
      <c r="AD14760" s="16"/>
    </row>
    <row r="14761" spans="30:30" x14ac:dyDescent="0.3">
      <c r="AD14761" s="16"/>
    </row>
    <row r="14762" spans="30:30" x14ac:dyDescent="0.3">
      <c r="AD14762" s="16"/>
    </row>
    <row r="14763" spans="30:30" x14ac:dyDescent="0.3">
      <c r="AD14763" s="16"/>
    </row>
    <row r="14764" spans="30:30" x14ac:dyDescent="0.3">
      <c r="AD14764" s="16"/>
    </row>
    <row r="14765" spans="30:30" x14ac:dyDescent="0.3">
      <c r="AD14765" s="16"/>
    </row>
    <row r="14766" spans="30:30" x14ac:dyDescent="0.3">
      <c r="AD14766" s="16"/>
    </row>
    <row r="14767" spans="30:30" x14ac:dyDescent="0.3">
      <c r="AD14767" s="16"/>
    </row>
    <row r="14768" spans="30:30" x14ac:dyDescent="0.3">
      <c r="AD14768" s="16"/>
    </row>
    <row r="14769" spans="30:30" x14ac:dyDescent="0.3">
      <c r="AD14769" s="16"/>
    </row>
    <row r="14770" spans="30:30" x14ac:dyDescent="0.3">
      <c r="AD14770" s="16"/>
    </row>
    <row r="14771" spans="30:30" x14ac:dyDescent="0.3">
      <c r="AD14771" s="16"/>
    </row>
    <row r="14772" spans="30:30" x14ac:dyDescent="0.3">
      <c r="AD14772" s="16"/>
    </row>
    <row r="14773" spans="30:30" x14ac:dyDescent="0.3">
      <c r="AD14773" s="16"/>
    </row>
    <row r="14774" spans="30:30" x14ac:dyDescent="0.3">
      <c r="AD14774" s="16"/>
    </row>
    <row r="14775" spans="30:30" x14ac:dyDescent="0.3">
      <c r="AD14775" s="16"/>
    </row>
    <row r="14776" spans="30:30" x14ac:dyDescent="0.3">
      <c r="AD14776" s="16"/>
    </row>
    <row r="14777" spans="30:30" x14ac:dyDescent="0.3">
      <c r="AD14777" s="16"/>
    </row>
    <row r="14778" spans="30:30" x14ac:dyDescent="0.3">
      <c r="AD14778" s="16"/>
    </row>
    <row r="14779" spans="30:30" x14ac:dyDescent="0.3">
      <c r="AD14779" s="16"/>
    </row>
    <row r="14780" spans="30:30" x14ac:dyDescent="0.3">
      <c r="AD14780" s="16"/>
    </row>
    <row r="14781" spans="30:30" x14ac:dyDescent="0.3">
      <c r="AD14781" s="16"/>
    </row>
    <row r="14782" spans="30:30" x14ac:dyDescent="0.3">
      <c r="AD14782" s="16"/>
    </row>
    <row r="14783" spans="30:30" x14ac:dyDescent="0.3">
      <c r="AD14783" s="16"/>
    </row>
    <row r="14784" spans="30:30" x14ac:dyDescent="0.3">
      <c r="AD14784" s="16"/>
    </row>
    <row r="14785" spans="30:30" x14ac:dyDescent="0.3">
      <c r="AD14785" s="16"/>
    </row>
    <row r="14786" spans="30:30" x14ac:dyDescent="0.3">
      <c r="AD14786" s="16"/>
    </row>
    <row r="14787" spans="30:30" x14ac:dyDescent="0.3">
      <c r="AD14787" s="16"/>
    </row>
    <row r="14788" spans="30:30" x14ac:dyDescent="0.3">
      <c r="AD14788" s="16"/>
    </row>
    <row r="14789" spans="30:30" x14ac:dyDescent="0.3">
      <c r="AD14789" s="16"/>
    </row>
    <row r="14790" spans="30:30" x14ac:dyDescent="0.3">
      <c r="AD14790" s="16"/>
    </row>
    <row r="14791" spans="30:30" x14ac:dyDescent="0.3">
      <c r="AD14791" s="16"/>
    </row>
    <row r="14792" spans="30:30" x14ac:dyDescent="0.3">
      <c r="AD14792" s="16"/>
    </row>
    <row r="14793" spans="30:30" x14ac:dyDescent="0.3">
      <c r="AD14793" s="16"/>
    </row>
    <row r="14794" spans="30:30" x14ac:dyDescent="0.3">
      <c r="AD14794" s="16"/>
    </row>
    <row r="14795" spans="30:30" x14ac:dyDescent="0.3">
      <c r="AD14795" s="16"/>
    </row>
    <row r="14796" spans="30:30" x14ac:dyDescent="0.3">
      <c r="AD14796" s="16"/>
    </row>
    <row r="14797" spans="30:30" x14ac:dyDescent="0.3">
      <c r="AD14797" s="16"/>
    </row>
    <row r="14798" spans="30:30" x14ac:dyDescent="0.3">
      <c r="AD14798" s="16"/>
    </row>
    <row r="14799" spans="30:30" x14ac:dyDescent="0.3">
      <c r="AD14799" s="16"/>
    </row>
    <row r="14800" spans="30:30" x14ac:dyDescent="0.3">
      <c r="AD14800" s="16"/>
    </row>
    <row r="14801" spans="30:30" x14ac:dyDescent="0.3">
      <c r="AD14801" s="16"/>
    </row>
    <row r="14802" spans="30:30" x14ac:dyDescent="0.3">
      <c r="AD14802" s="16"/>
    </row>
    <row r="14803" spans="30:30" x14ac:dyDescent="0.3">
      <c r="AD14803" s="16"/>
    </row>
    <row r="14804" spans="30:30" x14ac:dyDescent="0.3">
      <c r="AD14804" s="16"/>
    </row>
    <row r="14805" spans="30:30" x14ac:dyDescent="0.3">
      <c r="AD14805" s="16"/>
    </row>
    <row r="14806" spans="30:30" x14ac:dyDescent="0.3">
      <c r="AD14806" s="16"/>
    </row>
    <row r="14807" spans="30:30" x14ac:dyDescent="0.3">
      <c r="AD14807" s="16"/>
    </row>
    <row r="14808" spans="30:30" x14ac:dyDescent="0.3">
      <c r="AD14808" s="16"/>
    </row>
    <row r="14809" spans="30:30" x14ac:dyDescent="0.3">
      <c r="AD14809" s="16"/>
    </row>
    <row r="14810" spans="30:30" x14ac:dyDescent="0.3">
      <c r="AD14810" s="16"/>
    </row>
    <row r="14811" spans="30:30" x14ac:dyDescent="0.3">
      <c r="AD14811" s="16"/>
    </row>
    <row r="14812" spans="30:30" x14ac:dyDescent="0.3">
      <c r="AD14812" s="16"/>
    </row>
    <row r="14813" spans="30:30" x14ac:dyDescent="0.3">
      <c r="AD14813" s="16"/>
    </row>
    <row r="14814" spans="30:30" x14ac:dyDescent="0.3">
      <c r="AD14814" s="16"/>
    </row>
    <row r="14815" spans="30:30" x14ac:dyDescent="0.3">
      <c r="AD14815" s="16"/>
    </row>
    <row r="14816" spans="30:30" x14ac:dyDescent="0.3">
      <c r="AD14816" s="16"/>
    </row>
    <row r="14817" spans="30:30" x14ac:dyDescent="0.3">
      <c r="AD14817" s="16"/>
    </row>
    <row r="14818" spans="30:30" x14ac:dyDescent="0.3">
      <c r="AD14818" s="16"/>
    </row>
    <row r="14819" spans="30:30" x14ac:dyDescent="0.3">
      <c r="AD14819" s="16"/>
    </row>
    <row r="14820" spans="30:30" x14ac:dyDescent="0.3">
      <c r="AD14820" s="16"/>
    </row>
    <row r="14821" spans="30:30" x14ac:dyDescent="0.3">
      <c r="AD14821" s="16"/>
    </row>
    <row r="14822" spans="30:30" x14ac:dyDescent="0.3">
      <c r="AD14822" s="16"/>
    </row>
    <row r="14823" spans="30:30" x14ac:dyDescent="0.3">
      <c r="AD14823" s="16"/>
    </row>
    <row r="14824" spans="30:30" x14ac:dyDescent="0.3">
      <c r="AD14824" s="16"/>
    </row>
    <row r="14825" spans="30:30" x14ac:dyDescent="0.3">
      <c r="AD14825" s="16"/>
    </row>
    <row r="14826" spans="30:30" x14ac:dyDescent="0.3">
      <c r="AD14826" s="16"/>
    </row>
    <row r="14827" spans="30:30" x14ac:dyDescent="0.3">
      <c r="AD14827" s="16"/>
    </row>
    <row r="14828" spans="30:30" x14ac:dyDescent="0.3">
      <c r="AD14828" s="16"/>
    </row>
    <row r="14829" spans="30:30" x14ac:dyDescent="0.3">
      <c r="AD14829" s="16"/>
    </row>
    <row r="14830" spans="30:30" x14ac:dyDescent="0.3">
      <c r="AD14830" s="16"/>
    </row>
    <row r="14831" spans="30:30" x14ac:dyDescent="0.3">
      <c r="AD14831" s="16"/>
    </row>
    <row r="14832" spans="30:30" x14ac:dyDescent="0.3">
      <c r="AD14832" s="16"/>
    </row>
    <row r="14833" spans="30:30" x14ac:dyDescent="0.3">
      <c r="AD14833" s="16"/>
    </row>
    <row r="14834" spans="30:30" x14ac:dyDescent="0.3">
      <c r="AD14834" s="16"/>
    </row>
    <row r="14835" spans="30:30" x14ac:dyDescent="0.3">
      <c r="AD14835" s="16"/>
    </row>
    <row r="14836" spans="30:30" x14ac:dyDescent="0.3">
      <c r="AD14836" s="16"/>
    </row>
    <row r="14837" spans="30:30" x14ac:dyDescent="0.3">
      <c r="AD14837" s="16"/>
    </row>
    <row r="14838" spans="30:30" x14ac:dyDescent="0.3">
      <c r="AD14838" s="16"/>
    </row>
    <row r="14839" spans="30:30" x14ac:dyDescent="0.3">
      <c r="AD14839" s="16"/>
    </row>
    <row r="14840" spans="30:30" x14ac:dyDescent="0.3">
      <c r="AD14840" s="16"/>
    </row>
    <row r="14841" spans="30:30" x14ac:dyDescent="0.3">
      <c r="AD14841" s="16"/>
    </row>
    <row r="14842" spans="30:30" x14ac:dyDescent="0.3">
      <c r="AD14842" s="16"/>
    </row>
    <row r="14843" spans="30:30" x14ac:dyDescent="0.3">
      <c r="AD14843" s="16"/>
    </row>
    <row r="14844" spans="30:30" x14ac:dyDescent="0.3">
      <c r="AD14844" s="16"/>
    </row>
    <row r="14845" spans="30:30" x14ac:dyDescent="0.3">
      <c r="AD14845" s="16"/>
    </row>
    <row r="14846" spans="30:30" x14ac:dyDescent="0.3">
      <c r="AD14846" s="16"/>
    </row>
    <row r="14847" spans="30:30" x14ac:dyDescent="0.3">
      <c r="AD14847" s="16"/>
    </row>
    <row r="14848" spans="30:30" x14ac:dyDescent="0.3">
      <c r="AD14848" s="16"/>
    </row>
    <row r="14849" spans="30:30" x14ac:dyDescent="0.3">
      <c r="AD14849" s="16"/>
    </row>
    <row r="14850" spans="30:30" x14ac:dyDescent="0.3">
      <c r="AD14850" s="16"/>
    </row>
    <row r="14851" spans="30:30" x14ac:dyDescent="0.3">
      <c r="AD14851" s="16"/>
    </row>
    <row r="14852" spans="30:30" x14ac:dyDescent="0.3">
      <c r="AD14852" s="16"/>
    </row>
    <row r="14853" spans="30:30" x14ac:dyDescent="0.3">
      <c r="AD14853" s="16"/>
    </row>
    <row r="14854" spans="30:30" x14ac:dyDescent="0.3">
      <c r="AD14854" s="16"/>
    </row>
    <row r="14855" spans="30:30" x14ac:dyDescent="0.3">
      <c r="AD14855" s="16"/>
    </row>
    <row r="14856" spans="30:30" x14ac:dyDescent="0.3">
      <c r="AD14856" s="16"/>
    </row>
    <row r="14857" spans="30:30" x14ac:dyDescent="0.3">
      <c r="AD14857" s="16"/>
    </row>
    <row r="14858" spans="30:30" x14ac:dyDescent="0.3">
      <c r="AD14858" s="16"/>
    </row>
    <row r="14859" spans="30:30" x14ac:dyDescent="0.3">
      <c r="AD14859" s="16"/>
    </row>
    <row r="14860" spans="30:30" x14ac:dyDescent="0.3">
      <c r="AD14860" s="16"/>
    </row>
    <row r="14861" spans="30:30" x14ac:dyDescent="0.3">
      <c r="AD14861" s="16"/>
    </row>
    <row r="14862" spans="30:30" x14ac:dyDescent="0.3">
      <c r="AD14862" s="16"/>
    </row>
    <row r="14863" spans="30:30" x14ac:dyDescent="0.3">
      <c r="AD14863" s="16"/>
    </row>
    <row r="14864" spans="30:30" x14ac:dyDescent="0.3">
      <c r="AD14864" s="16"/>
    </row>
    <row r="14865" spans="30:30" x14ac:dyDescent="0.3">
      <c r="AD14865" s="16"/>
    </row>
    <row r="14866" spans="30:30" x14ac:dyDescent="0.3">
      <c r="AD14866" s="16"/>
    </row>
    <row r="14867" spans="30:30" x14ac:dyDescent="0.3">
      <c r="AD14867" s="16"/>
    </row>
    <row r="14868" spans="30:30" x14ac:dyDescent="0.3">
      <c r="AD14868" s="16"/>
    </row>
    <row r="14869" spans="30:30" x14ac:dyDescent="0.3">
      <c r="AD14869" s="16"/>
    </row>
    <row r="14870" spans="30:30" x14ac:dyDescent="0.3">
      <c r="AD14870" s="16"/>
    </row>
    <row r="14871" spans="30:30" x14ac:dyDescent="0.3">
      <c r="AD14871" s="16"/>
    </row>
    <row r="14872" spans="30:30" x14ac:dyDescent="0.3">
      <c r="AD14872" s="16"/>
    </row>
    <row r="14873" spans="30:30" x14ac:dyDescent="0.3">
      <c r="AD14873" s="16"/>
    </row>
    <row r="14874" spans="30:30" x14ac:dyDescent="0.3">
      <c r="AD14874" s="16"/>
    </row>
    <row r="14875" spans="30:30" x14ac:dyDescent="0.3">
      <c r="AD14875" s="16"/>
    </row>
    <row r="14876" spans="30:30" x14ac:dyDescent="0.3">
      <c r="AD14876" s="16"/>
    </row>
    <row r="14877" spans="30:30" x14ac:dyDescent="0.3">
      <c r="AD14877" s="16"/>
    </row>
    <row r="14878" spans="30:30" x14ac:dyDescent="0.3">
      <c r="AD14878" s="16"/>
    </row>
    <row r="14879" spans="30:30" x14ac:dyDescent="0.3">
      <c r="AD14879" s="16"/>
    </row>
    <row r="14880" spans="30:30" x14ac:dyDescent="0.3">
      <c r="AD14880" s="16"/>
    </row>
    <row r="14881" spans="30:30" x14ac:dyDescent="0.3">
      <c r="AD14881" s="16"/>
    </row>
    <row r="14882" spans="30:30" x14ac:dyDescent="0.3">
      <c r="AD14882" s="16"/>
    </row>
    <row r="14883" spans="30:30" x14ac:dyDescent="0.3">
      <c r="AD14883" s="16"/>
    </row>
    <row r="14884" spans="30:30" x14ac:dyDescent="0.3">
      <c r="AD14884" s="16"/>
    </row>
    <row r="14885" spans="30:30" x14ac:dyDescent="0.3">
      <c r="AD14885" s="16"/>
    </row>
    <row r="14886" spans="30:30" x14ac:dyDescent="0.3">
      <c r="AD14886" s="16"/>
    </row>
    <row r="14887" spans="30:30" x14ac:dyDescent="0.3">
      <c r="AD14887" s="16"/>
    </row>
    <row r="14888" spans="30:30" x14ac:dyDescent="0.3">
      <c r="AD14888" s="16"/>
    </row>
    <row r="14889" spans="30:30" x14ac:dyDescent="0.3">
      <c r="AD14889" s="16"/>
    </row>
    <row r="14890" spans="30:30" x14ac:dyDescent="0.3">
      <c r="AD14890" s="16"/>
    </row>
    <row r="14891" spans="30:30" x14ac:dyDescent="0.3">
      <c r="AD14891" s="16"/>
    </row>
    <row r="14892" spans="30:30" x14ac:dyDescent="0.3">
      <c r="AD14892" s="16"/>
    </row>
    <row r="14893" spans="30:30" x14ac:dyDescent="0.3">
      <c r="AD14893" s="16"/>
    </row>
    <row r="14894" spans="30:30" x14ac:dyDescent="0.3">
      <c r="AD14894" s="16"/>
    </row>
    <row r="14895" spans="30:30" x14ac:dyDescent="0.3">
      <c r="AD14895" s="16"/>
    </row>
    <row r="14896" spans="30:30" x14ac:dyDescent="0.3">
      <c r="AD14896" s="16"/>
    </row>
    <row r="14897" spans="30:30" x14ac:dyDescent="0.3">
      <c r="AD14897" s="16"/>
    </row>
    <row r="14898" spans="30:30" x14ac:dyDescent="0.3">
      <c r="AD14898" s="16"/>
    </row>
    <row r="14899" spans="30:30" x14ac:dyDescent="0.3">
      <c r="AD14899" s="16"/>
    </row>
    <row r="14900" spans="30:30" x14ac:dyDescent="0.3">
      <c r="AD14900" s="16"/>
    </row>
    <row r="14901" spans="30:30" x14ac:dyDescent="0.3">
      <c r="AD14901" s="16"/>
    </row>
    <row r="14902" spans="30:30" x14ac:dyDescent="0.3">
      <c r="AD14902" s="16"/>
    </row>
    <row r="14903" spans="30:30" x14ac:dyDescent="0.3">
      <c r="AD14903" s="16"/>
    </row>
    <row r="14904" spans="30:30" x14ac:dyDescent="0.3">
      <c r="AD14904" s="16"/>
    </row>
    <row r="14905" spans="30:30" x14ac:dyDescent="0.3">
      <c r="AD14905" s="16"/>
    </row>
    <row r="14906" spans="30:30" x14ac:dyDescent="0.3">
      <c r="AD14906" s="16"/>
    </row>
    <row r="14907" spans="30:30" x14ac:dyDescent="0.3">
      <c r="AD14907" s="16"/>
    </row>
    <row r="14908" spans="30:30" x14ac:dyDescent="0.3">
      <c r="AD14908" s="16"/>
    </row>
    <row r="14909" spans="30:30" x14ac:dyDescent="0.3">
      <c r="AD14909" s="16"/>
    </row>
    <row r="14910" spans="30:30" x14ac:dyDescent="0.3">
      <c r="AD14910" s="16"/>
    </row>
    <row r="14911" spans="30:30" x14ac:dyDescent="0.3">
      <c r="AD14911" s="16"/>
    </row>
    <row r="14912" spans="30:30" x14ac:dyDescent="0.3">
      <c r="AD14912" s="16"/>
    </row>
    <row r="14913" spans="30:30" x14ac:dyDescent="0.3">
      <c r="AD14913" s="16"/>
    </row>
    <row r="14914" spans="30:30" x14ac:dyDescent="0.3">
      <c r="AD14914" s="16"/>
    </row>
    <row r="14915" spans="30:30" x14ac:dyDescent="0.3">
      <c r="AD14915" s="16"/>
    </row>
    <row r="14916" spans="30:30" x14ac:dyDescent="0.3">
      <c r="AD14916" s="16"/>
    </row>
    <row r="14917" spans="30:30" x14ac:dyDescent="0.3">
      <c r="AD14917" s="16"/>
    </row>
    <row r="14918" spans="30:30" x14ac:dyDescent="0.3">
      <c r="AD14918" s="16"/>
    </row>
    <row r="14919" spans="30:30" x14ac:dyDescent="0.3">
      <c r="AD14919" s="16"/>
    </row>
    <row r="14920" spans="30:30" x14ac:dyDescent="0.3">
      <c r="AD14920" s="16"/>
    </row>
    <row r="14921" spans="30:30" x14ac:dyDescent="0.3">
      <c r="AD14921" s="16"/>
    </row>
    <row r="14922" spans="30:30" x14ac:dyDescent="0.3">
      <c r="AD14922" s="16"/>
    </row>
    <row r="14923" spans="30:30" x14ac:dyDescent="0.3">
      <c r="AD14923" s="16"/>
    </row>
    <row r="14924" spans="30:30" x14ac:dyDescent="0.3">
      <c r="AD14924" s="16"/>
    </row>
    <row r="14925" spans="30:30" x14ac:dyDescent="0.3">
      <c r="AD14925" s="16"/>
    </row>
    <row r="14926" spans="30:30" x14ac:dyDescent="0.3">
      <c r="AD14926" s="16"/>
    </row>
    <row r="14927" spans="30:30" x14ac:dyDescent="0.3">
      <c r="AD14927" s="16"/>
    </row>
    <row r="14928" spans="30:30" x14ac:dyDescent="0.3">
      <c r="AD14928" s="16"/>
    </row>
    <row r="14929" spans="30:30" x14ac:dyDescent="0.3">
      <c r="AD14929" s="16"/>
    </row>
    <row r="14930" spans="30:30" x14ac:dyDescent="0.3">
      <c r="AD14930" s="16"/>
    </row>
    <row r="14931" spans="30:30" x14ac:dyDescent="0.3">
      <c r="AD14931" s="16"/>
    </row>
    <row r="14932" spans="30:30" x14ac:dyDescent="0.3">
      <c r="AD14932" s="16"/>
    </row>
    <row r="14933" spans="30:30" x14ac:dyDescent="0.3">
      <c r="AD14933" s="16"/>
    </row>
    <row r="14934" spans="30:30" x14ac:dyDescent="0.3">
      <c r="AD14934" s="16"/>
    </row>
    <row r="14935" spans="30:30" x14ac:dyDescent="0.3">
      <c r="AD14935" s="16"/>
    </row>
    <row r="14936" spans="30:30" x14ac:dyDescent="0.3">
      <c r="AD14936" s="16"/>
    </row>
    <row r="14937" spans="30:30" x14ac:dyDescent="0.3">
      <c r="AD14937" s="16"/>
    </row>
    <row r="14938" spans="30:30" x14ac:dyDescent="0.3">
      <c r="AD14938" s="16"/>
    </row>
    <row r="14939" spans="30:30" x14ac:dyDescent="0.3">
      <c r="AD14939" s="16"/>
    </row>
    <row r="14940" spans="30:30" x14ac:dyDescent="0.3">
      <c r="AD14940" s="16"/>
    </row>
    <row r="14941" spans="30:30" x14ac:dyDescent="0.3">
      <c r="AD14941" s="16"/>
    </row>
    <row r="14942" spans="30:30" x14ac:dyDescent="0.3">
      <c r="AD14942" s="16"/>
    </row>
    <row r="14943" spans="30:30" x14ac:dyDescent="0.3">
      <c r="AD14943" s="16"/>
    </row>
    <row r="14944" spans="30:30" x14ac:dyDescent="0.3">
      <c r="AD14944" s="16"/>
    </row>
    <row r="14945" spans="30:30" x14ac:dyDescent="0.3">
      <c r="AD14945" s="16"/>
    </row>
    <row r="14946" spans="30:30" x14ac:dyDescent="0.3">
      <c r="AD14946" s="16"/>
    </row>
    <row r="14947" spans="30:30" x14ac:dyDescent="0.3">
      <c r="AD14947" s="16"/>
    </row>
    <row r="14948" spans="30:30" x14ac:dyDescent="0.3">
      <c r="AD14948" s="16"/>
    </row>
    <row r="14949" spans="30:30" x14ac:dyDescent="0.3">
      <c r="AD14949" s="16"/>
    </row>
    <row r="14950" spans="30:30" x14ac:dyDescent="0.3">
      <c r="AD14950" s="16"/>
    </row>
    <row r="14951" spans="30:30" x14ac:dyDescent="0.3">
      <c r="AD14951" s="16"/>
    </row>
    <row r="14952" spans="30:30" x14ac:dyDescent="0.3">
      <c r="AD14952" s="16"/>
    </row>
    <row r="14953" spans="30:30" x14ac:dyDescent="0.3">
      <c r="AD14953" s="16"/>
    </row>
    <row r="14954" spans="30:30" x14ac:dyDescent="0.3">
      <c r="AD14954" s="16"/>
    </row>
    <row r="14955" spans="30:30" x14ac:dyDescent="0.3">
      <c r="AD14955" s="16"/>
    </row>
    <row r="14956" spans="30:30" x14ac:dyDescent="0.3">
      <c r="AD14956" s="16"/>
    </row>
    <row r="14957" spans="30:30" x14ac:dyDescent="0.3">
      <c r="AD14957" s="16"/>
    </row>
    <row r="14958" spans="30:30" x14ac:dyDescent="0.3">
      <c r="AD14958" s="16"/>
    </row>
    <row r="14959" spans="30:30" x14ac:dyDescent="0.3">
      <c r="AD14959" s="16"/>
    </row>
    <row r="14960" spans="30:30" x14ac:dyDescent="0.3">
      <c r="AD14960" s="16"/>
    </row>
    <row r="14961" spans="30:30" x14ac:dyDescent="0.3">
      <c r="AD14961" s="16"/>
    </row>
    <row r="14962" spans="30:30" x14ac:dyDescent="0.3">
      <c r="AD14962" s="16"/>
    </row>
    <row r="14963" spans="30:30" x14ac:dyDescent="0.3">
      <c r="AD14963" s="16"/>
    </row>
    <row r="14964" spans="30:30" x14ac:dyDescent="0.3">
      <c r="AD14964" s="16"/>
    </row>
    <row r="14965" spans="30:30" x14ac:dyDescent="0.3">
      <c r="AD14965" s="16"/>
    </row>
    <row r="14966" spans="30:30" x14ac:dyDescent="0.3">
      <c r="AD14966" s="16"/>
    </row>
    <row r="14967" spans="30:30" x14ac:dyDescent="0.3">
      <c r="AD14967" s="16"/>
    </row>
    <row r="14968" spans="30:30" x14ac:dyDescent="0.3">
      <c r="AD14968" s="16"/>
    </row>
    <row r="14969" spans="30:30" x14ac:dyDescent="0.3">
      <c r="AD14969" s="16"/>
    </row>
    <row r="14970" spans="30:30" x14ac:dyDescent="0.3">
      <c r="AD14970" s="16"/>
    </row>
    <row r="14971" spans="30:30" x14ac:dyDescent="0.3">
      <c r="AD14971" s="16"/>
    </row>
    <row r="14972" spans="30:30" x14ac:dyDescent="0.3">
      <c r="AD14972" s="16"/>
    </row>
    <row r="14973" spans="30:30" x14ac:dyDescent="0.3">
      <c r="AD14973" s="16"/>
    </row>
    <row r="14974" spans="30:30" x14ac:dyDescent="0.3">
      <c r="AD14974" s="16"/>
    </row>
    <row r="14975" spans="30:30" x14ac:dyDescent="0.3">
      <c r="AD14975" s="16"/>
    </row>
    <row r="14976" spans="30:30" x14ac:dyDescent="0.3">
      <c r="AD14976" s="16"/>
    </row>
    <row r="14977" spans="30:30" x14ac:dyDescent="0.3">
      <c r="AD14977" s="16"/>
    </row>
    <row r="14978" spans="30:30" x14ac:dyDescent="0.3">
      <c r="AD14978" s="16"/>
    </row>
    <row r="14979" spans="30:30" x14ac:dyDescent="0.3">
      <c r="AD14979" s="16"/>
    </row>
    <row r="14980" spans="30:30" x14ac:dyDescent="0.3">
      <c r="AD14980" s="16"/>
    </row>
    <row r="14981" spans="30:30" x14ac:dyDescent="0.3">
      <c r="AD14981" s="16"/>
    </row>
    <row r="14982" spans="30:30" x14ac:dyDescent="0.3">
      <c r="AD14982" s="16"/>
    </row>
    <row r="14983" spans="30:30" x14ac:dyDescent="0.3">
      <c r="AD14983" s="16"/>
    </row>
    <row r="14984" spans="30:30" x14ac:dyDescent="0.3">
      <c r="AD14984" s="16"/>
    </row>
    <row r="14985" spans="30:30" x14ac:dyDescent="0.3">
      <c r="AD14985" s="16"/>
    </row>
    <row r="14986" spans="30:30" x14ac:dyDescent="0.3">
      <c r="AD14986" s="16"/>
    </row>
    <row r="14987" spans="30:30" x14ac:dyDescent="0.3">
      <c r="AD14987" s="16"/>
    </row>
    <row r="14988" spans="30:30" x14ac:dyDescent="0.3">
      <c r="AD14988" s="16"/>
    </row>
    <row r="14989" spans="30:30" x14ac:dyDescent="0.3">
      <c r="AD14989" s="16"/>
    </row>
    <row r="14990" spans="30:30" x14ac:dyDescent="0.3">
      <c r="AD14990" s="16"/>
    </row>
    <row r="14991" spans="30:30" x14ac:dyDescent="0.3">
      <c r="AD14991" s="16"/>
    </row>
    <row r="14992" spans="30:30" x14ac:dyDescent="0.3">
      <c r="AD14992" s="16"/>
    </row>
    <row r="14993" spans="30:30" x14ac:dyDescent="0.3">
      <c r="AD14993" s="16"/>
    </row>
    <row r="14994" spans="30:30" x14ac:dyDescent="0.3">
      <c r="AD14994" s="16"/>
    </row>
    <row r="14995" spans="30:30" x14ac:dyDescent="0.3">
      <c r="AD14995" s="16"/>
    </row>
    <row r="14996" spans="30:30" x14ac:dyDescent="0.3">
      <c r="AD14996" s="16"/>
    </row>
    <row r="14997" spans="30:30" x14ac:dyDescent="0.3">
      <c r="AD14997" s="16"/>
    </row>
    <row r="14998" spans="30:30" x14ac:dyDescent="0.3">
      <c r="AD14998" s="16"/>
    </row>
    <row r="14999" spans="30:30" x14ac:dyDescent="0.3">
      <c r="AD14999" s="16"/>
    </row>
    <row r="15000" spans="30:30" x14ac:dyDescent="0.3">
      <c r="AD15000" s="16"/>
    </row>
    <row r="15001" spans="30:30" x14ac:dyDescent="0.3">
      <c r="AD15001" s="16"/>
    </row>
    <row r="15002" spans="30:30" x14ac:dyDescent="0.3">
      <c r="AD15002" s="16"/>
    </row>
    <row r="15003" spans="30:30" x14ac:dyDescent="0.3">
      <c r="AD15003" s="16"/>
    </row>
    <row r="15004" spans="30:30" x14ac:dyDescent="0.3">
      <c r="AD15004" s="16"/>
    </row>
    <row r="15005" spans="30:30" x14ac:dyDescent="0.3">
      <c r="AD15005" s="16"/>
    </row>
    <row r="15006" spans="30:30" x14ac:dyDescent="0.3">
      <c r="AD15006" s="16"/>
    </row>
    <row r="15007" spans="30:30" x14ac:dyDescent="0.3">
      <c r="AD15007" s="16"/>
    </row>
    <row r="15008" spans="30:30" x14ac:dyDescent="0.3">
      <c r="AD15008" s="16"/>
    </row>
    <row r="15009" spans="30:30" x14ac:dyDescent="0.3">
      <c r="AD15009" s="16"/>
    </row>
    <row r="15010" spans="30:30" x14ac:dyDescent="0.3">
      <c r="AD15010" s="16"/>
    </row>
    <row r="15011" spans="30:30" x14ac:dyDescent="0.3">
      <c r="AD15011" s="16"/>
    </row>
    <row r="15012" spans="30:30" x14ac:dyDescent="0.3">
      <c r="AD15012" s="16"/>
    </row>
    <row r="15013" spans="30:30" x14ac:dyDescent="0.3">
      <c r="AD15013" s="16"/>
    </row>
    <row r="15014" spans="30:30" x14ac:dyDescent="0.3">
      <c r="AD15014" s="16"/>
    </row>
    <row r="15015" spans="30:30" x14ac:dyDescent="0.3">
      <c r="AD15015" s="16"/>
    </row>
    <row r="15016" spans="30:30" x14ac:dyDescent="0.3">
      <c r="AD15016" s="16"/>
    </row>
    <row r="15017" spans="30:30" x14ac:dyDescent="0.3">
      <c r="AD15017" s="16"/>
    </row>
    <row r="15018" spans="30:30" x14ac:dyDescent="0.3">
      <c r="AD15018" s="16"/>
    </row>
    <row r="15019" spans="30:30" x14ac:dyDescent="0.3">
      <c r="AD15019" s="16"/>
    </row>
    <row r="15020" spans="30:30" x14ac:dyDescent="0.3">
      <c r="AD15020" s="16"/>
    </row>
    <row r="15021" spans="30:30" x14ac:dyDescent="0.3">
      <c r="AD15021" s="16"/>
    </row>
    <row r="15022" spans="30:30" x14ac:dyDescent="0.3">
      <c r="AD15022" s="16"/>
    </row>
    <row r="15023" spans="30:30" x14ac:dyDescent="0.3">
      <c r="AD15023" s="16"/>
    </row>
    <row r="15024" spans="30:30" x14ac:dyDescent="0.3">
      <c r="AD15024" s="16"/>
    </row>
    <row r="15025" spans="30:30" x14ac:dyDescent="0.3">
      <c r="AD15025" s="16"/>
    </row>
    <row r="15026" spans="30:30" x14ac:dyDescent="0.3">
      <c r="AD15026" s="16"/>
    </row>
    <row r="15027" spans="30:30" x14ac:dyDescent="0.3">
      <c r="AD15027" s="16"/>
    </row>
    <row r="15028" spans="30:30" x14ac:dyDescent="0.3">
      <c r="AD15028" s="16"/>
    </row>
    <row r="15029" spans="30:30" x14ac:dyDescent="0.3">
      <c r="AD15029" s="16"/>
    </row>
    <row r="15030" spans="30:30" x14ac:dyDescent="0.3">
      <c r="AD15030" s="16"/>
    </row>
    <row r="15031" spans="30:30" x14ac:dyDescent="0.3">
      <c r="AD15031" s="16"/>
    </row>
    <row r="15032" spans="30:30" x14ac:dyDescent="0.3">
      <c r="AD15032" s="16"/>
    </row>
    <row r="15033" spans="30:30" x14ac:dyDescent="0.3">
      <c r="AD15033" s="16"/>
    </row>
    <row r="15034" spans="30:30" x14ac:dyDescent="0.3">
      <c r="AD15034" s="16"/>
    </row>
    <row r="15035" spans="30:30" x14ac:dyDescent="0.3">
      <c r="AD15035" s="16"/>
    </row>
    <row r="15036" spans="30:30" x14ac:dyDescent="0.3">
      <c r="AD15036" s="16"/>
    </row>
    <row r="15037" spans="30:30" x14ac:dyDescent="0.3">
      <c r="AD15037" s="16"/>
    </row>
    <row r="15038" spans="30:30" x14ac:dyDescent="0.3">
      <c r="AD15038" s="16"/>
    </row>
    <row r="15039" spans="30:30" x14ac:dyDescent="0.3">
      <c r="AD15039" s="16"/>
    </row>
    <row r="15040" spans="30:30" x14ac:dyDescent="0.3">
      <c r="AD15040" s="16"/>
    </row>
    <row r="15041" spans="30:30" x14ac:dyDescent="0.3">
      <c r="AD15041" s="16"/>
    </row>
    <row r="15042" spans="30:30" x14ac:dyDescent="0.3">
      <c r="AD15042" s="16"/>
    </row>
    <row r="15043" spans="30:30" x14ac:dyDescent="0.3">
      <c r="AD15043" s="16"/>
    </row>
    <row r="15044" spans="30:30" x14ac:dyDescent="0.3">
      <c r="AD15044" s="16"/>
    </row>
    <row r="15045" spans="30:30" x14ac:dyDescent="0.3">
      <c r="AD15045" s="16"/>
    </row>
    <row r="15046" spans="30:30" x14ac:dyDescent="0.3">
      <c r="AD15046" s="16"/>
    </row>
    <row r="15047" spans="30:30" x14ac:dyDescent="0.3">
      <c r="AD15047" s="16"/>
    </row>
    <row r="15048" spans="30:30" x14ac:dyDescent="0.3">
      <c r="AD15048" s="16"/>
    </row>
    <row r="15049" spans="30:30" x14ac:dyDescent="0.3">
      <c r="AD15049" s="16"/>
    </row>
    <row r="15050" spans="30:30" x14ac:dyDescent="0.3">
      <c r="AD15050" s="16"/>
    </row>
    <row r="15051" spans="30:30" x14ac:dyDescent="0.3">
      <c r="AD15051" s="16"/>
    </row>
    <row r="15052" spans="30:30" x14ac:dyDescent="0.3">
      <c r="AD15052" s="16"/>
    </row>
    <row r="15053" spans="30:30" x14ac:dyDescent="0.3">
      <c r="AD15053" s="16"/>
    </row>
    <row r="15054" spans="30:30" x14ac:dyDescent="0.3">
      <c r="AD15054" s="16"/>
    </row>
    <row r="15055" spans="30:30" x14ac:dyDescent="0.3">
      <c r="AD15055" s="16"/>
    </row>
    <row r="15056" spans="30:30" x14ac:dyDescent="0.3">
      <c r="AD15056" s="16"/>
    </row>
    <row r="15057" spans="30:30" x14ac:dyDescent="0.3">
      <c r="AD15057" s="16"/>
    </row>
    <row r="15058" spans="30:30" x14ac:dyDescent="0.3">
      <c r="AD15058" s="16"/>
    </row>
    <row r="15059" spans="30:30" x14ac:dyDescent="0.3">
      <c r="AD15059" s="16"/>
    </row>
    <row r="15060" spans="30:30" x14ac:dyDescent="0.3">
      <c r="AD15060" s="16"/>
    </row>
    <row r="15061" spans="30:30" x14ac:dyDescent="0.3">
      <c r="AD15061" s="16"/>
    </row>
    <row r="15062" spans="30:30" x14ac:dyDescent="0.3">
      <c r="AD15062" s="16"/>
    </row>
    <row r="15063" spans="30:30" x14ac:dyDescent="0.3">
      <c r="AD15063" s="16"/>
    </row>
    <row r="15064" spans="30:30" x14ac:dyDescent="0.3">
      <c r="AD15064" s="16"/>
    </row>
    <row r="15065" spans="30:30" x14ac:dyDescent="0.3">
      <c r="AD15065" s="16"/>
    </row>
    <row r="15066" spans="30:30" x14ac:dyDescent="0.3">
      <c r="AD15066" s="16"/>
    </row>
    <row r="15067" spans="30:30" x14ac:dyDescent="0.3">
      <c r="AD15067" s="16"/>
    </row>
    <row r="15068" spans="30:30" x14ac:dyDescent="0.3">
      <c r="AD15068" s="16"/>
    </row>
    <row r="15069" spans="30:30" x14ac:dyDescent="0.3">
      <c r="AD15069" s="16"/>
    </row>
    <row r="15070" spans="30:30" x14ac:dyDescent="0.3">
      <c r="AD15070" s="16"/>
    </row>
    <row r="15071" spans="30:30" x14ac:dyDescent="0.3">
      <c r="AD15071" s="16"/>
    </row>
    <row r="15072" spans="30:30" x14ac:dyDescent="0.3">
      <c r="AD15072" s="16"/>
    </row>
    <row r="15073" spans="30:30" x14ac:dyDescent="0.3">
      <c r="AD15073" s="16"/>
    </row>
    <row r="15074" spans="30:30" x14ac:dyDescent="0.3">
      <c r="AD15074" s="16"/>
    </row>
    <row r="15075" spans="30:30" x14ac:dyDescent="0.3">
      <c r="AD15075" s="16"/>
    </row>
    <row r="15076" spans="30:30" x14ac:dyDescent="0.3">
      <c r="AD15076" s="16"/>
    </row>
    <row r="15077" spans="30:30" x14ac:dyDescent="0.3">
      <c r="AD15077" s="16"/>
    </row>
    <row r="15078" spans="30:30" x14ac:dyDescent="0.3">
      <c r="AD15078" s="16"/>
    </row>
    <row r="15079" spans="30:30" x14ac:dyDescent="0.3">
      <c r="AD15079" s="16"/>
    </row>
    <row r="15080" spans="30:30" x14ac:dyDescent="0.3">
      <c r="AD15080" s="16"/>
    </row>
    <row r="15081" spans="30:30" x14ac:dyDescent="0.3">
      <c r="AD15081" s="16"/>
    </row>
    <row r="15082" spans="30:30" x14ac:dyDescent="0.3">
      <c r="AD15082" s="16"/>
    </row>
    <row r="15083" spans="30:30" x14ac:dyDescent="0.3">
      <c r="AD15083" s="16"/>
    </row>
    <row r="15084" spans="30:30" x14ac:dyDescent="0.3">
      <c r="AD15084" s="16"/>
    </row>
    <row r="15085" spans="30:30" x14ac:dyDescent="0.3">
      <c r="AD15085" s="16"/>
    </row>
    <row r="15086" spans="30:30" x14ac:dyDescent="0.3">
      <c r="AD15086" s="16"/>
    </row>
    <row r="15087" spans="30:30" x14ac:dyDescent="0.3">
      <c r="AD15087" s="16"/>
    </row>
    <row r="15088" spans="30:30" x14ac:dyDescent="0.3">
      <c r="AD15088" s="16"/>
    </row>
    <row r="15089" spans="30:30" x14ac:dyDescent="0.3">
      <c r="AD15089" s="16"/>
    </row>
    <row r="15090" spans="30:30" x14ac:dyDescent="0.3">
      <c r="AD15090" s="16"/>
    </row>
    <row r="15091" spans="30:30" x14ac:dyDescent="0.3">
      <c r="AD15091" s="16"/>
    </row>
    <row r="15092" spans="30:30" x14ac:dyDescent="0.3">
      <c r="AD15092" s="16"/>
    </row>
    <row r="15093" spans="30:30" x14ac:dyDescent="0.3">
      <c r="AD15093" s="16"/>
    </row>
    <row r="15094" spans="30:30" x14ac:dyDescent="0.3">
      <c r="AD15094" s="16"/>
    </row>
    <row r="15095" spans="30:30" x14ac:dyDescent="0.3">
      <c r="AD15095" s="16"/>
    </row>
    <row r="15096" spans="30:30" x14ac:dyDescent="0.3">
      <c r="AD15096" s="16"/>
    </row>
    <row r="15097" spans="30:30" x14ac:dyDescent="0.3">
      <c r="AD15097" s="16"/>
    </row>
    <row r="15098" spans="30:30" x14ac:dyDescent="0.3">
      <c r="AD15098" s="16"/>
    </row>
    <row r="15099" spans="30:30" x14ac:dyDescent="0.3">
      <c r="AD15099" s="16"/>
    </row>
    <row r="15100" spans="30:30" x14ac:dyDescent="0.3">
      <c r="AD15100" s="16"/>
    </row>
    <row r="15101" spans="30:30" x14ac:dyDescent="0.3">
      <c r="AD15101" s="16"/>
    </row>
    <row r="15102" spans="30:30" x14ac:dyDescent="0.3">
      <c r="AD15102" s="16"/>
    </row>
    <row r="15103" spans="30:30" x14ac:dyDescent="0.3">
      <c r="AD15103" s="16"/>
    </row>
    <row r="15104" spans="30:30" x14ac:dyDescent="0.3">
      <c r="AD15104" s="16"/>
    </row>
    <row r="15105" spans="30:30" x14ac:dyDescent="0.3">
      <c r="AD15105" s="16"/>
    </row>
    <row r="15106" spans="30:30" x14ac:dyDescent="0.3">
      <c r="AD15106" s="16"/>
    </row>
    <row r="15107" spans="30:30" x14ac:dyDescent="0.3">
      <c r="AD15107" s="16"/>
    </row>
    <row r="15108" spans="30:30" x14ac:dyDescent="0.3">
      <c r="AD15108" s="16"/>
    </row>
    <row r="15109" spans="30:30" x14ac:dyDescent="0.3">
      <c r="AD15109" s="16"/>
    </row>
    <row r="15110" spans="30:30" x14ac:dyDescent="0.3">
      <c r="AD15110" s="16"/>
    </row>
    <row r="15111" spans="30:30" x14ac:dyDescent="0.3">
      <c r="AD15111" s="16"/>
    </row>
    <row r="15112" spans="30:30" x14ac:dyDescent="0.3">
      <c r="AD15112" s="16"/>
    </row>
    <row r="15113" spans="30:30" x14ac:dyDescent="0.3">
      <c r="AD15113" s="16"/>
    </row>
    <row r="15114" spans="30:30" x14ac:dyDescent="0.3">
      <c r="AD15114" s="16"/>
    </row>
    <row r="15115" spans="30:30" x14ac:dyDescent="0.3">
      <c r="AD15115" s="16"/>
    </row>
    <row r="15116" spans="30:30" x14ac:dyDescent="0.3">
      <c r="AD15116" s="16"/>
    </row>
    <row r="15117" spans="30:30" x14ac:dyDescent="0.3">
      <c r="AD15117" s="16"/>
    </row>
    <row r="15118" spans="30:30" x14ac:dyDescent="0.3">
      <c r="AD15118" s="16"/>
    </row>
    <row r="15119" spans="30:30" x14ac:dyDescent="0.3">
      <c r="AD15119" s="16"/>
    </row>
    <row r="15120" spans="30:30" x14ac:dyDescent="0.3">
      <c r="AD15120" s="16"/>
    </row>
    <row r="15121" spans="30:30" x14ac:dyDescent="0.3">
      <c r="AD15121" s="16"/>
    </row>
    <row r="15122" spans="30:30" x14ac:dyDescent="0.3">
      <c r="AD15122" s="16"/>
    </row>
    <row r="15123" spans="30:30" x14ac:dyDescent="0.3">
      <c r="AD15123" s="16"/>
    </row>
    <row r="15124" spans="30:30" x14ac:dyDescent="0.3">
      <c r="AD15124" s="16"/>
    </row>
    <row r="15125" spans="30:30" x14ac:dyDescent="0.3">
      <c r="AD15125" s="16"/>
    </row>
    <row r="15126" spans="30:30" x14ac:dyDescent="0.3">
      <c r="AD15126" s="16"/>
    </row>
    <row r="15127" spans="30:30" x14ac:dyDescent="0.3">
      <c r="AD15127" s="16"/>
    </row>
    <row r="15128" spans="30:30" x14ac:dyDescent="0.3">
      <c r="AD15128" s="16"/>
    </row>
    <row r="15129" spans="30:30" x14ac:dyDescent="0.3">
      <c r="AD15129" s="16"/>
    </row>
    <row r="15130" spans="30:30" x14ac:dyDescent="0.3">
      <c r="AD15130" s="16"/>
    </row>
    <row r="15131" spans="30:30" x14ac:dyDescent="0.3">
      <c r="AD15131" s="16"/>
    </row>
    <row r="15132" spans="30:30" x14ac:dyDescent="0.3">
      <c r="AD15132" s="16"/>
    </row>
    <row r="15133" spans="30:30" x14ac:dyDescent="0.3">
      <c r="AD15133" s="16"/>
    </row>
    <row r="15134" spans="30:30" x14ac:dyDescent="0.3">
      <c r="AD15134" s="16"/>
    </row>
    <row r="15135" spans="30:30" x14ac:dyDescent="0.3">
      <c r="AD15135" s="16"/>
    </row>
    <row r="15136" spans="30:30" x14ac:dyDescent="0.3">
      <c r="AD15136" s="16"/>
    </row>
    <row r="15137" spans="30:30" x14ac:dyDescent="0.3">
      <c r="AD15137" s="16"/>
    </row>
    <row r="15138" spans="30:30" x14ac:dyDescent="0.3">
      <c r="AD15138" s="16"/>
    </row>
    <row r="15139" spans="30:30" x14ac:dyDescent="0.3">
      <c r="AD15139" s="16"/>
    </row>
    <row r="15140" spans="30:30" x14ac:dyDescent="0.3">
      <c r="AD15140" s="16"/>
    </row>
    <row r="15141" spans="30:30" x14ac:dyDescent="0.3">
      <c r="AD15141" s="16"/>
    </row>
    <row r="15142" spans="30:30" x14ac:dyDescent="0.3">
      <c r="AD15142" s="16"/>
    </row>
    <row r="15143" spans="30:30" x14ac:dyDescent="0.3">
      <c r="AD15143" s="16"/>
    </row>
    <row r="15144" spans="30:30" x14ac:dyDescent="0.3">
      <c r="AD15144" s="16"/>
    </row>
    <row r="15145" spans="30:30" x14ac:dyDescent="0.3">
      <c r="AD15145" s="16"/>
    </row>
    <row r="15146" spans="30:30" x14ac:dyDescent="0.3">
      <c r="AD15146" s="16"/>
    </row>
    <row r="15147" spans="30:30" x14ac:dyDescent="0.3">
      <c r="AD15147" s="16"/>
    </row>
    <row r="15148" spans="30:30" x14ac:dyDescent="0.3">
      <c r="AD15148" s="16"/>
    </row>
    <row r="15149" spans="30:30" x14ac:dyDescent="0.3">
      <c r="AD15149" s="16"/>
    </row>
    <row r="15150" spans="30:30" x14ac:dyDescent="0.3">
      <c r="AD15150" s="16"/>
    </row>
    <row r="15151" spans="30:30" x14ac:dyDescent="0.3">
      <c r="AD15151" s="16"/>
    </row>
    <row r="15152" spans="30:30" x14ac:dyDescent="0.3">
      <c r="AD15152" s="16"/>
    </row>
    <row r="15153" spans="30:30" x14ac:dyDescent="0.3">
      <c r="AD15153" s="16"/>
    </row>
    <row r="15154" spans="30:30" x14ac:dyDescent="0.3">
      <c r="AD15154" s="16"/>
    </row>
    <row r="15155" spans="30:30" x14ac:dyDescent="0.3">
      <c r="AD15155" s="16"/>
    </row>
    <row r="15156" spans="30:30" x14ac:dyDescent="0.3">
      <c r="AD15156" s="16"/>
    </row>
    <row r="15157" spans="30:30" x14ac:dyDescent="0.3">
      <c r="AD15157" s="16"/>
    </row>
    <row r="15158" spans="30:30" x14ac:dyDescent="0.3">
      <c r="AD15158" s="16"/>
    </row>
    <row r="15159" spans="30:30" x14ac:dyDescent="0.3">
      <c r="AD15159" s="16"/>
    </row>
    <row r="15160" spans="30:30" x14ac:dyDescent="0.3">
      <c r="AD15160" s="16"/>
    </row>
    <row r="15161" spans="30:30" x14ac:dyDescent="0.3">
      <c r="AD15161" s="16"/>
    </row>
    <row r="15162" spans="30:30" x14ac:dyDescent="0.3">
      <c r="AD15162" s="16"/>
    </row>
    <row r="15163" spans="30:30" x14ac:dyDescent="0.3">
      <c r="AD15163" s="16"/>
    </row>
    <row r="15164" spans="30:30" x14ac:dyDescent="0.3">
      <c r="AD15164" s="16"/>
    </row>
    <row r="15165" spans="30:30" x14ac:dyDescent="0.3">
      <c r="AD15165" s="16"/>
    </row>
    <row r="15166" spans="30:30" x14ac:dyDescent="0.3">
      <c r="AD15166" s="16"/>
    </row>
    <row r="15167" spans="30:30" x14ac:dyDescent="0.3">
      <c r="AD15167" s="16"/>
    </row>
    <row r="15168" spans="30:30" x14ac:dyDescent="0.3">
      <c r="AD15168" s="16"/>
    </row>
    <row r="15169" spans="30:30" x14ac:dyDescent="0.3">
      <c r="AD15169" s="16"/>
    </row>
    <row r="15170" spans="30:30" x14ac:dyDescent="0.3">
      <c r="AD15170" s="16"/>
    </row>
    <row r="15171" spans="30:30" x14ac:dyDescent="0.3">
      <c r="AD15171" s="16"/>
    </row>
    <row r="15172" spans="30:30" x14ac:dyDescent="0.3">
      <c r="AD15172" s="16"/>
    </row>
    <row r="15173" spans="30:30" x14ac:dyDescent="0.3">
      <c r="AD15173" s="16"/>
    </row>
    <row r="15174" spans="30:30" x14ac:dyDescent="0.3">
      <c r="AD15174" s="16"/>
    </row>
    <row r="15175" spans="30:30" x14ac:dyDescent="0.3">
      <c r="AD15175" s="16"/>
    </row>
    <row r="15176" spans="30:30" x14ac:dyDescent="0.3">
      <c r="AD15176" s="16"/>
    </row>
    <row r="15177" spans="30:30" x14ac:dyDescent="0.3">
      <c r="AD15177" s="16"/>
    </row>
    <row r="15178" spans="30:30" x14ac:dyDescent="0.3">
      <c r="AD15178" s="16"/>
    </row>
    <row r="15179" spans="30:30" x14ac:dyDescent="0.3">
      <c r="AD15179" s="16"/>
    </row>
    <row r="15180" spans="30:30" x14ac:dyDescent="0.3">
      <c r="AD15180" s="16"/>
    </row>
    <row r="15181" spans="30:30" x14ac:dyDescent="0.3">
      <c r="AD15181" s="16"/>
    </row>
    <row r="15182" spans="30:30" x14ac:dyDescent="0.3">
      <c r="AD15182" s="16"/>
    </row>
    <row r="15183" spans="30:30" x14ac:dyDescent="0.3">
      <c r="AD15183" s="16"/>
    </row>
    <row r="15184" spans="30:30" x14ac:dyDescent="0.3">
      <c r="AD15184" s="16"/>
    </row>
    <row r="15185" spans="30:30" x14ac:dyDescent="0.3">
      <c r="AD15185" s="16"/>
    </row>
    <row r="15186" spans="30:30" x14ac:dyDescent="0.3">
      <c r="AD15186" s="16"/>
    </row>
    <row r="15187" spans="30:30" x14ac:dyDescent="0.3">
      <c r="AD15187" s="16"/>
    </row>
    <row r="15188" spans="30:30" x14ac:dyDescent="0.3">
      <c r="AD15188" s="16"/>
    </row>
    <row r="15189" spans="30:30" x14ac:dyDescent="0.3">
      <c r="AD15189" s="16"/>
    </row>
    <row r="15190" spans="30:30" x14ac:dyDescent="0.3">
      <c r="AD15190" s="16"/>
    </row>
    <row r="15191" spans="30:30" x14ac:dyDescent="0.3">
      <c r="AD15191" s="16"/>
    </row>
    <row r="15192" spans="30:30" x14ac:dyDescent="0.3">
      <c r="AD15192" s="16"/>
    </row>
    <row r="15193" spans="30:30" x14ac:dyDescent="0.3">
      <c r="AD15193" s="16"/>
    </row>
    <row r="15194" spans="30:30" x14ac:dyDescent="0.3">
      <c r="AD15194" s="16"/>
    </row>
    <row r="15195" spans="30:30" x14ac:dyDescent="0.3">
      <c r="AD15195" s="16"/>
    </row>
    <row r="15196" spans="30:30" x14ac:dyDescent="0.3">
      <c r="AD15196" s="16"/>
    </row>
    <row r="15197" spans="30:30" x14ac:dyDescent="0.3">
      <c r="AD15197" s="16"/>
    </row>
    <row r="15198" spans="30:30" x14ac:dyDescent="0.3">
      <c r="AD15198" s="16"/>
    </row>
    <row r="15199" spans="30:30" x14ac:dyDescent="0.3">
      <c r="AD15199" s="16"/>
    </row>
    <row r="15200" spans="30:30" x14ac:dyDescent="0.3">
      <c r="AD15200" s="16"/>
    </row>
    <row r="15201" spans="30:30" x14ac:dyDescent="0.3">
      <c r="AD15201" s="16"/>
    </row>
    <row r="15202" spans="30:30" x14ac:dyDescent="0.3">
      <c r="AD15202" s="16"/>
    </row>
    <row r="15203" spans="30:30" x14ac:dyDescent="0.3">
      <c r="AD15203" s="16"/>
    </row>
    <row r="15204" spans="30:30" x14ac:dyDescent="0.3">
      <c r="AD15204" s="16"/>
    </row>
    <row r="15205" spans="30:30" x14ac:dyDescent="0.3">
      <c r="AD15205" s="16"/>
    </row>
    <row r="15206" spans="30:30" x14ac:dyDescent="0.3">
      <c r="AD15206" s="16"/>
    </row>
    <row r="15207" spans="30:30" x14ac:dyDescent="0.3">
      <c r="AD15207" s="16"/>
    </row>
    <row r="15208" spans="30:30" x14ac:dyDescent="0.3">
      <c r="AD15208" s="16"/>
    </row>
    <row r="15209" spans="30:30" x14ac:dyDescent="0.3">
      <c r="AD15209" s="16"/>
    </row>
    <row r="15210" spans="30:30" x14ac:dyDescent="0.3">
      <c r="AD15210" s="16"/>
    </row>
    <row r="15211" spans="30:30" x14ac:dyDescent="0.3">
      <c r="AD15211" s="16"/>
    </row>
    <row r="15212" spans="30:30" x14ac:dyDescent="0.3">
      <c r="AD15212" s="16"/>
    </row>
    <row r="15213" spans="30:30" x14ac:dyDescent="0.3">
      <c r="AD15213" s="16"/>
    </row>
    <row r="15214" spans="30:30" x14ac:dyDescent="0.3">
      <c r="AD15214" s="16"/>
    </row>
    <row r="15215" spans="30:30" x14ac:dyDescent="0.3">
      <c r="AD15215" s="16"/>
    </row>
    <row r="15216" spans="30:30" x14ac:dyDescent="0.3">
      <c r="AD15216" s="16"/>
    </row>
    <row r="15217" spans="30:30" x14ac:dyDescent="0.3">
      <c r="AD15217" s="16"/>
    </row>
    <row r="15218" spans="30:30" x14ac:dyDescent="0.3">
      <c r="AD15218" s="16"/>
    </row>
    <row r="15219" spans="30:30" x14ac:dyDescent="0.3">
      <c r="AD15219" s="16"/>
    </row>
    <row r="15220" spans="30:30" x14ac:dyDescent="0.3">
      <c r="AD15220" s="16"/>
    </row>
    <row r="15221" spans="30:30" x14ac:dyDescent="0.3">
      <c r="AD15221" s="16"/>
    </row>
    <row r="15222" spans="30:30" x14ac:dyDescent="0.3">
      <c r="AD15222" s="16"/>
    </row>
    <row r="15223" spans="30:30" x14ac:dyDescent="0.3">
      <c r="AD15223" s="16"/>
    </row>
    <row r="15224" spans="30:30" x14ac:dyDescent="0.3">
      <c r="AD15224" s="16"/>
    </row>
    <row r="15225" spans="30:30" x14ac:dyDescent="0.3">
      <c r="AD15225" s="16"/>
    </row>
    <row r="15226" spans="30:30" x14ac:dyDescent="0.3">
      <c r="AD15226" s="16"/>
    </row>
    <row r="15227" spans="30:30" x14ac:dyDescent="0.3">
      <c r="AD15227" s="16"/>
    </row>
    <row r="15228" spans="30:30" x14ac:dyDescent="0.3">
      <c r="AD15228" s="16"/>
    </row>
    <row r="15229" spans="30:30" x14ac:dyDescent="0.3">
      <c r="AD15229" s="16"/>
    </row>
    <row r="15230" spans="30:30" x14ac:dyDescent="0.3">
      <c r="AD15230" s="16"/>
    </row>
    <row r="15231" spans="30:30" x14ac:dyDescent="0.3">
      <c r="AD15231" s="16"/>
    </row>
    <row r="15232" spans="30:30" x14ac:dyDescent="0.3">
      <c r="AD15232" s="16"/>
    </row>
    <row r="15233" spans="30:30" x14ac:dyDescent="0.3">
      <c r="AD15233" s="16"/>
    </row>
    <row r="15234" spans="30:30" x14ac:dyDescent="0.3">
      <c r="AD15234" s="16"/>
    </row>
    <row r="15235" spans="30:30" x14ac:dyDescent="0.3">
      <c r="AD15235" s="16"/>
    </row>
    <row r="15236" spans="30:30" x14ac:dyDescent="0.3">
      <c r="AD15236" s="16"/>
    </row>
    <row r="15237" spans="30:30" x14ac:dyDescent="0.3">
      <c r="AD15237" s="16"/>
    </row>
    <row r="15238" spans="30:30" x14ac:dyDescent="0.3">
      <c r="AD15238" s="16"/>
    </row>
    <row r="15239" spans="30:30" x14ac:dyDescent="0.3">
      <c r="AD15239" s="16"/>
    </row>
    <row r="15240" spans="30:30" x14ac:dyDescent="0.3">
      <c r="AD15240" s="16"/>
    </row>
    <row r="15241" spans="30:30" x14ac:dyDescent="0.3">
      <c r="AD15241" s="16"/>
    </row>
    <row r="15242" spans="30:30" x14ac:dyDescent="0.3">
      <c r="AD15242" s="16"/>
    </row>
    <row r="15243" spans="30:30" x14ac:dyDescent="0.3">
      <c r="AD15243" s="16"/>
    </row>
    <row r="15244" spans="30:30" x14ac:dyDescent="0.3">
      <c r="AD15244" s="16"/>
    </row>
    <row r="15245" spans="30:30" x14ac:dyDescent="0.3">
      <c r="AD15245" s="16"/>
    </row>
    <row r="15246" spans="30:30" x14ac:dyDescent="0.3">
      <c r="AD15246" s="16"/>
    </row>
    <row r="15247" spans="30:30" x14ac:dyDescent="0.3">
      <c r="AD15247" s="16"/>
    </row>
    <row r="15248" spans="30:30" x14ac:dyDescent="0.3">
      <c r="AD15248" s="16"/>
    </row>
    <row r="15249" spans="30:30" x14ac:dyDescent="0.3">
      <c r="AD15249" s="16"/>
    </row>
    <row r="15250" spans="30:30" x14ac:dyDescent="0.3">
      <c r="AD15250" s="16"/>
    </row>
    <row r="15251" spans="30:30" x14ac:dyDescent="0.3">
      <c r="AD15251" s="16"/>
    </row>
    <row r="15252" spans="30:30" x14ac:dyDescent="0.3">
      <c r="AD15252" s="16"/>
    </row>
    <row r="15253" spans="30:30" x14ac:dyDescent="0.3">
      <c r="AD15253" s="16"/>
    </row>
    <row r="15254" spans="30:30" x14ac:dyDescent="0.3">
      <c r="AD15254" s="16"/>
    </row>
    <row r="15255" spans="30:30" x14ac:dyDescent="0.3">
      <c r="AD15255" s="16"/>
    </row>
    <row r="15256" spans="30:30" x14ac:dyDescent="0.3">
      <c r="AD15256" s="16"/>
    </row>
    <row r="15257" spans="30:30" x14ac:dyDescent="0.3">
      <c r="AD15257" s="16"/>
    </row>
    <row r="15258" spans="30:30" x14ac:dyDescent="0.3">
      <c r="AD15258" s="16"/>
    </row>
    <row r="15259" spans="30:30" x14ac:dyDescent="0.3">
      <c r="AD15259" s="16"/>
    </row>
    <row r="15260" spans="30:30" x14ac:dyDescent="0.3">
      <c r="AD15260" s="16"/>
    </row>
    <row r="15261" spans="30:30" x14ac:dyDescent="0.3">
      <c r="AD15261" s="16"/>
    </row>
    <row r="15262" spans="30:30" x14ac:dyDescent="0.3">
      <c r="AD15262" s="16"/>
    </row>
    <row r="15263" spans="30:30" x14ac:dyDescent="0.3">
      <c r="AD15263" s="16"/>
    </row>
    <row r="15264" spans="30:30" x14ac:dyDescent="0.3">
      <c r="AD15264" s="16"/>
    </row>
    <row r="15265" spans="30:30" x14ac:dyDescent="0.3">
      <c r="AD15265" s="16"/>
    </row>
    <row r="15266" spans="30:30" x14ac:dyDescent="0.3">
      <c r="AD15266" s="16"/>
    </row>
    <row r="15267" spans="30:30" x14ac:dyDescent="0.3">
      <c r="AD15267" s="16"/>
    </row>
    <row r="15268" spans="30:30" x14ac:dyDescent="0.3">
      <c r="AD15268" s="16"/>
    </row>
    <row r="15269" spans="30:30" x14ac:dyDescent="0.3">
      <c r="AD15269" s="16"/>
    </row>
    <row r="15270" spans="30:30" x14ac:dyDescent="0.3">
      <c r="AD15270" s="16"/>
    </row>
    <row r="15271" spans="30:30" x14ac:dyDescent="0.3">
      <c r="AD15271" s="16"/>
    </row>
    <row r="15272" spans="30:30" x14ac:dyDescent="0.3">
      <c r="AD15272" s="16"/>
    </row>
    <row r="15273" spans="30:30" x14ac:dyDescent="0.3">
      <c r="AD15273" s="16"/>
    </row>
    <row r="15274" spans="30:30" x14ac:dyDescent="0.3">
      <c r="AD15274" s="16"/>
    </row>
    <row r="15275" spans="30:30" x14ac:dyDescent="0.3">
      <c r="AD15275" s="16"/>
    </row>
    <row r="15276" spans="30:30" x14ac:dyDescent="0.3">
      <c r="AD15276" s="16"/>
    </row>
    <row r="15277" spans="30:30" x14ac:dyDescent="0.3">
      <c r="AD15277" s="16"/>
    </row>
    <row r="15278" spans="30:30" x14ac:dyDescent="0.3">
      <c r="AD15278" s="16"/>
    </row>
    <row r="15279" spans="30:30" x14ac:dyDescent="0.3">
      <c r="AD15279" s="16"/>
    </row>
    <row r="15280" spans="30:30" x14ac:dyDescent="0.3">
      <c r="AD15280" s="16"/>
    </row>
    <row r="15281" spans="30:30" x14ac:dyDescent="0.3">
      <c r="AD15281" s="16"/>
    </row>
    <row r="15282" spans="30:30" x14ac:dyDescent="0.3">
      <c r="AD15282" s="16"/>
    </row>
    <row r="15283" spans="30:30" x14ac:dyDescent="0.3">
      <c r="AD15283" s="16"/>
    </row>
    <row r="15284" spans="30:30" x14ac:dyDescent="0.3">
      <c r="AD15284" s="16"/>
    </row>
    <row r="15285" spans="30:30" x14ac:dyDescent="0.3">
      <c r="AD15285" s="16"/>
    </row>
    <row r="15286" spans="30:30" x14ac:dyDescent="0.3">
      <c r="AD15286" s="16"/>
    </row>
    <row r="15287" spans="30:30" x14ac:dyDescent="0.3">
      <c r="AD15287" s="16"/>
    </row>
    <row r="15288" spans="30:30" x14ac:dyDescent="0.3">
      <c r="AD15288" s="16"/>
    </row>
    <row r="15289" spans="30:30" x14ac:dyDescent="0.3">
      <c r="AD15289" s="16"/>
    </row>
    <row r="15290" spans="30:30" x14ac:dyDescent="0.3">
      <c r="AD15290" s="16"/>
    </row>
    <row r="15291" spans="30:30" x14ac:dyDescent="0.3">
      <c r="AD15291" s="16"/>
    </row>
    <row r="15292" spans="30:30" x14ac:dyDescent="0.3">
      <c r="AD15292" s="16"/>
    </row>
    <row r="15293" spans="30:30" x14ac:dyDescent="0.3">
      <c r="AD15293" s="16"/>
    </row>
    <row r="15294" spans="30:30" x14ac:dyDescent="0.3">
      <c r="AD15294" s="16"/>
    </row>
    <row r="15295" spans="30:30" x14ac:dyDescent="0.3">
      <c r="AD15295" s="16"/>
    </row>
    <row r="15296" spans="30:30" x14ac:dyDescent="0.3">
      <c r="AD15296" s="16"/>
    </row>
    <row r="15297" spans="30:30" x14ac:dyDescent="0.3">
      <c r="AD15297" s="16"/>
    </row>
    <row r="15298" spans="30:30" x14ac:dyDescent="0.3">
      <c r="AD15298" s="16"/>
    </row>
    <row r="15299" spans="30:30" x14ac:dyDescent="0.3">
      <c r="AD15299" s="16"/>
    </row>
    <row r="15300" spans="30:30" x14ac:dyDescent="0.3">
      <c r="AD15300" s="16"/>
    </row>
    <row r="15301" spans="30:30" x14ac:dyDescent="0.3">
      <c r="AD15301" s="16"/>
    </row>
    <row r="15302" spans="30:30" x14ac:dyDescent="0.3">
      <c r="AD15302" s="16"/>
    </row>
    <row r="15303" spans="30:30" x14ac:dyDescent="0.3">
      <c r="AD15303" s="16"/>
    </row>
    <row r="15304" spans="30:30" x14ac:dyDescent="0.3">
      <c r="AD15304" s="16"/>
    </row>
    <row r="15305" spans="30:30" x14ac:dyDescent="0.3">
      <c r="AD15305" s="16"/>
    </row>
    <row r="15306" spans="30:30" x14ac:dyDescent="0.3">
      <c r="AD15306" s="16"/>
    </row>
    <row r="15307" spans="30:30" x14ac:dyDescent="0.3">
      <c r="AD15307" s="16"/>
    </row>
    <row r="15308" spans="30:30" x14ac:dyDescent="0.3">
      <c r="AD15308" s="16"/>
    </row>
    <row r="15309" spans="30:30" x14ac:dyDescent="0.3">
      <c r="AD15309" s="16"/>
    </row>
    <row r="15310" spans="30:30" x14ac:dyDescent="0.3">
      <c r="AD15310" s="16"/>
    </row>
    <row r="15311" spans="30:30" x14ac:dyDescent="0.3">
      <c r="AD15311" s="16"/>
    </row>
    <row r="15312" spans="30:30" x14ac:dyDescent="0.3">
      <c r="AD15312" s="16"/>
    </row>
    <row r="15313" spans="30:30" x14ac:dyDescent="0.3">
      <c r="AD15313" s="16"/>
    </row>
    <row r="15314" spans="30:30" x14ac:dyDescent="0.3">
      <c r="AD15314" s="16"/>
    </row>
    <row r="15315" spans="30:30" x14ac:dyDescent="0.3">
      <c r="AD15315" s="16"/>
    </row>
    <row r="15316" spans="30:30" x14ac:dyDescent="0.3">
      <c r="AD15316" s="16"/>
    </row>
    <row r="15317" spans="30:30" x14ac:dyDescent="0.3">
      <c r="AD15317" s="16"/>
    </row>
    <row r="15318" spans="30:30" x14ac:dyDescent="0.3">
      <c r="AD15318" s="16"/>
    </row>
    <row r="15319" spans="30:30" x14ac:dyDescent="0.3">
      <c r="AD15319" s="16"/>
    </row>
    <row r="15320" spans="30:30" x14ac:dyDescent="0.3">
      <c r="AD15320" s="16"/>
    </row>
    <row r="15321" spans="30:30" x14ac:dyDescent="0.3">
      <c r="AD15321" s="16"/>
    </row>
    <row r="15322" spans="30:30" x14ac:dyDescent="0.3">
      <c r="AD15322" s="16"/>
    </row>
    <row r="15323" spans="30:30" x14ac:dyDescent="0.3">
      <c r="AD15323" s="16"/>
    </row>
    <row r="15324" spans="30:30" x14ac:dyDescent="0.3">
      <c r="AD15324" s="16"/>
    </row>
    <row r="15325" spans="30:30" x14ac:dyDescent="0.3">
      <c r="AD15325" s="16"/>
    </row>
    <row r="15326" spans="30:30" x14ac:dyDescent="0.3">
      <c r="AD15326" s="16"/>
    </row>
    <row r="15327" spans="30:30" x14ac:dyDescent="0.3">
      <c r="AD15327" s="16"/>
    </row>
    <row r="15328" spans="30:30" x14ac:dyDescent="0.3">
      <c r="AD15328" s="16"/>
    </row>
    <row r="15329" spans="30:30" x14ac:dyDescent="0.3">
      <c r="AD15329" s="16"/>
    </row>
    <row r="15330" spans="30:30" x14ac:dyDescent="0.3">
      <c r="AD15330" s="16"/>
    </row>
    <row r="15331" spans="30:30" x14ac:dyDescent="0.3">
      <c r="AD15331" s="16"/>
    </row>
    <row r="15332" spans="30:30" x14ac:dyDescent="0.3">
      <c r="AD15332" s="16"/>
    </row>
    <row r="15333" spans="30:30" x14ac:dyDescent="0.3">
      <c r="AD15333" s="16"/>
    </row>
    <row r="15334" spans="30:30" x14ac:dyDescent="0.3">
      <c r="AD15334" s="16"/>
    </row>
    <row r="15335" spans="30:30" x14ac:dyDescent="0.3">
      <c r="AD15335" s="16"/>
    </row>
    <row r="15336" spans="30:30" x14ac:dyDescent="0.3">
      <c r="AD15336" s="16"/>
    </row>
    <row r="15337" spans="30:30" x14ac:dyDescent="0.3">
      <c r="AD15337" s="16"/>
    </row>
    <row r="15338" spans="30:30" x14ac:dyDescent="0.3">
      <c r="AD15338" s="16"/>
    </row>
    <row r="15339" spans="30:30" x14ac:dyDescent="0.3">
      <c r="AD15339" s="16"/>
    </row>
    <row r="15340" spans="30:30" x14ac:dyDescent="0.3">
      <c r="AD15340" s="16"/>
    </row>
    <row r="15341" spans="30:30" x14ac:dyDescent="0.3">
      <c r="AD15341" s="16"/>
    </row>
    <row r="15342" spans="30:30" x14ac:dyDescent="0.3">
      <c r="AD15342" s="16"/>
    </row>
    <row r="15343" spans="30:30" x14ac:dyDescent="0.3">
      <c r="AD15343" s="16"/>
    </row>
    <row r="15344" spans="30:30" x14ac:dyDescent="0.3">
      <c r="AD15344" s="16"/>
    </row>
    <row r="15345" spans="30:30" x14ac:dyDescent="0.3">
      <c r="AD15345" s="16"/>
    </row>
    <row r="15346" spans="30:30" x14ac:dyDescent="0.3">
      <c r="AD15346" s="16"/>
    </row>
    <row r="15347" spans="30:30" x14ac:dyDescent="0.3">
      <c r="AD15347" s="16"/>
    </row>
    <row r="15348" spans="30:30" x14ac:dyDescent="0.3">
      <c r="AD15348" s="16"/>
    </row>
    <row r="15349" spans="30:30" x14ac:dyDescent="0.3">
      <c r="AD15349" s="16"/>
    </row>
    <row r="15350" spans="30:30" x14ac:dyDescent="0.3">
      <c r="AD15350" s="16"/>
    </row>
    <row r="15351" spans="30:30" x14ac:dyDescent="0.3">
      <c r="AD15351" s="16"/>
    </row>
    <row r="15352" spans="30:30" x14ac:dyDescent="0.3">
      <c r="AD15352" s="16"/>
    </row>
    <row r="15353" spans="30:30" x14ac:dyDescent="0.3">
      <c r="AD15353" s="16"/>
    </row>
    <row r="15354" spans="30:30" x14ac:dyDescent="0.3">
      <c r="AD15354" s="16"/>
    </row>
    <row r="15355" spans="30:30" x14ac:dyDescent="0.3">
      <c r="AD15355" s="16"/>
    </row>
    <row r="15356" spans="30:30" x14ac:dyDescent="0.3">
      <c r="AD15356" s="16"/>
    </row>
    <row r="15357" spans="30:30" x14ac:dyDescent="0.3">
      <c r="AD15357" s="16"/>
    </row>
    <row r="15358" spans="30:30" x14ac:dyDescent="0.3">
      <c r="AD15358" s="16"/>
    </row>
    <row r="15359" spans="30:30" x14ac:dyDescent="0.3">
      <c r="AD15359" s="16"/>
    </row>
    <row r="15360" spans="30:30" x14ac:dyDescent="0.3">
      <c r="AD15360" s="16"/>
    </row>
    <row r="15361" spans="30:30" x14ac:dyDescent="0.3">
      <c r="AD15361" s="16"/>
    </row>
    <row r="15362" spans="30:30" x14ac:dyDescent="0.3">
      <c r="AD15362" s="16"/>
    </row>
    <row r="15363" spans="30:30" x14ac:dyDescent="0.3">
      <c r="AD15363" s="16"/>
    </row>
    <row r="15364" spans="30:30" x14ac:dyDescent="0.3">
      <c r="AD15364" s="16"/>
    </row>
    <row r="15365" spans="30:30" x14ac:dyDescent="0.3">
      <c r="AD15365" s="16"/>
    </row>
    <row r="15366" spans="30:30" x14ac:dyDescent="0.3">
      <c r="AD15366" s="16"/>
    </row>
    <row r="15367" spans="30:30" x14ac:dyDescent="0.3">
      <c r="AD15367" s="16"/>
    </row>
    <row r="15368" spans="30:30" x14ac:dyDescent="0.3">
      <c r="AD15368" s="16"/>
    </row>
    <row r="15369" spans="30:30" x14ac:dyDescent="0.3">
      <c r="AD15369" s="16"/>
    </row>
    <row r="15370" spans="30:30" x14ac:dyDescent="0.3">
      <c r="AD15370" s="16"/>
    </row>
    <row r="15371" spans="30:30" x14ac:dyDescent="0.3">
      <c r="AD15371" s="16"/>
    </row>
    <row r="15372" spans="30:30" x14ac:dyDescent="0.3">
      <c r="AD15372" s="16"/>
    </row>
    <row r="15373" spans="30:30" x14ac:dyDescent="0.3">
      <c r="AD15373" s="16"/>
    </row>
    <row r="15374" spans="30:30" x14ac:dyDescent="0.3">
      <c r="AD15374" s="16"/>
    </row>
    <row r="15375" spans="30:30" x14ac:dyDescent="0.3">
      <c r="AD15375" s="16"/>
    </row>
    <row r="15376" spans="30:30" x14ac:dyDescent="0.3">
      <c r="AD15376" s="16"/>
    </row>
    <row r="15377" spans="30:30" x14ac:dyDescent="0.3">
      <c r="AD15377" s="16"/>
    </row>
    <row r="15378" spans="30:30" x14ac:dyDescent="0.3">
      <c r="AD15378" s="16"/>
    </row>
    <row r="15379" spans="30:30" x14ac:dyDescent="0.3">
      <c r="AD15379" s="16"/>
    </row>
    <row r="15380" spans="30:30" x14ac:dyDescent="0.3">
      <c r="AD15380" s="16"/>
    </row>
    <row r="15381" spans="30:30" x14ac:dyDescent="0.3">
      <c r="AD15381" s="16"/>
    </row>
    <row r="15382" spans="30:30" x14ac:dyDescent="0.3">
      <c r="AD15382" s="16"/>
    </row>
    <row r="15383" spans="30:30" x14ac:dyDescent="0.3">
      <c r="AD15383" s="16"/>
    </row>
    <row r="15384" spans="30:30" x14ac:dyDescent="0.3">
      <c r="AD15384" s="16"/>
    </row>
    <row r="15385" spans="30:30" x14ac:dyDescent="0.3">
      <c r="AD15385" s="16"/>
    </row>
    <row r="15386" spans="30:30" x14ac:dyDescent="0.3">
      <c r="AD15386" s="16"/>
    </row>
    <row r="15387" spans="30:30" x14ac:dyDescent="0.3">
      <c r="AD15387" s="16"/>
    </row>
    <row r="15388" spans="30:30" x14ac:dyDescent="0.3">
      <c r="AD15388" s="16"/>
    </row>
    <row r="15389" spans="30:30" x14ac:dyDescent="0.3">
      <c r="AD15389" s="16"/>
    </row>
    <row r="15390" spans="30:30" x14ac:dyDescent="0.3">
      <c r="AD15390" s="16"/>
    </row>
    <row r="15391" spans="30:30" x14ac:dyDescent="0.3">
      <c r="AD15391" s="16"/>
    </row>
    <row r="15392" spans="30:30" x14ac:dyDescent="0.3">
      <c r="AD15392" s="16"/>
    </row>
    <row r="15393" spans="30:30" x14ac:dyDescent="0.3">
      <c r="AD15393" s="16"/>
    </row>
    <row r="15394" spans="30:30" x14ac:dyDescent="0.3">
      <c r="AD15394" s="16"/>
    </row>
    <row r="15395" spans="30:30" x14ac:dyDescent="0.3">
      <c r="AD15395" s="16"/>
    </row>
    <row r="15396" spans="30:30" x14ac:dyDescent="0.3">
      <c r="AD15396" s="16"/>
    </row>
    <row r="15397" spans="30:30" x14ac:dyDescent="0.3">
      <c r="AD15397" s="16"/>
    </row>
    <row r="15398" spans="30:30" x14ac:dyDescent="0.3">
      <c r="AD15398" s="16"/>
    </row>
    <row r="15399" spans="30:30" x14ac:dyDescent="0.3">
      <c r="AD15399" s="16"/>
    </row>
    <row r="15400" spans="30:30" x14ac:dyDescent="0.3">
      <c r="AD15400" s="16"/>
    </row>
    <row r="15401" spans="30:30" x14ac:dyDescent="0.3">
      <c r="AD15401" s="16"/>
    </row>
    <row r="15402" spans="30:30" x14ac:dyDescent="0.3">
      <c r="AD15402" s="16"/>
    </row>
    <row r="15403" spans="30:30" x14ac:dyDescent="0.3">
      <c r="AD15403" s="16"/>
    </row>
    <row r="15404" spans="30:30" x14ac:dyDescent="0.3">
      <c r="AD15404" s="16"/>
    </row>
    <row r="15405" spans="30:30" x14ac:dyDescent="0.3">
      <c r="AD15405" s="16"/>
    </row>
    <row r="15406" spans="30:30" x14ac:dyDescent="0.3">
      <c r="AD15406" s="16"/>
    </row>
    <row r="15407" spans="30:30" x14ac:dyDescent="0.3">
      <c r="AD15407" s="16"/>
    </row>
    <row r="15408" spans="30:30" x14ac:dyDescent="0.3">
      <c r="AD15408" s="16"/>
    </row>
    <row r="15409" spans="30:30" x14ac:dyDescent="0.3">
      <c r="AD15409" s="16"/>
    </row>
    <row r="15410" spans="30:30" x14ac:dyDescent="0.3">
      <c r="AD15410" s="16"/>
    </row>
    <row r="15411" spans="30:30" x14ac:dyDescent="0.3">
      <c r="AD15411" s="16"/>
    </row>
    <row r="15412" spans="30:30" x14ac:dyDescent="0.3">
      <c r="AD15412" s="16"/>
    </row>
    <row r="15413" spans="30:30" x14ac:dyDescent="0.3">
      <c r="AD15413" s="16"/>
    </row>
    <row r="15414" spans="30:30" x14ac:dyDescent="0.3">
      <c r="AD15414" s="16"/>
    </row>
    <row r="15415" spans="30:30" x14ac:dyDescent="0.3">
      <c r="AD15415" s="16"/>
    </row>
    <row r="15416" spans="30:30" x14ac:dyDescent="0.3">
      <c r="AD15416" s="16"/>
    </row>
    <row r="15417" spans="30:30" x14ac:dyDescent="0.3">
      <c r="AD15417" s="16"/>
    </row>
    <row r="15418" spans="30:30" x14ac:dyDescent="0.3">
      <c r="AD15418" s="16"/>
    </row>
    <row r="15419" spans="30:30" x14ac:dyDescent="0.3">
      <c r="AD15419" s="16"/>
    </row>
    <row r="15420" spans="30:30" x14ac:dyDescent="0.3">
      <c r="AD15420" s="16"/>
    </row>
    <row r="15421" spans="30:30" x14ac:dyDescent="0.3">
      <c r="AD15421" s="16"/>
    </row>
    <row r="15422" spans="30:30" x14ac:dyDescent="0.3">
      <c r="AD15422" s="16"/>
    </row>
    <row r="15423" spans="30:30" x14ac:dyDescent="0.3">
      <c r="AD15423" s="16"/>
    </row>
    <row r="15424" spans="30:30" x14ac:dyDescent="0.3">
      <c r="AD15424" s="16"/>
    </row>
    <row r="15425" spans="30:30" x14ac:dyDescent="0.3">
      <c r="AD15425" s="16"/>
    </row>
    <row r="15426" spans="30:30" x14ac:dyDescent="0.3">
      <c r="AD15426" s="16"/>
    </row>
    <row r="15427" spans="30:30" x14ac:dyDescent="0.3">
      <c r="AD15427" s="16"/>
    </row>
    <row r="15428" spans="30:30" x14ac:dyDescent="0.3">
      <c r="AD15428" s="16"/>
    </row>
    <row r="15429" spans="30:30" x14ac:dyDescent="0.3">
      <c r="AD15429" s="16"/>
    </row>
    <row r="15430" spans="30:30" x14ac:dyDescent="0.3">
      <c r="AD15430" s="16"/>
    </row>
    <row r="15431" spans="30:30" x14ac:dyDescent="0.3">
      <c r="AD15431" s="16"/>
    </row>
    <row r="15432" spans="30:30" x14ac:dyDescent="0.3">
      <c r="AD15432" s="16"/>
    </row>
    <row r="15433" spans="30:30" x14ac:dyDescent="0.3">
      <c r="AD15433" s="16"/>
    </row>
    <row r="15434" spans="30:30" x14ac:dyDescent="0.3">
      <c r="AD15434" s="16"/>
    </row>
    <row r="15435" spans="30:30" x14ac:dyDescent="0.3">
      <c r="AD15435" s="16"/>
    </row>
    <row r="15436" spans="30:30" x14ac:dyDescent="0.3">
      <c r="AD15436" s="16"/>
    </row>
    <row r="15437" spans="30:30" x14ac:dyDescent="0.3">
      <c r="AD15437" s="16"/>
    </row>
    <row r="15438" spans="30:30" x14ac:dyDescent="0.3">
      <c r="AD15438" s="16"/>
    </row>
    <row r="15439" spans="30:30" x14ac:dyDescent="0.3">
      <c r="AD15439" s="16"/>
    </row>
    <row r="15440" spans="30:30" x14ac:dyDescent="0.3">
      <c r="AD15440" s="16"/>
    </row>
    <row r="15441" spans="30:30" x14ac:dyDescent="0.3">
      <c r="AD15441" s="16"/>
    </row>
    <row r="15442" spans="30:30" x14ac:dyDescent="0.3">
      <c r="AD15442" s="16"/>
    </row>
    <row r="15443" spans="30:30" x14ac:dyDescent="0.3">
      <c r="AD15443" s="16"/>
    </row>
    <row r="15444" spans="30:30" x14ac:dyDescent="0.3">
      <c r="AD15444" s="16"/>
    </row>
    <row r="15445" spans="30:30" x14ac:dyDescent="0.3">
      <c r="AD15445" s="16"/>
    </row>
    <row r="15446" spans="30:30" x14ac:dyDescent="0.3">
      <c r="AD15446" s="16"/>
    </row>
    <row r="15447" spans="30:30" x14ac:dyDescent="0.3">
      <c r="AD15447" s="16"/>
    </row>
    <row r="15448" spans="30:30" x14ac:dyDescent="0.3">
      <c r="AD15448" s="16"/>
    </row>
    <row r="15449" spans="30:30" x14ac:dyDescent="0.3">
      <c r="AD15449" s="16"/>
    </row>
    <row r="15450" spans="30:30" x14ac:dyDescent="0.3">
      <c r="AD15450" s="16"/>
    </row>
    <row r="15451" spans="30:30" x14ac:dyDescent="0.3">
      <c r="AD15451" s="16"/>
    </row>
    <row r="15452" spans="30:30" x14ac:dyDescent="0.3">
      <c r="AD15452" s="16"/>
    </row>
    <row r="15453" spans="30:30" x14ac:dyDescent="0.3">
      <c r="AD15453" s="16"/>
    </row>
    <row r="15454" spans="30:30" x14ac:dyDescent="0.3">
      <c r="AD15454" s="16"/>
    </row>
    <row r="15455" spans="30:30" x14ac:dyDescent="0.3">
      <c r="AD15455" s="16"/>
    </row>
    <row r="15456" spans="30:30" x14ac:dyDescent="0.3">
      <c r="AD15456" s="16"/>
    </row>
    <row r="15457" spans="30:30" x14ac:dyDescent="0.3">
      <c r="AD15457" s="16"/>
    </row>
    <row r="15458" spans="30:30" x14ac:dyDescent="0.3">
      <c r="AD15458" s="16"/>
    </row>
    <row r="15459" spans="30:30" x14ac:dyDescent="0.3">
      <c r="AD15459" s="16"/>
    </row>
    <row r="15460" spans="30:30" x14ac:dyDescent="0.3">
      <c r="AD15460" s="16"/>
    </row>
    <row r="15461" spans="30:30" x14ac:dyDescent="0.3">
      <c r="AD15461" s="16"/>
    </row>
    <row r="15462" spans="30:30" x14ac:dyDescent="0.3">
      <c r="AD15462" s="16"/>
    </row>
    <row r="15463" spans="30:30" x14ac:dyDescent="0.3">
      <c r="AD15463" s="16"/>
    </row>
    <row r="15464" spans="30:30" x14ac:dyDescent="0.3">
      <c r="AD15464" s="16"/>
    </row>
    <row r="15465" spans="30:30" x14ac:dyDescent="0.3">
      <c r="AD15465" s="16"/>
    </row>
    <row r="15466" spans="30:30" x14ac:dyDescent="0.3">
      <c r="AD15466" s="16"/>
    </row>
    <row r="15467" spans="30:30" x14ac:dyDescent="0.3">
      <c r="AD15467" s="16"/>
    </row>
    <row r="15468" spans="30:30" x14ac:dyDescent="0.3">
      <c r="AD15468" s="16"/>
    </row>
    <row r="15469" spans="30:30" x14ac:dyDescent="0.3">
      <c r="AD15469" s="16"/>
    </row>
    <row r="15470" spans="30:30" x14ac:dyDescent="0.3">
      <c r="AD15470" s="16"/>
    </row>
    <row r="15471" spans="30:30" x14ac:dyDescent="0.3">
      <c r="AD15471" s="16"/>
    </row>
    <row r="15472" spans="30:30" x14ac:dyDescent="0.3">
      <c r="AD15472" s="16"/>
    </row>
    <row r="15473" spans="30:30" x14ac:dyDescent="0.3">
      <c r="AD15473" s="16"/>
    </row>
    <row r="15474" spans="30:30" x14ac:dyDescent="0.3">
      <c r="AD15474" s="16"/>
    </row>
    <row r="15475" spans="30:30" x14ac:dyDescent="0.3">
      <c r="AD15475" s="16"/>
    </row>
    <row r="15476" spans="30:30" x14ac:dyDescent="0.3">
      <c r="AD15476" s="16"/>
    </row>
    <row r="15477" spans="30:30" x14ac:dyDescent="0.3">
      <c r="AD15477" s="16"/>
    </row>
    <row r="15478" spans="30:30" x14ac:dyDescent="0.3">
      <c r="AD15478" s="16"/>
    </row>
    <row r="15479" spans="30:30" x14ac:dyDescent="0.3">
      <c r="AD15479" s="16"/>
    </row>
    <row r="15480" spans="30:30" x14ac:dyDescent="0.3">
      <c r="AD15480" s="16"/>
    </row>
    <row r="15481" spans="30:30" x14ac:dyDescent="0.3">
      <c r="AD15481" s="16"/>
    </row>
    <row r="15482" spans="30:30" x14ac:dyDescent="0.3">
      <c r="AD15482" s="16"/>
    </row>
    <row r="15483" spans="30:30" x14ac:dyDescent="0.3">
      <c r="AD15483" s="16"/>
    </row>
    <row r="15484" spans="30:30" x14ac:dyDescent="0.3">
      <c r="AD15484" s="16"/>
    </row>
    <row r="15485" spans="30:30" x14ac:dyDescent="0.3">
      <c r="AD15485" s="16"/>
    </row>
    <row r="15486" spans="30:30" x14ac:dyDescent="0.3">
      <c r="AD15486" s="16"/>
    </row>
    <row r="15487" spans="30:30" x14ac:dyDescent="0.3">
      <c r="AD15487" s="16"/>
    </row>
    <row r="15488" spans="30:30" x14ac:dyDescent="0.3">
      <c r="AD15488" s="16"/>
    </row>
    <row r="15489" spans="30:30" x14ac:dyDescent="0.3">
      <c r="AD15489" s="16"/>
    </row>
    <row r="15490" spans="30:30" x14ac:dyDescent="0.3">
      <c r="AD15490" s="16"/>
    </row>
    <row r="15491" spans="30:30" x14ac:dyDescent="0.3">
      <c r="AD15491" s="16"/>
    </row>
    <row r="15492" spans="30:30" x14ac:dyDescent="0.3">
      <c r="AD15492" s="16"/>
    </row>
    <row r="15493" spans="30:30" x14ac:dyDescent="0.3">
      <c r="AD15493" s="16"/>
    </row>
    <row r="15494" spans="30:30" x14ac:dyDescent="0.3">
      <c r="AD15494" s="16"/>
    </row>
    <row r="15495" spans="30:30" x14ac:dyDescent="0.3">
      <c r="AD15495" s="16"/>
    </row>
    <row r="15496" spans="30:30" x14ac:dyDescent="0.3">
      <c r="AD15496" s="16"/>
    </row>
    <row r="15497" spans="30:30" x14ac:dyDescent="0.3">
      <c r="AD15497" s="16"/>
    </row>
    <row r="15498" spans="30:30" x14ac:dyDescent="0.3">
      <c r="AD15498" s="16"/>
    </row>
    <row r="15499" spans="30:30" x14ac:dyDescent="0.3">
      <c r="AD15499" s="16"/>
    </row>
    <row r="15500" spans="30:30" x14ac:dyDescent="0.3">
      <c r="AD15500" s="16"/>
    </row>
    <row r="15501" spans="30:30" x14ac:dyDescent="0.3">
      <c r="AD15501" s="16"/>
    </row>
    <row r="15502" spans="30:30" x14ac:dyDescent="0.3">
      <c r="AD15502" s="16"/>
    </row>
    <row r="15503" spans="30:30" x14ac:dyDescent="0.3">
      <c r="AD15503" s="16"/>
    </row>
    <row r="15504" spans="30:30" x14ac:dyDescent="0.3">
      <c r="AD15504" s="16"/>
    </row>
    <row r="15505" spans="30:30" x14ac:dyDescent="0.3">
      <c r="AD15505" s="16"/>
    </row>
    <row r="15506" spans="30:30" x14ac:dyDescent="0.3">
      <c r="AD15506" s="16"/>
    </row>
    <row r="15507" spans="30:30" x14ac:dyDescent="0.3">
      <c r="AD15507" s="16"/>
    </row>
    <row r="15508" spans="30:30" x14ac:dyDescent="0.3">
      <c r="AD15508" s="16"/>
    </row>
    <row r="15509" spans="30:30" x14ac:dyDescent="0.3">
      <c r="AD15509" s="16"/>
    </row>
    <row r="15510" spans="30:30" x14ac:dyDescent="0.3">
      <c r="AD15510" s="16"/>
    </row>
    <row r="15511" spans="30:30" x14ac:dyDescent="0.3">
      <c r="AD15511" s="16"/>
    </row>
    <row r="15512" spans="30:30" x14ac:dyDescent="0.3">
      <c r="AD15512" s="16"/>
    </row>
    <row r="15513" spans="30:30" x14ac:dyDescent="0.3">
      <c r="AD15513" s="16"/>
    </row>
    <row r="15514" spans="30:30" x14ac:dyDescent="0.3">
      <c r="AD15514" s="16"/>
    </row>
    <row r="15515" spans="30:30" x14ac:dyDescent="0.3">
      <c r="AD15515" s="16"/>
    </row>
    <row r="15516" spans="30:30" x14ac:dyDescent="0.3">
      <c r="AD15516" s="16"/>
    </row>
    <row r="15517" spans="30:30" x14ac:dyDescent="0.3">
      <c r="AD15517" s="16"/>
    </row>
    <row r="15518" spans="30:30" x14ac:dyDescent="0.3">
      <c r="AD15518" s="16"/>
    </row>
    <row r="15519" spans="30:30" x14ac:dyDescent="0.3">
      <c r="AD15519" s="16"/>
    </row>
    <row r="15520" spans="30:30" x14ac:dyDescent="0.3">
      <c r="AD15520" s="16"/>
    </row>
    <row r="15521" spans="30:30" x14ac:dyDescent="0.3">
      <c r="AD15521" s="16"/>
    </row>
    <row r="15522" spans="30:30" x14ac:dyDescent="0.3">
      <c r="AD15522" s="16"/>
    </row>
    <row r="15523" spans="30:30" x14ac:dyDescent="0.3">
      <c r="AD15523" s="16"/>
    </row>
    <row r="15524" spans="30:30" x14ac:dyDescent="0.3">
      <c r="AD15524" s="16"/>
    </row>
    <row r="15525" spans="30:30" x14ac:dyDescent="0.3">
      <c r="AD15525" s="16"/>
    </row>
    <row r="15526" spans="30:30" x14ac:dyDescent="0.3">
      <c r="AD15526" s="16"/>
    </row>
    <row r="15527" spans="30:30" x14ac:dyDescent="0.3">
      <c r="AD15527" s="16"/>
    </row>
    <row r="15528" spans="30:30" x14ac:dyDescent="0.3">
      <c r="AD15528" s="16"/>
    </row>
    <row r="15529" spans="30:30" x14ac:dyDescent="0.3">
      <c r="AD15529" s="16"/>
    </row>
    <row r="15530" spans="30:30" x14ac:dyDescent="0.3">
      <c r="AD15530" s="16"/>
    </row>
    <row r="15531" spans="30:30" x14ac:dyDescent="0.3">
      <c r="AD15531" s="16"/>
    </row>
    <row r="15532" spans="30:30" x14ac:dyDescent="0.3">
      <c r="AD15532" s="16"/>
    </row>
    <row r="15533" spans="30:30" x14ac:dyDescent="0.3">
      <c r="AD15533" s="16"/>
    </row>
    <row r="15534" spans="30:30" x14ac:dyDescent="0.3">
      <c r="AD15534" s="16"/>
    </row>
    <row r="15535" spans="30:30" x14ac:dyDescent="0.3">
      <c r="AD15535" s="16"/>
    </row>
    <row r="15536" spans="30:30" x14ac:dyDescent="0.3">
      <c r="AD15536" s="16"/>
    </row>
    <row r="15537" spans="30:30" x14ac:dyDescent="0.3">
      <c r="AD15537" s="16"/>
    </row>
    <row r="15538" spans="30:30" x14ac:dyDescent="0.3">
      <c r="AD15538" s="16"/>
    </row>
    <row r="15539" spans="30:30" x14ac:dyDescent="0.3">
      <c r="AD15539" s="16"/>
    </row>
    <row r="15540" spans="30:30" x14ac:dyDescent="0.3">
      <c r="AD15540" s="16"/>
    </row>
    <row r="15541" spans="30:30" x14ac:dyDescent="0.3">
      <c r="AD15541" s="16"/>
    </row>
    <row r="15542" spans="30:30" x14ac:dyDescent="0.3">
      <c r="AD15542" s="16"/>
    </row>
    <row r="15543" spans="30:30" x14ac:dyDescent="0.3">
      <c r="AD15543" s="16"/>
    </row>
    <row r="15544" spans="30:30" x14ac:dyDescent="0.3">
      <c r="AD15544" s="16"/>
    </row>
    <row r="15545" spans="30:30" x14ac:dyDescent="0.3">
      <c r="AD15545" s="16"/>
    </row>
    <row r="15546" spans="30:30" x14ac:dyDescent="0.3">
      <c r="AD15546" s="16"/>
    </row>
    <row r="15547" spans="30:30" x14ac:dyDescent="0.3">
      <c r="AD15547" s="16"/>
    </row>
    <row r="15548" spans="30:30" x14ac:dyDescent="0.3">
      <c r="AD15548" s="16"/>
    </row>
    <row r="15549" spans="30:30" x14ac:dyDescent="0.3">
      <c r="AD15549" s="16"/>
    </row>
    <row r="15550" spans="30:30" x14ac:dyDescent="0.3">
      <c r="AD15550" s="16"/>
    </row>
    <row r="15551" spans="30:30" x14ac:dyDescent="0.3">
      <c r="AD15551" s="16"/>
    </row>
    <row r="15552" spans="30:30" x14ac:dyDescent="0.3">
      <c r="AD15552" s="16"/>
    </row>
    <row r="15553" spans="30:30" x14ac:dyDescent="0.3">
      <c r="AD15553" s="16"/>
    </row>
    <row r="15554" spans="30:30" x14ac:dyDescent="0.3">
      <c r="AD15554" s="16"/>
    </row>
    <row r="15555" spans="30:30" x14ac:dyDescent="0.3">
      <c r="AD15555" s="16"/>
    </row>
    <row r="15556" spans="30:30" x14ac:dyDescent="0.3">
      <c r="AD15556" s="16"/>
    </row>
    <row r="15557" spans="30:30" x14ac:dyDescent="0.3">
      <c r="AD15557" s="16"/>
    </row>
    <row r="15558" spans="30:30" x14ac:dyDescent="0.3">
      <c r="AD15558" s="16"/>
    </row>
    <row r="15559" spans="30:30" x14ac:dyDescent="0.3">
      <c r="AD15559" s="16"/>
    </row>
    <row r="15560" spans="30:30" x14ac:dyDescent="0.3">
      <c r="AD15560" s="16"/>
    </row>
    <row r="15561" spans="30:30" x14ac:dyDescent="0.3">
      <c r="AD15561" s="16"/>
    </row>
    <row r="15562" spans="30:30" x14ac:dyDescent="0.3">
      <c r="AD15562" s="16"/>
    </row>
    <row r="15563" spans="30:30" x14ac:dyDescent="0.3">
      <c r="AD15563" s="16"/>
    </row>
    <row r="15564" spans="30:30" x14ac:dyDescent="0.3">
      <c r="AD15564" s="16"/>
    </row>
    <row r="15565" spans="30:30" x14ac:dyDescent="0.3">
      <c r="AD15565" s="16"/>
    </row>
    <row r="15566" spans="30:30" x14ac:dyDescent="0.3">
      <c r="AD15566" s="16"/>
    </row>
    <row r="15567" spans="30:30" x14ac:dyDescent="0.3">
      <c r="AD15567" s="16"/>
    </row>
    <row r="15568" spans="30:30" x14ac:dyDescent="0.3">
      <c r="AD15568" s="16"/>
    </row>
    <row r="15569" spans="30:30" x14ac:dyDescent="0.3">
      <c r="AD15569" s="16"/>
    </row>
    <row r="15570" spans="30:30" x14ac:dyDescent="0.3">
      <c r="AD15570" s="16"/>
    </row>
    <row r="15571" spans="30:30" x14ac:dyDescent="0.3">
      <c r="AD15571" s="16"/>
    </row>
    <row r="15572" spans="30:30" x14ac:dyDescent="0.3">
      <c r="AD15572" s="16"/>
    </row>
    <row r="15573" spans="30:30" x14ac:dyDescent="0.3">
      <c r="AD15573" s="16"/>
    </row>
    <row r="15574" spans="30:30" x14ac:dyDescent="0.3">
      <c r="AD15574" s="16"/>
    </row>
    <row r="15575" spans="30:30" x14ac:dyDescent="0.3">
      <c r="AD15575" s="16"/>
    </row>
    <row r="15576" spans="30:30" x14ac:dyDescent="0.3">
      <c r="AD15576" s="16"/>
    </row>
    <row r="15577" spans="30:30" x14ac:dyDescent="0.3">
      <c r="AD15577" s="16"/>
    </row>
    <row r="15578" spans="30:30" x14ac:dyDescent="0.3">
      <c r="AD15578" s="16"/>
    </row>
    <row r="15579" spans="30:30" x14ac:dyDescent="0.3">
      <c r="AD15579" s="16"/>
    </row>
    <row r="15580" spans="30:30" x14ac:dyDescent="0.3">
      <c r="AD15580" s="16"/>
    </row>
    <row r="15581" spans="30:30" x14ac:dyDescent="0.3">
      <c r="AD15581" s="16"/>
    </row>
    <row r="15582" spans="30:30" x14ac:dyDescent="0.3">
      <c r="AD15582" s="16"/>
    </row>
    <row r="15583" spans="30:30" x14ac:dyDescent="0.3">
      <c r="AD15583" s="16"/>
    </row>
    <row r="15584" spans="30:30" x14ac:dyDescent="0.3">
      <c r="AD15584" s="16"/>
    </row>
    <row r="15585" spans="30:30" x14ac:dyDescent="0.3">
      <c r="AD15585" s="16"/>
    </row>
    <row r="15586" spans="30:30" x14ac:dyDescent="0.3">
      <c r="AD15586" s="16"/>
    </row>
    <row r="15587" spans="30:30" x14ac:dyDescent="0.3">
      <c r="AD15587" s="16"/>
    </row>
    <row r="15588" spans="30:30" x14ac:dyDescent="0.3">
      <c r="AD15588" s="16"/>
    </row>
    <row r="15589" spans="30:30" x14ac:dyDescent="0.3">
      <c r="AD15589" s="16"/>
    </row>
    <row r="15590" spans="30:30" x14ac:dyDescent="0.3">
      <c r="AD15590" s="16"/>
    </row>
    <row r="15591" spans="30:30" x14ac:dyDescent="0.3">
      <c r="AD15591" s="16"/>
    </row>
    <row r="15592" spans="30:30" x14ac:dyDescent="0.3">
      <c r="AD15592" s="16"/>
    </row>
    <row r="15593" spans="30:30" x14ac:dyDescent="0.3">
      <c r="AD15593" s="16"/>
    </row>
    <row r="15594" spans="30:30" x14ac:dyDescent="0.3">
      <c r="AD15594" s="16"/>
    </row>
    <row r="15595" spans="30:30" x14ac:dyDescent="0.3">
      <c r="AD15595" s="16"/>
    </row>
    <row r="15596" spans="30:30" x14ac:dyDescent="0.3">
      <c r="AD15596" s="16"/>
    </row>
    <row r="15597" spans="30:30" x14ac:dyDescent="0.3">
      <c r="AD15597" s="16"/>
    </row>
    <row r="15598" spans="30:30" x14ac:dyDescent="0.3">
      <c r="AD15598" s="16"/>
    </row>
    <row r="15599" spans="30:30" x14ac:dyDescent="0.3">
      <c r="AD15599" s="16"/>
    </row>
    <row r="15600" spans="30:30" x14ac:dyDescent="0.3">
      <c r="AD15600" s="16"/>
    </row>
    <row r="15601" spans="30:30" x14ac:dyDescent="0.3">
      <c r="AD15601" s="16"/>
    </row>
    <row r="15602" spans="30:30" x14ac:dyDescent="0.3">
      <c r="AD15602" s="16"/>
    </row>
    <row r="15603" spans="30:30" x14ac:dyDescent="0.3">
      <c r="AD15603" s="16"/>
    </row>
    <row r="15604" spans="30:30" x14ac:dyDescent="0.3">
      <c r="AD15604" s="16"/>
    </row>
    <row r="15605" spans="30:30" x14ac:dyDescent="0.3">
      <c r="AD15605" s="16"/>
    </row>
    <row r="15606" spans="30:30" x14ac:dyDescent="0.3">
      <c r="AD15606" s="16"/>
    </row>
    <row r="15607" spans="30:30" x14ac:dyDescent="0.3">
      <c r="AD15607" s="16"/>
    </row>
    <row r="15608" spans="30:30" x14ac:dyDescent="0.3">
      <c r="AD15608" s="16"/>
    </row>
    <row r="15609" spans="30:30" x14ac:dyDescent="0.3">
      <c r="AD15609" s="16"/>
    </row>
    <row r="15610" spans="30:30" x14ac:dyDescent="0.3">
      <c r="AD15610" s="16"/>
    </row>
    <row r="15611" spans="30:30" x14ac:dyDescent="0.3">
      <c r="AD15611" s="16"/>
    </row>
    <row r="15612" spans="30:30" x14ac:dyDescent="0.3">
      <c r="AD15612" s="16"/>
    </row>
    <row r="15613" spans="30:30" x14ac:dyDescent="0.3">
      <c r="AD15613" s="16"/>
    </row>
    <row r="15614" spans="30:30" x14ac:dyDescent="0.3">
      <c r="AD15614" s="16"/>
    </row>
    <row r="15615" spans="30:30" x14ac:dyDescent="0.3">
      <c r="AD15615" s="16"/>
    </row>
    <row r="15616" spans="30:30" x14ac:dyDescent="0.3">
      <c r="AD15616" s="16"/>
    </row>
    <row r="15617" spans="30:30" x14ac:dyDescent="0.3">
      <c r="AD15617" s="16"/>
    </row>
    <row r="15618" spans="30:30" x14ac:dyDescent="0.3">
      <c r="AD15618" s="16"/>
    </row>
    <row r="15619" spans="30:30" x14ac:dyDescent="0.3">
      <c r="AD15619" s="16"/>
    </row>
    <row r="15620" spans="30:30" x14ac:dyDescent="0.3">
      <c r="AD15620" s="16"/>
    </row>
    <row r="15621" spans="30:30" x14ac:dyDescent="0.3">
      <c r="AD15621" s="16"/>
    </row>
    <row r="15622" spans="30:30" x14ac:dyDescent="0.3">
      <c r="AD15622" s="16"/>
    </row>
    <row r="15623" spans="30:30" x14ac:dyDescent="0.3">
      <c r="AD15623" s="16"/>
    </row>
    <row r="15624" spans="30:30" x14ac:dyDescent="0.3">
      <c r="AD15624" s="16"/>
    </row>
    <row r="15625" spans="30:30" x14ac:dyDescent="0.3">
      <c r="AD15625" s="16"/>
    </row>
    <row r="15626" spans="30:30" x14ac:dyDescent="0.3">
      <c r="AD15626" s="16"/>
    </row>
    <row r="15627" spans="30:30" x14ac:dyDescent="0.3">
      <c r="AD15627" s="16"/>
    </row>
    <row r="15628" spans="30:30" x14ac:dyDescent="0.3">
      <c r="AD15628" s="16"/>
    </row>
    <row r="15629" spans="30:30" x14ac:dyDescent="0.3">
      <c r="AD15629" s="16"/>
    </row>
    <row r="15630" spans="30:30" x14ac:dyDescent="0.3">
      <c r="AD15630" s="16"/>
    </row>
    <row r="15631" spans="30:30" x14ac:dyDescent="0.3">
      <c r="AD15631" s="16"/>
    </row>
    <row r="15632" spans="30:30" x14ac:dyDescent="0.3">
      <c r="AD15632" s="16"/>
    </row>
    <row r="15633" spans="30:30" x14ac:dyDescent="0.3">
      <c r="AD15633" s="16"/>
    </row>
    <row r="15634" spans="30:30" x14ac:dyDescent="0.3">
      <c r="AD15634" s="16"/>
    </row>
    <row r="15635" spans="30:30" x14ac:dyDescent="0.3">
      <c r="AD15635" s="16"/>
    </row>
    <row r="15636" spans="30:30" x14ac:dyDescent="0.3">
      <c r="AD15636" s="16"/>
    </row>
    <row r="15637" spans="30:30" x14ac:dyDescent="0.3">
      <c r="AD15637" s="16"/>
    </row>
    <row r="15638" spans="30:30" x14ac:dyDescent="0.3">
      <c r="AD15638" s="16"/>
    </row>
    <row r="15639" spans="30:30" x14ac:dyDescent="0.3">
      <c r="AD15639" s="16"/>
    </row>
    <row r="15640" spans="30:30" x14ac:dyDescent="0.3">
      <c r="AD15640" s="16"/>
    </row>
    <row r="15641" spans="30:30" x14ac:dyDescent="0.3">
      <c r="AD15641" s="16"/>
    </row>
    <row r="15642" spans="30:30" x14ac:dyDescent="0.3">
      <c r="AD15642" s="16"/>
    </row>
    <row r="15643" spans="30:30" x14ac:dyDescent="0.3">
      <c r="AD15643" s="16"/>
    </row>
    <row r="15644" spans="30:30" x14ac:dyDescent="0.3">
      <c r="AD15644" s="16"/>
    </row>
    <row r="15645" spans="30:30" x14ac:dyDescent="0.3">
      <c r="AD15645" s="16"/>
    </row>
    <row r="15646" spans="30:30" x14ac:dyDescent="0.3">
      <c r="AD15646" s="16"/>
    </row>
    <row r="15647" spans="30:30" x14ac:dyDescent="0.3">
      <c r="AD15647" s="16"/>
    </row>
    <row r="15648" spans="30:30" x14ac:dyDescent="0.3">
      <c r="AD15648" s="16"/>
    </row>
    <row r="15649" spans="30:30" x14ac:dyDescent="0.3">
      <c r="AD15649" s="16"/>
    </row>
    <row r="15650" spans="30:30" x14ac:dyDescent="0.3">
      <c r="AD15650" s="16"/>
    </row>
    <row r="15651" spans="30:30" x14ac:dyDescent="0.3">
      <c r="AD15651" s="16"/>
    </row>
    <row r="15652" spans="30:30" x14ac:dyDescent="0.3">
      <c r="AD15652" s="16"/>
    </row>
    <row r="15653" spans="30:30" x14ac:dyDescent="0.3">
      <c r="AD15653" s="16"/>
    </row>
    <row r="15654" spans="30:30" x14ac:dyDescent="0.3">
      <c r="AD15654" s="16"/>
    </row>
    <row r="15655" spans="30:30" x14ac:dyDescent="0.3">
      <c r="AD15655" s="16"/>
    </row>
    <row r="15656" spans="30:30" x14ac:dyDescent="0.3">
      <c r="AD15656" s="16"/>
    </row>
    <row r="15657" spans="30:30" x14ac:dyDescent="0.3">
      <c r="AD15657" s="16"/>
    </row>
    <row r="15658" spans="30:30" x14ac:dyDescent="0.3">
      <c r="AD15658" s="16"/>
    </row>
    <row r="15659" spans="30:30" x14ac:dyDescent="0.3">
      <c r="AD15659" s="16"/>
    </row>
    <row r="15660" spans="30:30" x14ac:dyDescent="0.3">
      <c r="AD15660" s="16"/>
    </row>
    <row r="15661" spans="30:30" x14ac:dyDescent="0.3">
      <c r="AD15661" s="16"/>
    </row>
    <row r="15662" spans="30:30" x14ac:dyDescent="0.3">
      <c r="AD15662" s="16"/>
    </row>
    <row r="15663" spans="30:30" x14ac:dyDescent="0.3">
      <c r="AD15663" s="16"/>
    </row>
    <row r="15664" spans="30:30" x14ac:dyDescent="0.3">
      <c r="AD15664" s="16"/>
    </row>
    <row r="15665" spans="30:30" x14ac:dyDescent="0.3">
      <c r="AD15665" s="16"/>
    </row>
    <row r="15666" spans="30:30" x14ac:dyDescent="0.3">
      <c r="AD15666" s="16"/>
    </row>
    <row r="15667" spans="30:30" x14ac:dyDescent="0.3">
      <c r="AD15667" s="16"/>
    </row>
    <row r="15668" spans="30:30" x14ac:dyDescent="0.3">
      <c r="AD15668" s="16"/>
    </row>
    <row r="15669" spans="30:30" x14ac:dyDescent="0.3">
      <c r="AD15669" s="16"/>
    </row>
    <row r="15670" spans="30:30" x14ac:dyDescent="0.3">
      <c r="AD15670" s="16"/>
    </row>
    <row r="15671" spans="30:30" x14ac:dyDescent="0.3">
      <c r="AD15671" s="16"/>
    </row>
    <row r="15672" spans="30:30" x14ac:dyDescent="0.3">
      <c r="AD15672" s="16"/>
    </row>
    <row r="15673" spans="30:30" x14ac:dyDescent="0.3">
      <c r="AD15673" s="16"/>
    </row>
    <row r="15674" spans="30:30" x14ac:dyDescent="0.3">
      <c r="AD15674" s="16"/>
    </row>
    <row r="15675" spans="30:30" x14ac:dyDescent="0.3">
      <c r="AD15675" s="16"/>
    </row>
    <row r="15676" spans="30:30" x14ac:dyDescent="0.3">
      <c r="AD15676" s="16"/>
    </row>
    <row r="15677" spans="30:30" x14ac:dyDescent="0.3">
      <c r="AD15677" s="16"/>
    </row>
    <row r="15678" spans="30:30" x14ac:dyDescent="0.3">
      <c r="AD15678" s="16"/>
    </row>
    <row r="15679" spans="30:30" x14ac:dyDescent="0.3">
      <c r="AD15679" s="16"/>
    </row>
    <row r="15680" spans="30:30" x14ac:dyDescent="0.3">
      <c r="AD15680" s="16"/>
    </row>
    <row r="15681" spans="30:30" x14ac:dyDescent="0.3">
      <c r="AD15681" s="16"/>
    </row>
    <row r="15682" spans="30:30" x14ac:dyDescent="0.3">
      <c r="AD15682" s="16"/>
    </row>
    <row r="15683" spans="30:30" x14ac:dyDescent="0.3">
      <c r="AD15683" s="16"/>
    </row>
    <row r="15684" spans="30:30" x14ac:dyDescent="0.3">
      <c r="AD15684" s="16"/>
    </row>
    <row r="15685" spans="30:30" x14ac:dyDescent="0.3">
      <c r="AD15685" s="16"/>
    </row>
    <row r="15686" spans="30:30" x14ac:dyDescent="0.3">
      <c r="AD15686" s="16"/>
    </row>
    <row r="15687" spans="30:30" x14ac:dyDescent="0.3">
      <c r="AD15687" s="16"/>
    </row>
    <row r="15688" spans="30:30" x14ac:dyDescent="0.3">
      <c r="AD15688" s="16"/>
    </row>
    <row r="15689" spans="30:30" x14ac:dyDescent="0.3">
      <c r="AD15689" s="16"/>
    </row>
    <row r="15690" spans="30:30" x14ac:dyDescent="0.3">
      <c r="AD15690" s="16"/>
    </row>
    <row r="15691" spans="30:30" x14ac:dyDescent="0.3">
      <c r="AD15691" s="16"/>
    </row>
    <row r="15692" spans="30:30" x14ac:dyDescent="0.3">
      <c r="AD15692" s="16"/>
    </row>
    <row r="15693" spans="30:30" x14ac:dyDescent="0.3">
      <c r="AD15693" s="16"/>
    </row>
    <row r="15694" spans="30:30" x14ac:dyDescent="0.3">
      <c r="AD15694" s="16"/>
    </row>
    <row r="15695" spans="30:30" x14ac:dyDescent="0.3">
      <c r="AD15695" s="16"/>
    </row>
    <row r="15696" spans="30:30" x14ac:dyDescent="0.3">
      <c r="AD15696" s="16"/>
    </row>
    <row r="15697" spans="30:30" x14ac:dyDescent="0.3">
      <c r="AD15697" s="16"/>
    </row>
    <row r="15698" spans="30:30" x14ac:dyDescent="0.3">
      <c r="AD15698" s="16"/>
    </row>
    <row r="15699" spans="30:30" x14ac:dyDescent="0.3">
      <c r="AD15699" s="16"/>
    </row>
    <row r="15700" spans="30:30" x14ac:dyDescent="0.3">
      <c r="AD15700" s="16"/>
    </row>
    <row r="15701" spans="30:30" x14ac:dyDescent="0.3">
      <c r="AD15701" s="16"/>
    </row>
    <row r="15702" spans="30:30" x14ac:dyDescent="0.3">
      <c r="AD15702" s="16"/>
    </row>
    <row r="15703" spans="30:30" x14ac:dyDescent="0.3">
      <c r="AD15703" s="16"/>
    </row>
    <row r="15704" spans="30:30" x14ac:dyDescent="0.3">
      <c r="AD15704" s="16"/>
    </row>
    <row r="15705" spans="30:30" x14ac:dyDescent="0.3">
      <c r="AD15705" s="16"/>
    </row>
    <row r="15706" spans="30:30" x14ac:dyDescent="0.3">
      <c r="AD15706" s="16"/>
    </row>
    <row r="15707" spans="30:30" x14ac:dyDescent="0.3">
      <c r="AD15707" s="16"/>
    </row>
    <row r="15708" spans="30:30" x14ac:dyDescent="0.3">
      <c r="AD15708" s="16"/>
    </row>
    <row r="15709" spans="30:30" x14ac:dyDescent="0.3">
      <c r="AD15709" s="16"/>
    </row>
    <row r="15710" spans="30:30" x14ac:dyDescent="0.3">
      <c r="AD15710" s="16"/>
    </row>
    <row r="15711" spans="30:30" x14ac:dyDescent="0.3">
      <c r="AD15711" s="16"/>
    </row>
    <row r="15712" spans="30:30" x14ac:dyDescent="0.3">
      <c r="AD15712" s="16"/>
    </row>
    <row r="15713" spans="30:30" x14ac:dyDescent="0.3">
      <c r="AD15713" s="16"/>
    </row>
    <row r="15714" spans="30:30" x14ac:dyDescent="0.3">
      <c r="AD15714" s="16"/>
    </row>
    <row r="15715" spans="30:30" x14ac:dyDescent="0.3">
      <c r="AD15715" s="16"/>
    </row>
    <row r="15716" spans="30:30" x14ac:dyDescent="0.3">
      <c r="AD15716" s="16"/>
    </row>
    <row r="15717" spans="30:30" x14ac:dyDescent="0.3">
      <c r="AD15717" s="16"/>
    </row>
    <row r="15718" spans="30:30" x14ac:dyDescent="0.3">
      <c r="AD15718" s="16"/>
    </row>
    <row r="15719" spans="30:30" x14ac:dyDescent="0.3">
      <c r="AD15719" s="16"/>
    </row>
    <row r="15720" spans="30:30" x14ac:dyDescent="0.3">
      <c r="AD15720" s="16"/>
    </row>
    <row r="15721" spans="30:30" x14ac:dyDescent="0.3">
      <c r="AD15721" s="16"/>
    </row>
    <row r="15722" spans="30:30" x14ac:dyDescent="0.3">
      <c r="AD15722" s="16"/>
    </row>
    <row r="15723" spans="30:30" x14ac:dyDescent="0.3">
      <c r="AD15723" s="16"/>
    </row>
    <row r="15724" spans="30:30" x14ac:dyDescent="0.3">
      <c r="AD15724" s="16"/>
    </row>
    <row r="15725" spans="30:30" x14ac:dyDescent="0.3">
      <c r="AD15725" s="16"/>
    </row>
    <row r="15726" spans="30:30" x14ac:dyDescent="0.3">
      <c r="AD15726" s="16"/>
    </row>
    <row r="15727" spans="30:30" x14ac:dyDescent="0.3">
      <c r="AD15727" s="16"/>
    </row>
    <row r="15728" spans="30:30" x14ac:dyDescent="0.3">
      <c r="AD15728" s="16"/>
    </row>
    <row r="15729" spans="30:30" x14ac:dyDescent="0.3">
      <c r="AD15729" s="16"/>
    </row>
    <row r="15730" spans="30:30" x14ac:dyDescent="0.3">
      <c r="AD15730" s="16"/>
    </row>
    <row r="15731" spans="30:30" x14ac:dyDescent="0.3">
      <c r="AD15731" s="16"/>
    </row>
    <row r="15732" spans="30:30" x14ac:dyDescent="0.3">
      <c r="AD15732" s="16"/>
    </row>
    <row r="15733" spans="30:30" x14ac:dyDescent="0.3">
      <c r="AD15733" s="16"/>
    </row>
    <row r="15734" spans="30:30" x14ac:dyDescent="0.3">
      <c r="AD15734" s="16"/>
    </row>
    <row r="15735" spans="30:30" x14ac:dyDescent="0.3">
      <c r="AD15735" s="16"/>
    </row>
    <row r="15736" spans="30:30" x14ac:dyDescent="0.3">
      <c r="AD15736" s="16"/>
    </row>
    <row r="15737" spans="30:30" x14ac:dyDescent="0.3">
      <c r="AD15737" s="16"/>
    </row>
    <row r="15738" spans="30:30" x14ac:dyDescent="0.3">
      <c r="AD15738" s="16"/>
    </row>
    <row r="15739" spans="30:30" x14ac:dyDescent="0.3">
      <c r="AD15739" s="16"/>
    </row>
    <row r="15740" spans="30:30" x14ac:dyDescent="0.3">
      <c r="AD15740" s="16"/>
    </row>
    <row r="15741" spans="30:30" x14ac:dyDescent="0.3">
      <c r="AD15741" s="16"/>
    </row>
    <row r="15742" spans="30:30" x14ac:dyDescent="0.3">
      <c r="AD15742" s="16"/>
    </row>
    <row r="15743" spans="30:30" x14ac:dyDescent="0.3">
      <c r="AD15743" s="16"/>
    </row>
    <row r="15744" spans="30:30" x14ac:dyDescent="0.3">
      <c r="AD15744" s="16"/>
    </row>
    <row r="15745" spans="30:30" x14ac:dyDescent="0.3">
      <c r="AD15745" s="16"/>
    </row>
    <row r="15746" spans="30:30" x14ac:dyDescent="0.3">
      <c r="AD15746" s="16"/>
    </row>
    <row r="15747" spans="30:30" x14ac:dyDescent="0.3">
      <c r="AD15747" s="16"/>
    </row>
    <row r="15748" spans="30:30" x14ac:dyDescent="0.3">
      <c r="AD15748" s="16"/>
    </row>
    <row r="15749" spans="30:30" x14ac:dyDescent="0.3">
      <c r="AD15749" s="16"/>
    </row>
    <row r="15750" spans="30:30" x14ac:dyDescent="0.3">
      <c r="AD15750" s="16"/>
    </row>
    <row r="15751" spans="30:30" x14ac:dyDescent="0.3">
      <c r="AD15751" s="16"/>
    </row>
    <row r="15752" spans="30:30" x14ac:dyDescent="0.3">
      <c r="AD15752" s="16"/>
    </row>
    <row r="15753" spans="30:30" x14ac:dyDescent="0.3">
      <c r="AD15753" s="16"/>
    </row>
    <row r="15754" spans="30:30" x14ac:dyDescent="0.3">
      <c r="AD15754" s="16"/>
    </row>
    <row r="15755" spans="30:30" x14ac:dyDescent="0.3">
      <c r="AD15755" s="16"/>
    </row>
    <row r="15756" spans="30:30" x14ac:dyDescent="0.3">
      <c r="AD15756" s="16"/>
    </row>
    <row r="15757" spans="30:30" x14ac:dyDescent="0.3">
      <c r="AD15757" s="16"/>
    </row>
    <row r="15758" spans="30:30" x14ac:dyDescent="0.3">
      <c r="AD15758" s="16"/>
    </row>
    <row r="15759" spans="30:30" x14ac:dyDescent="0.3">
      <c r="AD15759" s="16"/>
    </row>
    <row r="15760" spans="30:30" x14ac:dyDescent="0.3">
      <c r="AD15760" s="16"/>
    </row>
    <row r="15761" spans="30:30" x14ac:dyDescent="0.3">
      <c r="AD15761" s="16"/>
    </row>
    <row r="15762" spans="30:30" x14ac:dyDescent="0.3">
      <c r="AD15762" s="16"/>
    </row>
    <row r="15763" spans="30:30" x14ac:dyDescent="0.3">
      <c r="AD15763" s="16"/>
    </row>
    <row r="15764" spans="30:30" x14ac:dyDescent="0.3">
      <c r="AD15764" s="16"/>
    </row>
    <row r="15765" spans="30:30" x14ac:dyDescent="0.3">
      <c r="AD15765" s="16"/>
    </row>
    <row r="15766" spans="30:30" x14ac:dyDescent="0.3">
      <c r="AD15766" s="16"/>
    </row>
    <row r="15767" spans="30:30" x14ac:dyDescent="0.3">
      <c r="AD15767" s="16"/>
    </row>
    <row r="15768" spans="30:30" x14ac:dyDescent="0.3">
      <c r="AD15768" s="16"/>
    </row>
    <row r="15769" spans="30:30" x14ac:dyDescent="0.3">
      <c r="AD15769" s="16"/>
    </row>
    <row r="15770" spans="30:30" x14ac:dyDescent="0.3">
      <c r="AD15770" s="16"/>
    </row>
    <row r="15771" spans="30:30" x14ac:dyDescent="0.3">
      <c r="AD15771" s="16"/>
    </row>
    <row r="15772" spans="30:30" x14ac:dyDescent="0.3">
      <c r="AD15772" s="16"/>
    </row>
    <row r="15773" spans="30:30" x14ac:dyDescent="0.3">
      <c r="AD15773" s="16"/>
    </row>
    <row r="15774" spans="30:30" x14ac:dyDescent="0.3">
      <c r="AD15774" s="16"/>
    </row>
    <row r="15775" spans="30:30" x14ac:dyDescent="0.3">
      <c r="AD15775" s="16"/>
    </row>
    <row r="15776" spans="30:30" x14ac:dyDescent="0.3">
      <c r="AD15776" s="16"/>
    </row>
    <row r="15777" spans="30:30" x14ac:dyDescent="0.3">
      <c r="AD15777" s="16"/>
    </row>
    <row r="15778" spans="30:30" x14ac:dyDescent="0.3">
      <c r="AD15778" s="16"/>
    </row>
    <row r="15779" spans="30:30" x14ac:dyDescent="0.3">
      <c r="AD15779" s="16"/>
    </row>
    <row r="15780" spans="30:30" x14ac:dyDescent="0.3">
      <c r="AD15780" s="16"/>
    </row>
    <row r="15781" spans="30:30" x14ac:dyDescent="0.3">
      <c r="AD15781" s="16"/>
    </row>
    <row r="15782" spans="30:30" x14ac:dyDescent="0.3">
      <c r="AD15782" s="16"/>
    </row>
    <row r="15783" spans="30:30" x14ac:dyDescent="0.3">
      <c r="AD15783" s="16"/>
    </row>
    <row r="15784" spans="30:30" x14ac:dyDescent="0.3">
      <c r="AD15784" s="16"/>
    </row>
    <row r="15785" spans="30:30" x14ac:dyDescent="0.3">
      <c r="AD15785" s="16"/>
    </row>
    <row r="15786" spans="30:30" x14ac:dyDescent="0.3">
      <c r="AD15786" s="16"/>
    </row>
    <row r="15787" spans="30:30" x14ac:dyDescent="0.3">
      <c r="AD15787" s="16"/>
    </row>
    <row r="15788" spans="30:30" x14ac:dyDescent="0.3">
      <c r="AD15788" s="16"/>
    </row>
    <row r="15789" spans="30:30" x14ac:dyDescent="0.3">
      <c r="AD15789" s="16"/>
    </row>
    <row r="15790" spans="30:30" x14ac:dyDescent="0.3">
      <c r="AD15790" s="16"/>
    </row>
    <row r="15791" spans="30:30" x14ac:dyDescent="0.3">
      <c r="AD15791" s="16"/>
    </row>
    <row r="15792" spans="30:30" x14ac:dyDescent="0.3">
      <c r="AD15792" s="16"/>
    </row>
    <row r="15793" spans="30:30" x14ac:dyDescent="0.3">
      <c r="AD15793" s="16"/>
    </row>
    <row r="15794" spans="30:30" x14ac:dyDescent="0.3">
      <c r="AD15794" s="16"/>
    </row>
    <row r="15795" spans="30:30" x14ac:dyDescent="0.3">
      <c r="AD15795" s="16"/>
    </row>
    <row r="15796" spans="30:30" x14ac:dyDescent="0.3">
      <c r="AD15796" s="16"/>
    </row>
    <row r="15797" spans="30:30" x14ac:dyDescent="0.3">
      <c r="AD15797" s="16"/>
    </row>
    <row r="15798" spans="30:30" x14ac:dyDescent="0.3">
      <c r="AD15798" s="16"/>
    </row>
    <row r="15799" spans="30:30" x14ac:dyDescent="0.3">
      <c r="AD15799" s="16"/>
    </row>
    <row r="15800" spans="30:30" x14ac:dyDescent="0.3">
      <c r="AD15800" s="16"/>
    </row>
    <row r="15801" spans="30:30" x14ac:dyDescent="0.3">
      <c r="AD15801" s="16"/>
    </row>
    <row r="15802" spans="30:30" x14ac:dyDescent="0.3">
      <c r="AD15802" s="16"/>
    </row>
    <row r="15803" spans="30:30" x14ac:dyDescent="0.3">
      <c r="AD15803" s="16"/>
    </row>
    <row r="15804" spans="30:30" x14ac:dyDescent="0.3">
      <c r="AD15804" s="16"/>
    </row>
    <row r="15805" spans="30:30" x14ac:dyDescent="0.3">
      <c r="AD15805" s="16"/>
    </row>
    <row r="15806" spans="30:30" x14ac:dyDescent="0.3">
      <c r="AD15806" s="16"/>
    </row>
    <row r="15807" spans="30:30" x14ac:dyDescent="0.3">
      <c r="AD15807" s="16"/>
    </row>
    <row r="15808" spans="30:30" x14ac:dyDescent="0.3">
      <c r="AD15808" s="16"/>
    </row>
    <row r="15809" spans="30:30" x14ac:dyDescent="0.3">
      <c r="AD15809" s="16"/>
    </row>
    <row r="15810" spans="30:30" x14ac:dyDescent="0.3">
      <c r="AD15810" s="16"/>
    </row>
    <row r="15811" spans="30:30" x14ac:dyDescent="0.3">
      <c r="AD15811" s="16"/>
    </row>
    <row r="15812" spans="30:30" x14ac:dyDescent="0.3">
      <c r="AD15812" s="16"/>
    </row>
    <row r="15813" spans="30:30" x14ac:dyDescent="0.3">
      <c r="AD15813" s="16"/>
    </row>
    <row r="15814" spans="30:30" x14ac:dyDescent="0.3">
      <c r="AD15814" s="16"/>
    </row>
    <row r="15815" spans="30:30" x14ac:dyDescent="0.3">
      <c r="AD15815" s="16"/>
    </row>
    <row r="15816" spans="30:30" x14ac:dyDescent="0.3">
      <c r="AD15816" s="16"/>
    </row>
    <row r="15817" spans="30:30" x14ac:dyDescent="0.3">
      <c r="AD15817" s="16"/>
    </row>
    <row r="15818" spans="30:30" x14ac:dyDescent="0.3">
      <c r="AD15818" s="16"/>
    </row>
    <row r="15819" spans="30:30" x14ac:dyDescent="0.3">
      <c r="AD15819" s="16"/>
    </row>
    <row r="15820" spans="30:30" x14ac:dyDescent="0.3">
      <c r="AD15820" s="16"/>
    </row>
    <row r="15821" spans="30:30" x14ac:dyDescent="0.3">
      <c r="AD15821" s="16"/>
    </row>
    <row r="15822" spans="30:30" x14ac:dyDescent="0.3">
      <c r="AD15822" s="16"/>
    </row>
    <row r="15823" spans="30:30" x14ac:dyDescent="0.3">
      <c r="AD15823" s="16"/>
    </row>
    <row r="15824" spans="30:30" x14ac:dyDescent="0.3">
      <c r="AD15824" s="16"/>
    </row>
    <row r="15825" spans="30:30" x14ac:dyDescent="0.3">
      <c r="AD15825" s="16"/>
    </row>
    <row r="15826" spans="30:30" x14ac:dyDescent="0.3">
      <c r="AD15826" s="16"/>
    </row>
    <row r="15827" spans="30:30" x14ac:dyDescent="0.3">
      <c r="AD15827" s="16"/>
    </row>
    <row r="15828" spans="30:30" x14ac:dyDescent="0.3">
      <c r="AD15828" s="16"/>
    </row>
    <row r="15829" spans="30:30" x14ac:dyDescent="0.3">
      <c r="AD15829" s="16"/>
    </row>
    <row r="15830" spans="30:30" x14ac:dyDescent="0.3">
      <c r="AD15830" s="16"/>
    </row>
    <row r="15831" spans="30:30" x14ac:dyDescent="0.3">
      <c r="AD15831" s="16"/>
    </row>
    <row r="15832" spans="30:30" x14ac:dyDescent="0.3">
      <c r="AD15832" s="16"/>
    </row>
    <row r="15833" spans="30:30" x14ac:dyDescent="0.3">
      <c r="AD15833" s="16"/>
    </row>
    <row r="15834" spans="30:30" x14ac:dyDescent="0.3">
      <c r="AD15834" s="16"/>
    </row>
    <row r="15835" spans="30:30" x14ac:dyDescent="0.3">
      <c r="AD15835" s="16"/>
    </row>
    <row r="15836" spans="30:30" x14ac:dyDescent="0.3">
      <c r="AD15836" s="16"/>
    </row>
    <row r="15837" spans="30:30" x14ac:dyDescent="0.3">
      <c r="AD15837" s="16"/>
    </row>
    <row r="15838" spans="30:30" x14ac:dyDescent="0.3">
      <c r="AD15838" s="16"/>
    </row>
    <row r="15839" spans="30:30" x14ac:dyDescent="0.3">
      <c r="AD15839" s="16"/>
    </row>
    <row r="15840" spans="30:30" x14ac:dyDescent="0.3">
      <c r="AD15840" s="16"/>
    </row>
    <row r="15841" spans="30:30" x14ac:dyDescent="0.3">
      <c r="AD15841" s="16"/>
    </row>
    <row r="15842" spans="30:30" x14ac:dyDescent="0.3">
      <c r="AD15842" s="16"/>
    </row>
    <row r="15843" spans="30:30" x14ac:dyDescent="0.3">
      <c r="AD15843" s="16"/>
    </row>
    <row r="15844" spans="30:30" x14ac:dyDescent="0.3">
      <c r="AD15844" s="16"/>
    </row>
    <row r="15845" spans="30:30" x14ac:dyDescent="0.3">
      <c r="AD15845" s="16"/>
    </row>
    <row r="15846" spans="30:30" x14ac:dyDescent="0.3">
      <c r="AD15846" s="16"/>
    </row>
    <row r="15847" spans="30:30" x14ac:dyDescent="0.3">
      <c r="AD15847" s="16"/>
    </row>
    <row r="15848" spans="30:30" x14ac:dyDescent="0.3">
      <c r="AD15848" s="16"/>
    </row>
    <row r="15849" spans="30:30" x14ac:dyDescent="0.3">
      <c r="AD15849" s="16"/>
    </row>
    <row r="15850" spans="30:30" x14ac:dyDescent="0.3">
      <c r="AD15850" s="16"/>
    </row>
    <row r="15851" spans="30:30" x14ac:dyDescent="0.3">
      <c r="AD15851" s="16"/>
    </row>
    <row r="15852" spans="30:30" x14ac:dyDescent="0.3">
      <c r="AD15852" s="16"/>
    </row>
    <row r="15853" spans="30:30" x14ac:dyDescent="0.3">
      <c r="AD15853" s="16"/>
    </row>
    <row r="15854" spans="30:30" x14ac:dyDescent="0.3">
      <c r="AD15854" s="16"/>
    </row>
    <row r="15855" spans="30:30" x14ac:dyDescent="0.3">
      <c r="AD15855" s="16"/>
    </row>
    <row r="15856" spans="30:30" x14ac:dyDescent="0.3">
      <c r="AD15856" s="16"/>
    </row>
    <row r="15857" spans="30:30" x14ac:dyDescent="0.3">
      <c r="AD15857" s="16"/>
    </row>
    <row r="15858" spans="30:30" x14ac:dyDescent="0.3">
      <c r="AD15858" s="16"/>
    </row>
    <row r="15859" spans="30:30" x14ac:dyDescent="0.3">
      <c r="AD15859" s="16"/>
    </row>
    <row r="15860" spans="30:30" x14ac:dyDescent="0.3">
      <c r="AD15860" s="16"/>
    </row>
    <row r="15861" spans="30:30" x14ac:dyDescent="0.3">
      <c r="AD15861" s="16"/>
    </row>
    <row r="15862" spans="30:30" x14ac:dyDescent="0.3">
      <c r="AD15862" s="16"/>
    </row>
    <row r="15863" spans="30:30" x14ac:dyDescent="0.3">
      <c r="AD15863" s="16"/>
    </row>
    <row r="15864" spans="30:30" x14ac:dyDescent="0.3">
      <c r="AD15864" s="16"/>
    </row>
    <row r="15865" spans="30:30" x14ac:dyDescent="0.3">
      <c r="AD15865" s="16"/>
    </row>
    <row r="15866" spans="30:30" x14ac:dyDescent="0.3">
      <c r="AD15866" s="16"/>
    </row>
    <row r="15867" spans="30:30" x14ac:dyDescent="0.3">
      <c r="AD15867" s="16"/>
    </row>
    <row r="15868" spans="30:30" x14ac:dyDescent="0.3">
      <c r="AD15868" s="16"/>
    </row>
    <row r="15869" spans="30:30" x14ac:dyDescent="0.3">
      <c r="AD15869" s="16"/>
    </row>
    <row r="15870" spans="30:30" x14ac:dyDescent="0.3">
      <c r="AD15870" s="16"/>
    </row>
    <row r="15871" spans="30:30" x14ac:dyDescent="0.3">
      <c r="AD15871" s="16"/>
    </row>
    <row r="15872" spans="30:30" x14ac:dyDescent="0.3">
      <c r="AD15872" s="16"/>
    </row>
    <row r="15873" spans="30:30" x14ac:dyDescent="0.3">
      <c r="AD15873" s="16"/>
    </row>
    <row r="15874" spans="30:30" x14ac:dyDescent="0.3">
      <c r="AD15874" s="16"/>
    </row>
    <row r="15875" spans="30:30" x14ac:dyDescent="0.3">
      <c r="AD15875" s="16"/>
    </row>
    <row r="15876" spans="30:30" x14ac:dyDescent="0.3">
      <c r="AD15876" s="16"/>
    </row>
    <row r="15877" spans="30:30" x14ac:dyDescent="0.3">
      <c r="AD15877" s="16"/>
    </row>
    <row r="15878" spans="30:30" x14ac:dyDescent="0.3">
      <c r="AD15878" s="16"/>
    </row>
    <row r="15879" spans="30:30" x14ac:dyDescent="0.3">
      <c r="AD15879" s="16"/>
    </row>
    <row r="15880" spans="30:30" x14ac:dyDescent="0.3">
      <c r="AD15880" s="16"/>
    </row>
    <row r="15881" spans="30:30" x14ac:dyDescent="0.3">
      <c r="AD15881" s="16"/>
    </row>
    <row r="15882" spans="30:30" x14ac:dyDescent="0.3">
      <c r="AD15882" s="16"/>
    </row>
    <row r="15883" spans="30:30" x14ac:dyDescent="0.3">
      <c r="AD15883" s="16"/>
    </row>
    <row r="15884" spans="30:30" x14ac:dyDescent="0.3">
      <c r="AD15884" s="16"/>
    </row>
    <row r="15885" spans="30:30" x14ac:dyDescent="0.3">
      <c r="AD15885" s="16"/>
    </row>
    <row r="15886" spans="30:30" x14ac:dyDescent="0.3">
      <c r="AD15886" s="16"/>
    </row>
    <row r="15887" spans="30:30" x14ac:dyDescent="0.3">
      <c r="AD15887" s="16"/>
    </row>
    <row r="15888" spans="30:30" x14ac:dyDescent="0.3">
      <c r="AD15888" s="16"/>
    </row>
    <row r="15889" spans="30:30" x14ac:dyDescent="0.3">
      <c r="AD15889" s="16"/>
    </row>
    <row r="15890" spans="30:30" x14ac:dyDescent="0.3">
      <c r="AD15890" s="16"/>
    </row>
    <row r="15891" spans="30:30" x14ac:dyDescent="0.3">
      <c r="AD15891" s="16"/>
    </row>
    <row r="15892" spans="30:30" x14ac:dyDescent="0.3">
      <c r="AD15892" s="16"/>
    </row>
    <row r="15893" spans="30:30" x14ac:dyDescent="0.3">
      <c r="AD15893" s="16"/>
    </row>
    <row r="15894" spans="30:30" x14ac:dyDescent="0.3">
      <c r="AD15894" s="16"/>
    </row>
    <row r="15895" spans="30:30" x14ac:dyDescent="0.3">
      <c r="AD15895" s="16"/>
    </row>
    <row r="15896" spans="30:30" x14ac:dyDescent="0.3">
      <c r="AD15896" s="16"/>
    </row>
    <row r="15897" spans="30:30" x14ac:dyDescent="0.3">
      <c r="AD15897" s="16"/>
    </row>
    <row r="15898" spans="30:30" x14ac:dyDescent="0.3">
      <c r="AD15898" s="16"/>
    </row>
    <row r="15899" spans="30:30" x14ac:dyDescent="0.3">
      <c r="AD15899" s="16"/>
    </row>
    <row r="15900" spans="30:30" x14ac:dyDescent="0.3">
      <c r="AD15900" s="16"/>
    </row>
    <row r="15901" spans="30:30" x14ac:dyDescent="0.3">
      <c r="AD15901" s="16"/>
    </row>
    <row r="15902" spans="30:30" x14ac:dyDescent="0.3">
      <c r="AD15902" s="16"/>
    </row>
    <row r="15903" spans="30:30" x14ac:dyDescent="0.3">
      <c r="AD15903" s="16"/>
    </row>
    <row r="15904" spans="30:30" x14ac:dyDescent="0.3">
      <c r="AD15904" s="16"/>
    </row>
    <row r="15905" spans="30:30" x14ac:dyDescent="0.3">
      <c r="AD15905" s="16"/>
    </row>
    <row r="15906" spans="30:30" x14ac:dyDescent="0.3">
      <c r="AD15906" s="16"/>
    </row>
    <row r="15907" spans="30:30" x14ac:dyDescent="0.3">
      <c r="AD15907" s="16"/>
    </row>
    <row r="15908" spans="30:30" x14ac:dyDescent="0.3">
      <c r="AD15908" s="16"/>
    </row>
    <row r="15909" spans="30:30" x14ac:dyDescent="0.3">
      <c r="AD15909" s="16"/>
    </row>
    <row r="15910" spans="30:30" x14ac:dyDescent="0.3">
      <c r="AD15910" s="16"/>
    </row>
    <row r="15911" spans="30:30" x14ac:dyDescent="0.3">
      <c r="AD15911" s="16"/>
    </row>
    <row r="15912" spans="30:30" x14ac:dyDescent="0.3">
      <c r="AD15912" s="16"/>
    </row>
    <row r="15913" spans="30:30" x14ac:dyDescent="0.3">
      <c r="AD15913" s="16"/>
    </row>
    <row r="15914" spans="30:30" x14ac:dyDescent="0.3">
      <c r="AD15914" s="16"/>
    </row>
    <row r="15915" spans="30:30" x14ac:dyDescent="0.3">
      <c r="AD15915" s="16"/>
    </row>
    <row r="15916" spans="30:30" x14ac:dyDescent="0.3">
      <c r="AD15916" s="16"/>
    </row>
    <row r="15917" spans="30:30" x14ac:dyDescent="0.3">
      <c r="AD15917" s="16"/>
    </row>
    <row r="15918" spans="30:30" x14ac:dyDescent="0.3">
      <c r="AD15918" s="16"/>
    </row>
    <row r="15919" spans="30:30" x14ac:dyDescent="0.3">
      <c r="AD15919" s="16"/>
    </row>
    <row r="15920" spans="30:30" x14ac:dyDescent="0.3">
      <c r="AD15920" s="16"/>
    </row>
    <row r="15921" spans="30:30" x14ac:dyDescent="0.3">
      <c r="AD15921" s="16"/>
    </row>
    <row r="15922" spans="30:30" x14ac:dyDescent="0.3">
      <c r="AD15922" s="16"/>
    </row>
    <row r="15923" spans="30:30" x14ac:dyDescent="0.3">
      <c r="AD15923" s="16"/>
    </row>
    <row r="15924" spans="30:30" x14ac:dyDescent="0.3">
      <c r="AD15924" s="16"/>
    </row>
    <row r="15925" spans="30:30" x14ac:dyDescent="0.3">
      <c r="AD15925" s="16"/>
    </row>
    <row r="15926" spans="30:30" x14ac:dyDescent="0.3">
      <c r="AD15926" s="16"/>
    </row>
    <row r="15927" spans="30:30" x14ac:dyDescent="0.3">
      <c r="AD15927" s="16"/>
    </row>
    <row r="15928" spans="30:30" x14ac:dyDescent="0.3">
      <c r="AD15928" s="16"/>
    </row>
    <row r="15929" spans="30:30" x14ac:dyDescent="0.3">
      <c r="AD15929" s="16"/>
    </row>
    <row r="15930" spans="30:30" x14ac:dyDescent="0.3">
      <c r="AD15930" s="16"/>
    </row>
    <row r="15931" spans="30:30" x14ac:dyDescent="0.3">
      <c r="AD15931" s="16"/>
    </row>
    <row r="15932" spans="30:30" x14ac:dyDescent="0.3">
      <c r="AD15932" s="16"/>
    </row>
    <row r="15933" spans="30:30" x14ac:dyDescent="0.3">
      <c r="AD15933" s="16"/>
    </row>
    <row r="15934" spans="30:30" x14ac:dyDescent="0.3">
      <c r="AD15934" s="16"/>
    </row>
    <row r="15935" spans="30:30" x14ac:dyDescent="0.3">
      <c r="AD15935" s="16"/>
    </row>
    <row r="15936" spans="30:30" x14ac:dyDescent="0.3">
      <c r="AD15936" s="16"/>
    </row>
    <row r="15937" spans="30:30" x14ac:dyDescent="0.3">
      <c r="AD15937" s="16"/>
    </row>
    <row r="15938" spans="30:30" x14ac:dyDescent="0.3">
      <c r="AD15938" s="16"/>
    </row>
    <row r="15939" spans="30:30" x14ac:dyDescent="0.3">
      <c r="AD15939" s="16"/>
    </row>
    <row r="15940" spans="30:30" x14ac:dyDescent="0.3">
      <c r="AD15940" s="16"/>
    </row>
    <row r="15941" spans="30:30" x14ac:dyDescent="0.3">
      <c r="AD15941" s="16"/>
    </row>
    <row r="15942" spans="30:30" x14ac:dyDescent="0.3">
      <c r="AD15942" s="16"/>
    </row>
    <row r="15943" spans="30:30" x14ac:dyDescent="0.3">
      <c r="AD15943" s="16"/>
    </row>
    <row r="15944" spans="30:30" x14ac:dyDescent="0.3">
      <c r="AD15944" s="16"/>
    </row>
    <row r="15945" spans="30:30" x14ac:dyDescent="0.3">
      <c r="AD15945" s="16"/>
    </row>
    <row r="15946" spans="30:30" x14ac:dyDescent="0.3">
      <c r="AD15946" s="16"/>
    </row>
    <row r="15947" spans="30:30" x14ac:dyDescent="0.3">
      <c r="AD15947" s="16"/>
    </row>
    <row r="15948" spans="30:30" x14ac:dyDescent="0.3">
      <c r="AD15948" s="16"/>
    </row>
    <row r="15949" spans="30:30" x14ac:dyDescent="0.3">
      <c r="AD15949" s="16"/>
    </row>
    <row r="15950" spans="30:30" x14ac:dyDescent="0.3">
      <c r="AD15950" s="16"/>
    </row>
    <row r="15951" spans="30:30" x14ac:dyDescent="0.3">
      <c r="AD15951" s="16"/>
    </row>
    <row r="15952" spans="30:30" x14ac:dyDescent="0.3">
      <c r="AD15952" s="16"/>
    </row>
    <row r="15953" spans="30:30" x14ac:dyDescent="0.3">
      <c r="AD15953" s="16"/>
    </row>
    <row r="15954" spans="30:30" x14ac:dyDescent="0.3">
      <c r="AD15954" s="16"/>
    </row>
    <row r="15955" spans="30:30" x14ac:dyDescent="0.3">
      <c r="AD15955" s="16"/>
    </row>
    <row r="15956" spans="30:30" x14ac:dyDescent="0.3">
      <c r="AD15956" s="16"/>
    </row>
    <row r="15957" spans="30:30" x14ac:dyDescent="0.3">
      <c r="AD15957" s="16"/>
    </row>
    <row r="15958" spans="30:30" x14ac:dyDescent="0.3">
      <c r="AD15958" s="16"/>
    </row>
    <row r="15959" spans="30:30" x14ac:dyDescent="0.3">
      <c r="AD15959" s="16"/>
    </row>
    <row r="15960" spans="30:30" x14ac:dyDescent="0.3">
      <c r="AD15960" s="16"/>
    </row>
    <row r="15961" spans="30:30" x14ac:dyDescent="0.3">
      <c r="AD15961" s="16"/>
    </row>
    <row r="15962" spans="30:30" x14ac:dyDescent="0.3">
      <c r="AD15962" s="16"/>
    </row>
    <row r="15963" spans="30:30" x14ac:dyDescent="0.3">
      <c r="AD15963" s="16"/>
    </row>
    <row r="15964" spans="30:30" x14ac:dyDescent="0.3">
      <c r="AD15964" s="16"/>
    </row>
    <row r="15965" spans="30:30" x14ac:dyDescent="0.3">
      <c r="AD15965" s="16"/>
    </row>
    <row r="15966" spans="30:30" x14ac:dyDescent="0.3">
      <c r="AD15966" s="16"/>
    </row>
    <row r="15967" spans="30:30" x14ac:dyDescent="0.3">
      <c r="AD15967" s="16"/>
    </row>
    <row r="15968" spans="30:30" x14ac:dyDescent="0.3">
      <c r="AD15968" s="16"/>
    </row>
    <row r="15969" spans="30:30" x14ac:dyDescent="0.3">
      <c r="AD15969" s="16"/>
    </row>
    <row r="15970" spans="30:30" x14ac:dyDescent="0.3">
      <c r="AD15970" s="16"/>
    </row>
    <row r="15971" spans="30:30" x14ac:dyDescent="0.3">
      <c r="AD15971" s="16"/>
    </row>
    <row r="15972" spans="30:30" x14ac:dyDescent="0.3">
      <c r="AD15972" s="16"/>
    </row>
    <row r="15973" spans="30:30" x14ac:dyDescent="0.3">
      <c r="AD15973" s="16"/>
    </row>
    <row r="15974" spans="30:30" x14ac:dyDescent="0.3">
      <c r="AD15974" s="16"/>
    </row>
    <row r="15975" spans="30:30" x14ac:dyDescent="0.3">
      <c r="AD15975" s="16"/>
    </row>
    <row r="15976" spans="30:30" x14ac:dyDescent="0.3">
      <c r="AD15976" s="16"/>
    </row>
    <row r="15977" spans="30:30" x14ac:dyDescent="0.3">
      <c r="AD15977" s="16"/>
    </row>
    <row r="15978" spans="30:30" x14ac:dyDescent="0.3">
      <c r="AD15978" s="16"/>
    </row>
    <row r="15979" spans="30:30" x14ac:dyDescent="0.3">
      <c r="AD15979" s="16"/>
    </row>
    <row r="15980" spans="30:30" x14ac:dyDescent="0.3">
      <c r="AD15980" s="16"/>
    </row>
    <row r="15981" spans="30:30" x14ac:dyDescent="0.3">
      <c r="AD15981" s="16"/>
    </row>
    <row r="15982" spans="30:30" x14ac:dyDescent="0.3">
      <c r="AD15982" s="16"/>
    </row>
    <row r="15983" spans="30:30" x14ac:dyDescent="0.3">
      <c r="AD15983" s="16"/>
    </row>
    <row r="15984" spans="30:30" x14ac:dyDescent="0.3">
      <c r="AD15984" s="16"/>
    </row>
    <row r="15985" spans="30:30" x14ac:dyDescent="0.3">
      <c r="AD15985" s="16"/>
    </row>
    <row r="15986" spans="30:30" x14ac:dyDescent="0.3">
      <c r="AD15986" s="16"/>
    </row>
    <row r="15987" spans="30:30" x14ac:dyDescent="0.3">
      <c r="AD15987" s="16"/>
    </row>
    <row r="15988" spans="30:30" x14ac:dyDescent="0.3">
      <c r="AD15988" s="16"/>
    </row>
    <row r="15989" spans="30:30" x14ac:dyDescent="0.3">
      <c r="AD15989" s="16"/>
    </row>
    <row r="15990" spans="30:30" x14ac:dyDescent="0.3">
      <c r="AD15990" s="16"/>
    </row>
    <row r="15991" spans="30:30" x14ac:dyDescent="0.3">
      <c r="AD15991" s="16"/>
    </row>
    <row r="15992" spans="30:30" x14ac:dyDescent="0.3">
      <c r="AD15992" s="16"/>
    </row>
    <row r="15993" spans="30:30" x14ac:dyDescent="0.3">
      <c r="AD15993" s="16"/>
    </row>
    <row r="15994" spans="30:30" x14ac:dyDescent="0.3">
      <c r="AD15994" s="16"/>
    </row>
    <row r="15995" spans="30:30" x14ac:dyDescent="0.3">
      <c r="AD15995" s="16"/>
    </row>
    <row r="15996" spans="30:30" x14ac:dyDescent="0.3">
      <c r="AD15996" s="16"/>
    </row>
    <row r="15997" spans="30:30" x14ac:dyDescent="0.3">
      <c r="AD15997" s="16"/>
    </row>
    <row r="15998" spans="30:30" x14ac:dyDescent="0.3">
      <c r="AD15998" s="16"/>
    </row>
    <row r="15999" spans="30:30" x14ac:dyDescent="0.3">
      <c r="AD15999" s="16"/>
    </row>
    <row r="16000" spans="30:30" x14ac:dyDescent="0.3">
      <c r="AD16000" s="16"/>
    </row>
    <row r="16001" spans="30:30" x14ac:dyDescent="0.3">
      <c r="AD16001" s="16"/>
    </row>
    <row r="16002" spans="30:30" x14ac:dyDescent="0.3">
      <c r="AD16002" s="16"/>
    </row>
    <row r="16003" spans="30:30" x14ac:dyDescent="0.3">
      <c r="AD16003" s="16"/>
    </row>
    <row r="16004" spans="30:30" x14ac:dyDescent="0.3">
      <c r="AD16004" s="16"/>
    </row>
    <row r="16005" spans="30:30" x14ac:dyDescent="0.3">
      <c r="AD16005" s="16"/>
    </row>
    <row r="16006" spans="30:30" x14ac:dyDescent="0.3">
      <c r="AD16006" s="16"/>
    </row>
    <row r="16007" spans="30:30" x14ac:dyDescent="0.3">
      <c r="AD16007" s="16"/>
    </row>
    <row r="16008" spans="30:30" x14ac:dyDescent="0.3">
      <c r="AD16008" s="16"/>
    </row>
    <row r="16009" spans="30:30" x14ac:dyDescent="0.3">
      <c r="AD16009" s="16"/>
    </row>
    <row r="16010" spans="30:30" x14ac:dyDescent="0.3">
      <c r="AD16010" s="16"/>
    </row>
    <row r="16011" spans="30:30" x14ac:dyDescent="0.3">
      <c r="AD16011" s="16"/>
    </row>
    <row r="16012" spans="30:30" x14ac:dyDescent="0.3">
      <c r="AD16012" s="16"/>
    </row>
    <row r="16013" spans="30:30" x14ac:dyDescent="0.3">
      <c r="AD16013" s="16"/>
    </row>
    <row r="16014" spans="30:30" x14ac:dyDescent="0.3">
      <c r="AD16014" s="16"/>
    </row>
    <row r="16015" spans="30:30" x14ac:dyDescent="0.3">
      <c r="AD16015" s="16"/>
    </row>
    <row r="16016" spans="30:30" x14ac:dyDescent="0.3">
      <c r="AD16016" s="16"/>
    </row>
    <row r="16017" spans="30:30" x14ac:dyDescent="0.3">
      <c r="AD16017" s="16"/>
    </row>
    <row r="16018" spans="30:30" x14ac:dyDescent="0.3">
      <c r="AD16018" s="16"/>
    </row>
    <row r="16019" spans="30:30" x14ac:dyDescent="0.3">
      <c r="AD16019" s="16"/>
    </row>
    <row r="16020" spans="30:30" x14ac:dyDescent="0.3">
      <c r="AD16020" s="16"/>
    </row>
    <row r="16021" spans="30:30" x14ac:dyDescent="0.3">
      <c r="AD16021" s="16"/>
    </row>
    <row r="16022" spans="30:30" x14ac:dyDescent="0.3">
      <c r="AD16022" s="16"/>
    </row>
    <row r="16023" spans="30:30" x14ac:dyDescent="0.3">
      <c r="AD16023" s="16"/>
    </row>
    <row r="16024" spans="30:30" x14ac:dyDescent="0.3">
      <c r="AD16024" s="16"/>
    </row>
    <row r="16025" spans="30:30" x14ac:dyDescent="0.3">
      <c r="AD16025" s="16"/>
    </row>
    <row r="16026" spans="30:30" x14ac:dyDescent="0.3">
      <c r="AD16026" s="16"/>
    </row>
    <row r="16027" spans="30:30" x14ac:dyDescent="0.3">
      <c r="AD16027" s="16"/>
    </row>
    <row r="16028" spans="30:30" x14ac:dyDescent="0.3">
      <c r="AD16028" s="16"/>
    </row>
    <row r="16029" spans="30:30" x14ac:dyDescent="0.3">
      <c r="AD16029" s="16"/>
    </row>
    <row r="16030" spans="30:30" x14ac:dyDescent="0.3">
      <c r="AD16030" s="16"/>
    </row>
    <row r="16031" spans="30:30" x14ac:dyDescent="0.3">
      <c r="AD16031" s="16"/>
    </row>
    <row r="16032" spans="30:30" x14ac:dyDescent="0.3">
      <c r="AD16032" s="16"/>
    </row>
    <row r="16033" spans="30:30" x14ac:dyDescent="0.3">
      <c r="AD16033" s="16"/>
    </row>
    <row r="16034" spans="30:30" x14ac:dyDescent="0.3">
      <c r="AD16034" s="16"/>
    </row>
    <row r="16035" spans="30:30" x14ac:dyDescent="0.3">
      <c r="AD16035" s="16"/>
    </row>
    <row r="16036" spans="30:30" x14ac:dyDescent="0.3">
      <c r="AD16036" s="16"/>
    </row>
    <row r="16037" spans="30:30" x14ac:dyDescent="0.3">
      <c r="AD16037" s="16"/>
    </row>
    <row r="16038" spans="30:30" x14ac:dyDescent="0.3">
      <c r="AD16038" s="16"/>
    </row>
    <row r="16039" spans="30:30" x14ac:dyDescent="0.3">
      <c r="AD16039" s="16"/>
    </row>
    <row r="16040" spans="30:30" x14ac:dyDescent="0.3">
      <c r="AD16040" s="16"/>
    </row>
    <row r="16041" spans="30:30" x14ac:dyDescent="0.3">
      <c r="AD16041" s="16"/>
    </row>
    <row r="16042" spans="30:30" x14ac:dyDescent="0.3">
      <c r="AD16042" s="16"/>
    </row>
    <row r="16043" spans="30:30" x14ac:dyDescent="0.3">
      <c r="AD16043" s="16"/>
    </row>
    <row r="16044" spans="30:30" x14ac:dyDescent="0.3">
      <c r="AD16044" s="16"/>
    </row>
    <row r="16045" spans="30:30" x14ac:dyDescent="0.3">
      <c r="AD16045" s="16"/>
    </row>
    <row r="16046" spans="30:30" x14ac:dyDescent="0.3">
      <c r="AD16046" s="16"/>
    </row>
    <row r="16047" spans="30:30" x14ac:dyDescent="0.3">
      <c r="AD16047" s="16"/>
    </row>
    <row r="16048" spans="30:30" x14ac:dyDescent="0.3">
      <c r="AD16048" s="16"/>
    </row>
    <row r="16049" spans="30:30" x14ac:dyDescent="0.3">
      <c r="AD16049" s="16"/>
    </row>
    <row r="16050" spans="30:30" x14ac:dyDescent="0.3">
      <c r="AD16050" s="16"/>
    </row>
    <row r="16051" spans="30:30" x14ac:dyDescent="0.3">
      <c r="AD16051" s="16"/>
    </row>
    <row r="16052" spans="30:30" x14ac:dyDescent="0.3">
      <c r="AD16052" s="16"/>
    </row>
    <row r="16053" spans="30:30" x14ac:dyDescent="0.3">
      <c r="AD16053" s="16"/>
    </row>
    <row r="16054" spans="30:30" x14ac:dyDescent="0.3">
      <c r="AD16054" s="16"/>
    </row>
    <row r="16055" spans="30:30" x14ac:dyDescent="0.3">
      <c r="AD16055" s="16"/>
    </row>
    <row r="16056" spans="30:30" x14ac:dyDescent="0.3">
      <c r="AD16056" s="16"/>
    </row>
    <row r="16057" spans="30:30" x14ac:dyDescent="0.3">
      <c r="AD16057" s="16"/>
    </row>
    <row r="16058" spans="30:30" x14ac:dyDescent="0.3">
      <c r="AD16058" s="16"/>
    </row>
    <row r="16059" spans="30:30" x14ac:dyDescent="0.3">
      <c r="AD16059" s="16"/>
    </row>
    <row r="16060" spans="30:30" x14ac:dyDescent="0.3">
      <c r="AD16060" s="16"/>
    </row>
    <row r="16061" spans="30:30" x14ac:dyDescent="0.3">
      <c r="AD16061" s="16"/>
    </row>
    <row r="16062" spans="30:30" x14ac:dyDescent="0.3">
      <c r="AD16062" s="16"/>
    </row>
    <row r="16063" spans="30:30" x14ac:dyDescent="0.3">
      <c r="AD16063" s="16"/>
    </row>
    <row r="16064" spans="30:30" x14ac:dyDescent="0.3">
      <c r="AD16064" s="16"/>
    </row>
    <row r="16065" spans="30:30" x14ac:dyDescent="0.3">
      <c r="AD16065" s="16"/>
    </row>
    <row r="16066" spans="30:30" x14ac:dyDescent="0.3">
      <c r="AD16066" s="16"/>
    </row>
    <row r="16067" spans="30:30" x14ac:dyDescent="0.3">
      <c r="AD16067" s="16"/>
    </row>
    <row r="16068" spans="30:30" x14ac:dyDescent="0.3">
      <c r="AD16068" s="16"/>
    </row>
    <row r="16069" spans="30:30" x14ac:dyDescent="0.3">
      <c r="AD16069" s="16"/>
    </row>
    <row r="16070" spans="30:30" x14ac:dyDescent="0.3">
      <c r="AD16070" s="16"/>
    </row>
    <row r="16071" spans="30:30" x14ac:dyDescent="0.3">
      <c r="AD16071" s="16"/>
    </row>
    <row r="16072" spans="30:30" x14ac:dyDescent="0.3">
      <c r="AD16072" s="16"/>
    </row>
    <row r="16073" spans="30:30" x14ac:dyDescent="0.3">
      <c r="AD16073" s="16"/>
    </row>
    <row r="16074" spans="30:30" x14ac:dyDescent="0.3">
      <c r="AD16074" s="16"/>
    </row>
    <row r="16075" spans="30:30" x14ac:dyDescent="0.3">
      <c r="AD16075" s="16"/>
    </row>
    <row r="16076" spans="30:30" x14ac:dyDescent="0.3">
      <c r="AD16076" s="16"/>
    </row>
    <row r="16077" spans="30:30" x14ac:dyDescent="0.3">
      <c r="AD16077" s="16"/>
    </row>
    <row r="16078" spans="30:30" x14ac:dyDescent="0.3">
      <c r="AD16078" s="16"/>
    </row>
    <row r="16079" spans="30:30" x14ac:dyDescent="0.3">
      <c r="AD16079" s="16"/>
    </row>
    <row r="16080" spans="30:30" x14ac:dyDescent="0.3">
      <c r="AD16080" s="16"/>
    </row>
    <row r="16081" spans="30:30" x14ac:dyDescent="0.3">
      <c r="AD16081" s="16"/>
    </row>
    <row r="16082" spans="30:30" x14ac:dyDescent="0.3">
      <c r="AD16082" s="16"/>
    </row>
    <row r="16083" spans="30:30" x14ac:dyDescent="0.3">
      <c r="AD16083" s="16"/>
    </row>
    <row r="16084" spans="30:30" x14ac:dyDescent="0.3">
      <c r="AD16084" s="16"/>
    </row>
    <row r="16085" spans="30:30" x14ac:dyDescent="0.3">
      <c r="AD16085" s="16"/>
    </row>
    <row r="16086" spans="30:30" x14ac:dyDescent="0.3">
      <c r="AD16086" s="16"/>
    </row>
    <row r="16087" spans="30:30" x14ac:dyDescent="0.3">
      <c r="AD16087" s="16"/>
    </row>
    <row r="16088" spans="30:30" x14ac:dyDescent="0.3">
      <c r="AD16088" s="16"/>
    </row>
    <row r="16089" spans="30:30" x14ac:dyDescent="0.3">
      <c r="AD16089" s="16"/>
    </row>
    <row r="16090" spans="30:30" x14ac:dyDescent="0.3">
      <c r="AD16090" s="16"/>
    </row>
    <row r="16091" spans="30:30" x14ac:dyDescent="0.3">
      <c r="AD16091" s="16"/>
    </row>
    <row r="16092" spans="30:30" x14ac:dyDescent="0.3">
      <c r="AD16092" s="16"/>
    </row>
    <row r="16093" spans="30:30" x14ac:dyDescent="0.3">
      <c r="AD16093" s="16"/>
    </row>
    <row r="16094" spans="30:30" x14ac:dyDescent="0.3">
      <c r="AD16094" s="16"/>
    </row>
    <row r="16095" spans="30:30" x14ac:dyDescent="0.3">
      <c r="AD16095" s="16"/>
    </row>
    <row r="16096" spans="30:30" x14ac:dyDescent="0.3">
      <c r="AD16096" s="16"/>
    </row>
    <row r="16097" spans="30:30" x14ac:dyDescent="0.3">
      <c r="AD16097" s="16"/>
    </row>
    <row r="16098" spans="30:30" x14ac:dyDescent="0.3">
      <c r="AD16098" s="16"/>
    </row>
    <row r="16099" spans="30:30" x14ac:dyDescent="0.3">
      <c r="AD16099" s="16"/>
    </row>
    <row r="16100" spans="30:30" x14ac:dyDescent="0.3">
      <c r="AD16100" s="16"/>
    </row>
    <row r="16101" spans="30:30" x14ac:dyDescent="0.3">
      <c r="AD16101" s="16"/>
    </row>
    <row r="16102" spans="30:30" x14ac:dyDescent="0.3">
      <c r="AD16102" s="16"/>
    </row>
    <row r="16103" spans="30:30" x14ac:dyDescent="0.3">
      <c r="AD16103" s="16"/>
    </row>
    <row r="16104" spans="30:30" x14ac:dyDescent="0.3">
      <c r="AD16104" s="16"/>
    </row>
    <row r="16105" spans="30:30" x14ac:dyDescent="0.3">
      <c r="AD16105" s="16"/>
    </row>
    <row r="16106" spans="30:30" x14ac:dyDescent="0.3">
      <c r="AD16106" s="16"/>
    </row>
    <row r="16107" spans="30:30" x14ac:dyDescent="0.3">
      <c r="AD16107" s="16"/>
    </row>
    <row r="16108" spans="30:30" x14ac:dyDescent="0.3">
      <c r="AD16108" s="16"/>
    </row>
    <row r="16109" spans="30:30" x14ac:dyDescent="0.3">
      <c r="AD16109" s="16"/>
    </row>
    <row r="16110" spans="30:30" x14ac:dyDescent="0.3">
      <c r="AD16110" s="16"/>
    </row>
    <row r="16111" spans="30:30" x14ac:dyDescent="0.3">
      <c r="AD16111" s="16"/>
    </row>
    <row r="16112" spans="30:30" x14ac:dyDescent="0.3">
      <c r="AD16112" s="16"/>
    </row>
    <row r="16113" spans="30:30" x14ac:dyDescent="0.3">
      <c r="AD16113" s="16"/>
    </row>
    <row r="16114" spans="30:30" x14ac:dyDescent="0.3">
      <c r="AD16114" s="16"/>
    </row>
    <row r="16115" spans="30:30" x14ac:dyDescent="0.3">
      <c r="AD16115" s="16"/>
    </row>
    <row r="16116" spans="30:30" x14ac:dyDescent="0.3">
      <c r="AD16116" s="16"/>
    </row>
    <row r="16117" spans="30:30" x14ac:dyDescent="0.3">
      <c r="AD16117" s="16"/>
    </row>
    <row r="16118" spans="30:30" x14ac:dyDescent="0.3">
      <c r="AD16118" s="16"/>
    </row>
    <row r="16119" spans="30:30" x14ac:dyDescent="0.3">
      <c r="AD16119" s="16"/>
    </row>
    <row r="16120" spans="30:30" x14ac:dyDescent="0.3">
      <c r="AD16120" s="16"/>
    </row>
    <row r="16121" spans="30:30" x14ac:dyDescent="0.3">
      <c r="AD16121" s="16"/>
    </row>
    <row r="16122" spans="30:30" x14ac:dyDescent="0.3">
      <c r="AD16122" s="16"/>
    </row>
    <row r="16123" spans="30:30" x14ac:dyDescent="0.3">
      <c r="AD16123" s="16"/>
    </row>
    <row r="16124" spans="30:30" x14ac:dyDescent="0.3">
      <c r="AD16124" s="16"/>
    </row>
    <row r="16125" spans="30:30" x14ac:dyDescent="0.3">
      <c r="AD16125" s="16"/>
    </row>
    <row r="16126" spans="30:30" x14ac:dyDescent="0.3">
      <c r="AD16126" s="16"/>
    </row>
    <row r="16127" spans="30:30" x14ac:dyDescent="0.3">
      <c r="AD16127" s="16"/>
    </row>
    <row r="16128" spans="30:30" x14ac:dyDescent="0.3">
      <c r="AD16128" s="16"/>
    </row>
    <row r="16129" spans="30:30" x14ac:dyDescent="0.3">
      <c r="AD16129" s="16"/>
    </row>
    <row r="16130" spans="30:30" x14ac:dyDescent="0.3">
      <c r="AD16130" s="16"/>
    </row>
    <row r="16131" spans="30:30" x14ac:dyDescent="0.3">
      <c r="AD16131" s="16"/>
    </row>
    <row r="16132" spans="30:30" x14ac:dyDescent="0.3">
      <c r="AD16132" s="16"/>
    </row>
    <row r="16133" spans="30:30" x14ac:dyDescent="0.3">
      <c r="AD16133" s="16"/>
    </row>
    <row r="16134" spans="30:30" x14ac:dyDescent="0.3">
      <c r="AD16134" s="16"/>
    </row>
    <row r="16135" spans="30:30" x14ac:dyDescent="0.3">
      <c r="AD16135" s="16"/>
    </row>
    <row r="16136" spans="30:30" x14ac:dyDescent="0.3">
      <c r="AD16136" s="16"/>
    </row>
    <row r="16137" spans="30:30" x14ac:dyDescent="0.3">
      <c r="AD16137" s="16"/>
    </row>
    <row r="16138" spans="30:30" x14ac:dyDescent="0.3">
      <c r="AD16138" s="16"/>
    </row>
    <row r="16139" spans="30:30" x14ac:dyDescent="0.3">
      <c r="AD16139" s="16"/>
    </row>
    <row r="16140" spans="30:30" x14ac:dyDescent="0.3">
      <c r="AD16140" s="16"/>
    </row>
    <row r="16141" spans="30:30" x14ac:dyDescent="0.3">
      <c r="AD16141" s="16"/>
    </row>
    <row r="16142" spans="30:30" x14ac:dyDescent="0.3">
      <c r="AD16142" s="16"/>
    </row>
    <row r="16143" spans="30:30" x14ac:dyDescent="0.3">
      <c r="AD16143" s="16"/>
    </row>
    <row r="16144" spans="30:30" x14ac:dyDescent="0.3">
      <c r="AD16144" s="16"/>
    </row>
    <row r="16145" spans="30:30" x14ac:dyDescent="0.3">
      <c r="AD16145" s="16"/>
    </row>
    <row r="16146" spans="30:30" x14ac:dyDescent="0.3">
      <c r="AD16146" s="16"/>
    </row>
    <row r="16147" spans="30:30" x14ac:dyDescent="0.3">
      <c r="AD16147" s="16"/>
    </row>
    <row r="16148" spans="30:30" x14ac:dyDescent="0.3">
      <c r="AD16148" s="16"/>
    </row>
    <row r="16149" spans="30:30" x14ac:dyDescent="0.3">
      <c r="AD16149" s="16"/>
    </row>
    <row r="16150" spans="30:30" x14ac:dyDescent="0.3">
      <c r="AD16150" s="16"/>
    </row>
    <row r="16151" spans="30:30" x14ac:dyDescent="0.3">
      <c r="AD16151" s="16"/>
    </row>
    <row r="16152" spans="30:30" x14ac:dyDescent="0.3">
      <c r="AD16152" s="16"/>
    </row>
    <row r="16153" spans="30:30" x14ac:dyDescent="0.3">
      <c r="AD16153" s="16"/>
    </row>
    <row r="16154" spans="30:30" x14ac:dyDescent="0.3">
      <c r="AD16154" s="16"/>
    </row>
    <row r="16155" spans="30:30" x14ac:dyDescent="0.3">
      <c r="AD16155" s="16"/>
    </row>
    <row r="16156" spans="30:30" x14ac:dyDescent="0.3">
      <c r="AD16156" s="16"/>
    </row>
    <row r="16157" spans="30:30" x14ac:dyDescent="0.3">
      <c r="AD16157" s="16"/>
    </row>
    <row r="16158" spans="30:30" x14ac:dyDescent="0.3">
      <c r="AD16158" s="16"/>
    </row>
    <row r="16159" spans="30:30" x14ac:dyDescent="0.3">
      <c r="AD16159" s="16"/>
    </row>
    <row r="16160" spans="30:30" x14ac:dyDescent="0.3">
      <c r="AD16160" s="16"/>
    </row>
    <row r="16161" spans="30:30" x14ac:dyDescent="0.3">
      <c r="AD16161" s="16"/>
    </row>
    <row r="16162" spans="30:30" x14ac:dyDescent="0.3">
      <c r="AD16162" s="16"/>
    </row>
    <row r="16163" spans="30:30" x14ac:dyDescent="0.3">
      <c r="AD16163" s="16"/>
    </row>
    <row r="16164" spans="30:30" x14ac:dyDescent="0.3">
      <c r="AD16164" s="16"/>
    </row>
    <row r="16165" spans="30:30" x14ac:dyDescent="0.3">
      <c r="AD16165" s="16"/>
    </row>
    <row r="16166" spans="30:30" x14ac:dyDescent="0.3">
      <c r="AD16166" s="16"/>
    </row>
    <row r="16167" spans="30:30" x14ac:dyDescent="0.3">
      <c r="AD16167" s="16"/>
    </row>
    <row r="16168" spans="30:30" x14ac:dyDescent="0.3">
      <c r="AD16168" s="16"/>
    </row>
    <row r="16169" spans="30:30" x14ac:dyDescent="0.3">
      <c r="AD16169" s="16"/>
    </row>
    <row r="16170" spans="30:30" x14ac:dyDescent="0.3">
      <c r="AD16170" s="16"/>
    </row>
    <row r="16171" spans="30:30" x14ac:dyDescent="0.3">
      <c r="AD16171" s="16"/>
    </row>
    <row r="16172" spans="30:30" x14ac:dyDescent="0.3">
      <c r="AD16172" s="16"/>
    </row>
    <row r="16173" spans="30:30" x14ac:dyDescent="0.3">
      <c r="AD16173" s="16"/>
    </row>
    <row r="16174" spans="30:30" x14ac:dyDescent="0.3">
      <c r="AD16174" s="16"/>
    </row>
    <row r="16175" spans="30:30" x14ac:dyDescent="0.3">
      <c r="AD16175" s="16"/>
    </row>
    <row r="16176" spans="30:30" x14ac:dyDescent="0.3">
      <c r="AD16176" s="16"/>
    </row>
    <row r="16177" spans="30:30" x14ac:dyDescent="0.3">
      <c r="AD16177" s="16"/>
    </row>
    <row r="16178" spans="30:30" x14ac:dyDescent="0.3">
      <c r="AD16178" s="16"/>
    </row>
    <row r="16179" spans="30:30" x14ac:dyDescent="0.3">
      <c r="AD16179" s="16"/>
    </row>
    <row r="16180" spans="30:30" x14ac:dyDescent="0.3">
      <c r="AD16180" s="16"/>
    </row>
    <row r="16181" spans="30:30" x14ac:dyDescent="0.3">
      <c r="AD16181" s="16"/>
    </row>
    <row r="16182" spans="30:30" x14ac:dyDescent="0.3">
      <c r="AD16182" s="16"/>
    </row>
    <row r="16183" spans="30:30" x14ac:dyDescent="0.3">
      <c r="AD16183" s="16"/>
    </row>
    <row r="16184" spans="30:30" x14ac:dyDescent="0.3">
      <c r="AD16184" s="16"/>
    </row>
    <row r="16185" spans="30:30" x14ac:dyDescent="0.3">
      <c r="AD16185" s="16"/>
    </row>
    <row r="16186" spans="30:30" x14ac:dyDescent="0.3">
      <c r="AD16186" s="16"/>
    </row>
    <row r="16187" spans="30:30" x14ac:dyDescent="0.3">
      <c r="AD16187" s="16"/>
    </row>
    <row r="16188" spans="30:30" x14ac:dyDescent="0.3">
      <c r="AD16188" s="16"/>
    </row>
    <row r="16189" spans="30:30" x14ac:dyDescent="0.3">
      <c r="AD16189" s="16"/>
    </row>
    <row r="16190" spans="30:30" x14ac:dyDescent="0.3">
      <c r="AD16190" s="16"/>
    </row>
    <row r="16191" spans="30:30" x14ac:dyDescent="0.3">
      <c r="AD16191" s="16"/>
    </row>
    <row r="16192" spans="30:30" x14ac:dyDescent="0.3">
      <c r="AD16192" s="16"/>
    </row>
    <row r="16193" spans="30:30" x14ac:dyDescent="0.3">
      <c r="AD16193" s="16"/>
    </row>
    <row r="16194" spans="30:30" x14ac:dyDescent="0.3">
      <c r="AD16194" s="16"/>
    </row>
    <row r="16195" spans="30:30" x14ac:dyDescent="0.3">
      <c r="AD16195" s="16"/>
    </row>
    <row r="16196" spans="30:30" x14ac:dyDescent="0.3">
      <c r="AD16196" s="16"/>
    </row>
    <row r="16197" spans="30:30" x14ac:dyDescent="0.3">
      <c r="AD16197" s="16"/>
    </row>
    <row r="16198" spans="30:30" x14ac:dyDescent="0.3">
      <c r="AD16198" s="16"/>
    </row>
    <row r="16199" spans="30:30" x14ac:dyDescent="0.3">
      <c r="AD16199" s="16"/>
    </row>
    <row r="16200" spans="30:30" x14ac:dyDescent="0.3">
      <c r="AD16200" s="16"/>
    </row>
    <row r="16201" spans="30:30" x14ac:dyDescent="0.3">
      <c r="AD16201" s="16"/>
    </row>
    <row r="16202" spans="30:30" x14ac:dyDescent="0.3">
      <c r="AD16202" s="16"/>
    </row>
    <row r="16203" spans="30:30" x14ac:dyDescent="0.3">
      <c r="AD16203" s="16"/>
    </row>
    <row r="16204" spans="30:30" x14ac:dyDescent="0.3">
      <c r="AD16204" s="16"/>
    </row>
    <row r="16205" spans="30:30" x14ac:dyDescent="0.3">
      <c r="AD16205" s="16"/>
    </row>
    <row r="16206" spans="30:30" x14ac:dyDescent="0.3">
      <c r="AD16206" s="16"/>
    </row>
    <row r="16207" spans="30:30" x14ac:dyDescent="0.3">
      <c r="AD16207" s="16"/>
    </row>
    <row r="16208" spans="30:30" x14ac:dyDescent="0.3">
      <c r="AD16208" s="16"/>
    </row>
    <row r="16209" spans="30:30" x14ac:dyDescent="0.3">
      <c r="AD16209" s="16"/>
    </row>
    <row r="16210" spans="30:30" x14ac:dyDescent="0.3">
      <c r="AD16210" s="16"/>
    </row>
    <row r="16211" spans="30:30" x14ac:dyDescent="0.3">
      <c r="AD16211" s="16"/>
    </row>
    <row r="16212" spans="30:30" x14ac:dyDescent="0.3">
      <c r="AD16212" s="16"/>
    </row>
    <row r="16213" spans="30:30" x14ac:dyDescent="0.3">
      <c r="AD16213" s="16"/>
    </row>
    <row r="16214" spans="30:30" x14ac:dyDescent="0.3">
      <c r="AD16214" s="16"/>
    </row>
    <row r="16215" spans="30:30" x14ac:dyDescent="0.3">
      <c r="AD16215" s="16"/>
    </row>
    <row r="16216" spans="30:30" x14ac:dyDescent="0.3">
      <c r="AD16216" s="16"/>
    </row>
    <row r="16217" spans="30:30" x14ac:dyDescent="0.3">
      <c r="AD16217" s="16"/>
    </row>
    <row r="16218" spans="30:30" x14ac:dyDescent="0.3">
      <c r="AD16218" s="16"/>
    </row>
    <row r="16219" spans="30:30" x14ac:dyDescent="0.3">
      <c r="AD16219" s="16"/>
    </row>
    <row r="16220" spans="30:30" x14ac:dyDescent="0.3">
      <c r="AD16220" s="16"/>
    </row>
    <row r="16221" spans="30:30" x14ac:dyDescent="0.3">
      <c r="AD16221" s="16"/>
    </row>
    <row r="16222" spans="30:30" x14ac:dyDescent="0.3">
      <c r="AD16222" s="16"/>
    </row>
    <row r="16223" spans="30:30" x14ac:dyDescent="0.3">
      <c r="AD16223" s="16"/>
    </row>
    <row r="16224" spans="30:30" x14ac:dyDescent="0.3">
      <c r="AD16224" s="16"/>
    </row>
    <row r="16225" spans="30:30" x14ac:dyDescent="0.3">
      <c r="AD16225" s="16"/>
    </row>
    <row r="16226" spans="30:30" x14ac:dyDescent="0.3">
      <c r="AD16226" s="16"/>
    </row>
    <row r="16227" spans="30:30" x14ac:dyDescent="0.3">
      <c r="AD16227" s="16"/>
    </row>
    <row r="16228" spans="30:30" x14ac:dyDescent="0.3">
      <c r="AD16228" s="16"/>
    </row>
    <row r="16229" spans="30:30" x14ac:dyDescent="0.3">
      <c r="AD16229" s="16"/>
    </row>
    <row r="16230" spans="30:30" x14ac:dyDescent="0.3">
      <c r="AD16230" s="16"/>
    </row>
    <row r="16231" spans="30:30" x14ac:dyDescent="0.3">
      <c r="AD16231" s="16"/>
    </row>
    <row r="16232" spans="30:30" x14ac:dyDescent="0.3">
      <c r="AD16232" s="16"/>
    </row>
    <row r="16233" spans="30:30" x14ac:dyDescent="0.3">
      <c r="AD16233" s="16"/>
    </row>
    <row r="16234" spans="30:30" x14ac:dyDescent="0.3">
      <c r="AD16234" s="16"/>
    </row>
    <row r="16235" spans="30:30" x14ac:dyDescent="0.3">
      <c r="AD16235" s="16"/>
    </row>
    <row r="16236" spans="30:30" x14ac:dyDescent="0.3">
      <c r="AD16236" s="16"/>
    </row>
    <row r="16237" spans="30:30" x14ac:dyDescent="0.3">
      <c r="AD16237" s="16"/>
    </row>
    <row r="16238" spans="30:30" x14ac:dyDescent="0.3">
      <c r="AD16238" s="16"/>
    </row>
    <row r="16239" spans="30:30" x14ac:dyDescent="0.3">
      <c r="AD16239" s="16"/>
    </row>
    <row r="16240" spans="30:30" x14ac:dyDescent="0.3">
      <c r="AD16240" s="16"/>
    </row>
    <row r="16241" spans="30:30" x14ac:dyDescent="0.3">
      <c r="AD16241" s="16"/>
    </row>
    <row r="16242" spans="30:30" x14ac:dyDescent="0.3">
      <c r="AD16242" s="16"/>
    </row>
    <row r="16243" spans="30:30" x14ac:dyDescent="0.3">
      <c r="AD16243" s="16"/>
    </row>
    <row r="16244" spans="30:30" x14ac:dyDescent="0.3">
      <c r="AD16244" s="16"/>
    </row>
    <row r="16245" spans="30:30" x14ac:dyDescent="0.3">
      <c r="AD16245" s="16"/>
    </row>
    <row r="16246" spans="30:30" x14ac:dyDescent="0.3">
      <c r="AD16246" s="16"/>
    </row>
    <row r="16247" spans="30:30" x14ac:dyDescent="0.3">
      <c r="AD16247" s="16"/>
    </row>
    <row r="16248" spans="30:30" x14ac:dyDescent="0.3">
      <c r="AD16248" s="16"/>
    </row>
    <row r="16249" spans="30:30" x14ac:dyDescent="0.3">
      <c r="AD16249" s="16"/>
    </row>
    <row r="16250" spans="30:30" x14ac:dyDescent="0.3">
      <c r="AD16250" s="16"/>
    </row>
    <row r="16251" spans="30:30" x14ac:dyDescent="0.3">
      <c r="AD16251" s="16"/>
    </row>
    <row r="16252" spans="30:30" x14ac:dyDescent="0.3">
      <c r="AD16252" s="16"/>
    </row>
    <row r="16253" spans="30:30" x14ac:dyDescent="0.3">
      <c r="AD16253" s="16"/>
    </row>
    <row r="16254" spans="30:30" x14ac:dyDescent="0.3">
      <c r="AD16254" s="16"/>
    </row>
    <row r="16255" spans="30:30" x14ac:dyDescent="0.3">
      <c r="AD16255" s="16"/>
    </row>
    <row r="16256" spans="30:30" x14ac:dyDescent="0.3">
      <c r="AD16256" s="16"/>
    </row>
    <row r="16257" spans="30:30" x14ac:dyDescent="0.3">
      <c r="AD16257" s="16"/>
    </row>
    <row r="16258" spans="30:30" x14ac:dyDescent="0.3">
      <c r="AD16258" s="16"/>
    </row>
    <row r="16259" spans="30:30" x14ac:dyDescent="0.3">
      <c r="AD16259" s="16"/>
    </row>
    <row r="16260" spans="30:30" x14ac:dyDescent="0.3">
      <c r="AD16260" s="16"/>
    </row>
    <row r="16261" spans="30:30" x14ac:dyDescent="0.3">
      <c r="AD16261" s="16"/>
    </row>
    <row r="16262" spans="30:30" x14ac:dyDescent="0.3">
      <c r="AD16262" s="16"/>
    </row>
    <row r="16263" spans="30:30" x14ac:dyDescent="0.3">
      <c r="AD16263" s="16"/>
    </row>
    <row r="16264" spans="30:30" x14ac:dyDescent="0.3">
      <c r="AD16264" s="16"/>
    </row>
    <row r="16265" spans="30:30" x14ac:dyDescent="0.3">
      <c r="AD16265" s="16"/>
    </row>
    <row r="16266" spans="30:30" x14ac:dyDescent="0.3">
      <c r="AD16266" s="16"/>
    </row>
    <row r="16267" spans="30:30" x14ac:dyDescent="0.3">
      <c r="AD16267" s="16"/>
    </row>
    <row r="16268" spans="30:30" x14ac:dyDescent="0.3">
      <c r="AD16268" s="16"/>
    </row>
    <row r="16269" spans="30:30" x14ac:dyDescent="0.3">
      <c r="AD16269" s="16"/>
    </row>
    <row r="16270" spans="30:30" x14ac:dyDescent="0.3">
      <c r="AD16270" s="16"/>
    </row>
    <row r="16271" spans="30:30" x14ac:dyDescent="0.3">
      <c r="AD16271" s="16"/>
    </row>
    <row r="16272" spans="30:30" x14ac:dyDescent="0.3">
      <c r="AD16272" s="16"/>
    </row>
    <row r="16273" spans="30:30" x14ac:dyDescent="0.3">
      <c r="AD16273" s="16"/>
    </row>
    <row r="16274" spans="30:30" x14ac:dyDescent="0.3">
      <c r="AD16274" s="16"/>
    </row>
    <row r="16275" spans="30:30" x14ac:dyDescent="0.3">
      <c r="AD16275" s="16"/>
    </row>
    <row r="16276" spans="30:30" x14ac:dyDescent="0.3">
      <c r="AD16276" s="16"/>
    </row>
    <row r="16277" spans="30:30" x14ac:dyDescent="0.3">
      <c r="AD16277" s="16"/>
    </row>
    <row r="16278" spans="30:30" x14ac:dyDescent="0.3">
      <c r="AD16278" s="16"/>
    </row>
    <row r="16279" spans="30:30" x14ac:dyDescent="0.3">
      <c r="AD16279" s="16"/>
    </row>
    <row r="16280" spans="30:30" x14ac:dyDescent="0.3">
      <c r="AD16280" s="16"/>
    </row>
    <row r="16281" spans="30:30" x14ac:dyDescent="0.3">
      <c r="AD16281" s="16"/>
    </row>
    <row r="16282" spans="30:30" x14ac:dyDescent="0.3">
      <c r="AD16282" s="16"/>
    </row>
    <row r="16283" spans="30:30" x14ac:dyDescent="0.3">
      <c r="AD16283" s="16"/>
    </row>
    <row r="16284" spans="30:30" x14ac:dyDescent="0.3">
      <c r="AD16284" s="16"/>
    </row>
    <row r="16285" spans="30:30" x14ac:dyDescent="0.3">
      <c r="AD16285" s="16"/>
    </row>
    <row r="16286" spans="30:30" x14ac:dyDescent="0.3">
      <c r="AD16286" s="16"/>
    </row>
    <row r="16287" spans="30:30" x14ac:dyDescent="0.3">
      <c r="AD16287" s="16"/>
    </row>
    <row r="16288" spans="30:30" x14ac:dyDescent="0.3">
      <c r="AD16288" s="16"/>
    </row>
    <row r="16289" spans="30:30" x14ac:dyDescent="0.3">
      <c r="AD16289" s="16"/>
    </row>
    <row r="16290" spans="30:30" x14ac:dyDescent="0.3">
      <c r="AD16290" s="16"/>
    </row>
    <row r="16291" spans="30:30" x14ac:dyDescent="0.3">
      <c r="AD16291" s="16"/>
    </row>
    <row r="16292" spans="30:30" x14ac:dyDescent="0.3">
      <c r="AD16292" s="16"/>
    </row>
    <row r="16293" spans="30:30" x14ac:dyDescent="0.3">
      <c r="AD16293" s="16"/>
    </row>
    <row r="16294" spans="30:30" x14ac:dyDescent="0.3">
      <c r="AD16294" s="16"/>
    </row>
    <row r="16295" spans="30:30" x14ac:dyDescent="0.3">
      <c r="AD16295" s="16"/>
    </row>
    <row r="16296" spans="30:30" x14ac:dyDescent="0.3">
      <c r="AD16296" s="16"/>
    </row>
    <row r="16297" spans="30:30" x14ac:dyDescent="0.3">
      <c r="AD16297" s="16"/>
    </row>
    <row r="16298" spans="30:30" x14ac:dyDescent="0.3">
      <c r="AD16298" s="16"/>
    </row>
    <row r="16299" spans="30:30" x14ac:dyDescent="0.3">
      <c r="AD16299" s="16"/>
    </row>
    <row r="16300" spans="30:30" x14ac:dyDescent="0.3">
      <c r="AD16300" s="16"/>
    </row>
    <row r="16301" spans="30:30" x14ac:dyDescent="0.3">
      <c r="AD16301" s="16"/>
    </row>
    <row r="16302" spans="30:30" x14ac:dyDescent="0.3">
      <c r="AD16302" s="16"/>
    </row>
    <row r="16303" spans="30:30" x14ac:dyDescent="0.3">
      <c r="AD16303" s="16"/>
    </row>
    <row r="16304" spans="30:30" x14ac:dyDescent="0.3">
      <c r="AD16304" s="16"/>
    </row>
    <row r="16305" spans="30:30" x14ac:dyDescent="0.3">
      <c r="AD16305" s="16"/>
    </row>
    <row r="16306" spans="30:30" x14ac:dyDescent="0.3">
      <c r="AD16306" s="16"/>
    </row>
    <row r="16307" spans="30:30" x14ac:dyDescent="0.3">
      <c r="AD16307" s="16"/>
    </row>
    <row r="16308" spans="30:30" x14ac:dyDescent="0.3">
      <c r="AD16308" s="16"/>
    </row>
    <row r="16309" spans="30:30" x14ac:dyDescent="0.3">
      <c r="AD16309" s="16"/>
    </row>
    <row r="16310" spans="30:30" x14ac:dyDescent="0.3">
      <c r="AD16310" s="16"/>
    </row>
    <row r="16311" spans="30:30" x14ac:dyDescent="0.3">
      <c r="AD16311" s="16"/>
    </row>
    <row r="16312" spans="30:30" x14ac:dyDescent="0.3">
      <c r="AD16312" s="16"/>
    </row>
    <row r="16313" spans="30:30" x14ac:dyDescent="0.3">
      <c r="AD16313" s="16"/>
    </row>
    <row r="16314" spans="30:30" x14ac:dyDescent="0.3">
      <c r="AD16314" s="16"/>
    </row>
    <row r="16315" spans="30:30" x14ac:dyDescent="0.3">
      <c r="AD16315" s="16"/>
    </row>
    <row r="16316" spans="30:30" x14ac:dyDescent="0.3">
      <c r="AD16316" s="16"/>
    </row>
    <row r="16317" spans="30:30" x14ac:dyDescent="0.3">
      <c r="AD16317" s="16"/>
    </row>
    <row r="16318" spans="30:30" x14ac:dyDescent="0.3">
      <c r="AD16318" s="16"/>
    </row>
    <row r="16319" spans="30:30" x14ac:dyDescent="0.3">
      <c r="AD16319" s="16"/>
    </row>
    <row r="16320" spans="30:30" x14ac:dyDescent="0.3">
      <c r="AD16320" s="16"/>
    </row>
    <row r="16321" spans="30:30" x14ac:dyDescent="0.3">
      <c r="AD16321" s="16"/>
    </row>
    <row r="16322" spans="30:30" x14ac:dyDescent="0.3">
      <c r="AD16322" s="16"/>
    </row>
    <row r="16323" spans="30:30" x14ac:dyDescent="0.3">
      <c r="AD16323" s="16"/>
    </row>
    <row r="16324" spans="30:30" x14ac:dyDescent="0.3">
      <c r="AD16324" s="16"/>
    </row>
    <row r="16325" spans="30:30" x14ac:dyDescent="0.3">
      <c r="AD16325" s="16"/>
    </row>
    <row r="16326" spans="30:30" x14ac:dyDescent="0.3">
      <c r="AD16326" s="16"/>
    </row>
    <row r="16327" spans="30:30" x14ac:dyDescent="0.3">
      <c r="AD16327" s="16"/>
    </row>
    <row r="16328" spans="30:30" x14ac:dyDescent="0.3">
      <c r="AD16328" s="16"/>
    </row>
    <row r="16329" spans="30:30" x14ac:dyDescent="0.3">
      <c r="AD16329" s="16"/>
    </row>
    <row r="16330" spans="30:30" x14ac:dyDescent="0.3">
      <c r="AD16330" s="16"/>
    </row>
    <row r="16331" spans="30:30" x14ac:dyDescent="0.3">
      <c r="AD16331" s="16"/>
    </row>
    <row r="16332" spans="30:30" x14ac:dyDescent="0.3">
      <c r="AD16332" s="16"/>
    </row>
    <row r="16333" spans="30:30" x14ac:dyDescent="0.3">
      <c r="AD16333" s="16"/>
    </row>
    <row r="16334" spans="30:30" x14ac:dyDescent="0.3">
      <c r="AD16334" s="16"/>
    </row>
    <row r="16335" spans="30:30" x14ac:dyDescent="0.3">
      <c r="AD16335" s="16"/>
    </row>
    <row r="16336" spans="30:30" x14ac:dyDescent="0.3">
      <c r="AD16336" s="16"/>
    </row>
    <row r="16337" spans="30:30" x14ac:dyDescent="0.3">
      <c r="AD16337" s="16"/>
    </row>
    <row r="16338" spans="30:30" x14ac:dyDescent="0.3">
      <c r="AD16338" s="16"/>
    </row>
    <row r="16339" spans="30:30" x14ac:dyDescent="0.3">
      <c r="AD16339" s="16"/>
    </row>
    <row r="16340" spans="30:30" x14ac:dyDescent="0.3">
      <c r="AD16340" s="16"/>
    </row>
    <row r="16341" spans="30:30" x14ac:dyDescent="0.3">
      <c r="AD16341" s="16"/>
    </row>
    <row r="16342" spans="30:30" x14ac:dyDescent="0.3">
      <c r="AD16342" s="16"/>
    </row>
    <row r="16343" spans="30:30" x14ac:dyDescent="0.3">
      <c r="AD16343" s="16"/>
    </row>
    <row r="16344" spans="30:30" x14ac:dyDescent="0.3">
      <c r="AD16344" s="16"/>
    </row>
    <row r="16345" spans="30:30" x14ac:dyDescent="0.3">
      <c r="AD16345" s="16"/>
    </row>
    <row r="16346" spans="30:30" x14ac:dyDescent="0.3">
      <c r="AD16346" s="16"/>
    </row>
    <row r="16347" spans="30:30" x14ac:dyDescent="0.3">
      <c r="AD16347" s="16"/>
    </row>
    <row r="16348" spans="30:30" x14ac:dyDescent="0.3">
      <c r="AD16348" s="16"/>
    </row>
    <row r="16349" spans="30:30" x14ac:dyDescent="0.3">
      <c r="AD16349" s="16"/>
    </row>
    <row r="16350" spans="30:30" x14ac:dyDescent="0.3">
      <c r="AD16350" s="16"/>
    </row>
    <row r="16351" spans="30:30" x14ac:dyDescent="0.3">
      <c r="AD16351" s="16"/>
    </row>
    <row r="16352" spans="30:30" x14ac:dyDescent="0.3">
      <c r="AD16352" s="16"/>
    </row>
    <row r="16353" spans="30:30" x14ac:dyDescent="0.3">
      <c r="AD16353" s="16"/>
    </row>
    <row r="16354" spans="30:30" x14ac:dyDescent="0.3">
      <c r="AD16354" s="16"/>
    </row>
    <row r="16355" spans="30:30" x14ac:dyDescent="0.3">
      <c r="AD16355" s="16"/>
    </row>
    <row r="16356" spans="30:30" x14ac:dyDescent="0.3">
      <c r="AD16356" s="16"/>
    </row>
    <row r="16357" spans="30:30" x14ac:dyDescent="0.3">
      <c r="AD16357" s="16"/>
    </row>
    <row r="16358" spans="30:30" x14ac:dyDescent="0.3">
      <c r="AD16358" s="16"/>
    </row>
    <row r="16359" spans="30:30" x14ac:dyDescent="0.3">
      <c r="AD16359" s="16"/>
    </row>
    <row r="16360" spans="30:30" x14ac:dyDescent="0.3">
      <c r="AD16360" s="16"/>
    </row>
    <row r="16361" spans="30:30" x14ac:dyDescent="0.3">
      <c r="AD16361" s="16"/>
    </row>
    <row r="16362" spans="30:30" x14ac:dyDescent="0.3">
      <c r="AD16362" s="16"/>
    </row>
    <row r="16363" spans="30:30" x14ac:dyDescent="0.3">
      <c r="AD16363" s="16"/>
    </row>
    <row r="16364" spans="30:30" x14ac:dyDescent="0.3">
      <c r="AD16364" s="16"/>
    </row>
    <row r="16365" spans="30:30" x14ac:dyDescent="0.3">
      <c r="AD16365" s="16"/>
    </row>
    <row r="16366" spans="30:30" x14ac:dyDescent="0.3">
      <c r="AD16366" s="16"/>
    </row>
    <row r="16367" spans="30:30" x14ac:dyDescent="0.3">
      <c r="AD16367" s="16"/>
    </row>
    <row r="16368" spans="30:30" x14ac:dyDescent="0.3">
      <c r="AD16368" s="16"/>
    </row>
    <row r="16369" spans="30:30" x14ac:dyDescent="0.3">
      <c r="AD16369" s="16"/>
    </row>
    <row r="16370" spans="30:30" x14ac:dyDescent="0.3">
      <c r="AD16370" s="16"/>
    </row>
    <row r="16371" spans="30:30" x14ac:dyDescent="0.3">
      <c r="AD16371" s="16"/>
    </row>
    <row r="16372" spans="30:30" x14ac:dyDescent="0.3">
      <c r="AD16372" s="16"/>
    </row>
    <row r="16373" spans="30:30" x14ac:dyDescent="0.3">
      <c r="AD16373" s="16"/>
    </row>
    <row r="16374" spans="30:30" x14ac:dyDescent="0.3">
      <c r="AD16374" s="16"/>
    </row>
    <row r="16375" spans="30:30" x14ac:dyDescent="0.3">
      <c r="AD16375" s="16"/>
    </row>
    <row r="16376" spans="30:30" x14ac:dyDescent="0.3">
      <c r="AD16376" s="16"/>
    </row>
    <row r="16377" spans="30:30" x14ac:dyDescent="0.3">
      <c r="AD16377" s="16"/>
    </row>
    <row r="16378" spans="30:30" x14ac:dyDescent="0.3">
      <c r="AD16378" s="16"/>
    </row>
    <row r="16379" spans="30:30" x14ac:dyDescent="0.3">
      <c r="AD16379" s="16"/>
    </row>
    <row r="16380" spans="30:30" x14ac:dyDescent="0.3">
      <c r="AD16380" s="16"/>
    </row>
    <row r="16381" spans="30:30" x14ac:dyDescent="0.3">
      <c r="AD16381" s="16"/>
    </row>
    <row r="16382" spans="30:30" x14ac:dyDescent="0.3">
      <c r="AD16382" s="16"/>
    </row>
    <row r="16383" spans="30:30" x14ac:dyDescent="0.3">
      <c r="AD16383" s="16"/>
    </row>
    <row r="16384" spans="30:30" x14ac:dyDescent="0.3">
      <c r="AD16384" s="16"/>
    </row>
    <row r="16385" spans="30:30" x14ac:dyDescent="0.3">
      <c r="AD16385" s="16"/>
    </row>
    <row r="16386" spans="30:30" x14ac:dyDescent="0.3">
      <c r="AD16386" s="16"/>
    </row>
    <row r="16387" spans="30:30" x14ac:dyDescent="0.3">
      <c r="AD16387" s="16"/>
    </row>
    <row r="16388" spans="30:30" x14ac:dyDescent="0.3">
      <c r="AD16388" s="16"/>
    </row>
    <row r="16389" spans="30:30" x14ac:dyDescent="0.3">
      <c r="AD16389" s="16"/>
    </row>
    <row r="16390" spans="30:30" x14ac:dyDescent="0.3">
      <c r="AD16390" s="16"/>
    </row>
    <row r="16391" spans="30:30" x14ac:dyDescent="0.3">
      <c r="AD16391" s="16"/>
    </row>
    <row r="16392" spans="30:30" x14ac:dyDescent="0.3">
      <c r="AD16392" s="16"/>
    </row>
    <row r="16393" spans="30:30" x14ac:dyDescent="0.3">
      <c r="AD16393" s="16"/>
    </row>
    <row r="16394" spans="30:30" x14ac:dyDescent="0.3">
      <c r="AD16394" s="16"/>
    </row>
    <row r="16395" spans="30:30" x14ac:dyDescent="0.3">
      <c r="AD16395" s="16"/>
    </row>
    <row r="16396" spans="30:30" x14ac:dyDescent="0.3">
      <c r="AD16396" s="16"/>
    </row>
    <row r="16397" spans="30:30" x14ac:dyDescent="0.3">
      <c r="AD16397" s="16"/>
    </row>
    <row r="16398" spans="30:30" x14ac:dyDescent="0.3">
      <c r="AD16398" s="16"/>
    </row>
    <row r="16399" spans="30:30" x14ac:dyDescent="0.3">
      <c r="AD16399" s="16"/>
    </row>
    <row r="16400" spans="30:30" x14ac:dyDescent="0.3">
      <c r="AD16400" s="16"/>
    </row>
    <row r="16401" spans="30:30" x14ac:dyDescent="0.3">
      <c r="AD16401" s="16"/>
    </row>
    <row r="16402" spans="30:30" x14ac:dyDescent="0.3">
      <c r="AD16402" s="16"/>
    </row>
    <row r="16403" spans="30:30" x14ac:dyDescent="0.3">
      <c r="AD16403" s="16"/>
    </row>
    <row r="16404" spans="30:30" x14ac:dyDescent="0.3">
      <c r="AD16404" s="16"/>
    </row>
    <row r="16405" spans="30:30" x14ac:dyDescent="0.3">
      <c r="AD16405" s="16"/>
    </row>
    <row r="16406" spans="30:30" x14ac:dyDescent="0.3">
      <c r="AD16406" s="16"/>
    </row>
    <row r="16407" spans="30:30" x14ac:dyDescent="0.3">
      <c r="AD16407" s="16"/>
    </row>
    <row r="16408" spans="30:30" x14ac:dyDescent="0.3">
      <c r="AD16408" s="16"/>
    </row>
    <row r="16409" spans="30:30" x14ac:dyDescent="0.3">
      <c r="AD16409" s="16"/>
    </row>
    <row r="16410" spans="30:30" x14ac:dyDescent="0.3">
      <c r="AD16410" s="16"/>
    </row>
    <row r="16411" spans="30:30" x14ac:dyDescent="0.3">
      <c r="AD16411" s="16"/>
    </row>
    <row r="16412" spans="30:30" x14ac:dyDescent="0.3">
      <c r="AD16412" s="16"/>
    </row>
    <row r="16413" spans="30:30" x14ac:dyDescent="0.3">
      <c r="AD16413" s="16"/>
    </row>
    <row r="16414" spans="30:30" x14ac:dyDescent="0.3">
      <c r="AD16414" s="16"/>
    </row>
    <row r="16415" spans="30:30" x14ac:dyDescent="0.3">
      <c r="AD16415" s="16"/>
    </row>
    <row r="16416" spans="30:30" x14ac:dyDescent="0.3">
      <c r="AD16416" s="16"/>
    </row>
    <row r="16417" spans="30:30" x14ac:dyDescent="0.3">
      <c r="AD16417" s="16"/>
    </row>
    <row r="16418" spans="30:30" x14ac:dyDescent="0.3">
      <c r="AD16418" s="16"/>
    </row>
    <row r="16419" spans="30:30" x14ac:dyDescent="0.3">
      <c r="AD16419" s="16"/>
    </row>
    <row r="16420" spans="30:30" x14ac:dyDescent="0.3">
      <c r="AD16420" s="16"/>
    </row>
    <row r="16421" spans="30:30" x14ac:dyDescent="0.3">
      <c r="AD16421" s="16"/>
    </row>
    <row r="16422" spans="30:30" x14ac:dyDescent="0.3">
      <c r="AD16422" s="16"/>
    </row>
    <row r="16423" spans="30:30" x14ac:dyDescent="0.3">
      <c r="AD16423" s="16"/>
    </row>
    <row r="16424" spans="30:30" x14ac:dyDescent="0.3">
      <c r="AD16424" s="16"/>
    </row>
    <row r="16425" spans="30:30" x14ac:dyDescent="0.3">
      <c r="AD16425" s="16"/>
    </row>
    <row r="16426" spans="30:30" x14ac:dyDescent="0.3">
      <c r="AD16426" s="16"/>
    </row>
    <row r="16427" spans="30:30" x14ac:dyDescent="0.3">
      <c r="AD16427" s="16"/>
    </row>
    <row r="16428" spans="30:30" x14ac:dyDescent="0.3">
      <c r="AD16428" s="16"/>
    </row>
    <row r="16429" spans="30:30" x14ac:dyDescent="0.3">
      <c r="AD16429" s="16"/>
    </row>
    <row r="16430" spans="30:30" x14ac:dyDescent="0.3">
      <c r="AD16430" s="16"/>
    </row>
    <row r="16431" spans="30:30" x14ac:dyDescent="0.3">
      <c r="AD16431" s="16"/>
    </row>
    <row r="16432" spans="30:30" x14ac:dyDescent="0.3">
      <c r="AD16432" s="16"/>
    </row>
    <row r="16433" spans="30:30" x14ac:dyDescent="0.3">
      <c r="AD16433" s="16"/>
    </row>
    <row r="16434" spans="30:30" x14ac:dyDescent="0.3">
      <c r="AD16434" s="16"/>
    </row>
    <row r="16435" spans="30:30" x14ac:dyDescent="0.3">
      <c r="AD16435" s="16"/>
    </row>
    <row r="16436" spans="30:30" x14ac:dyDescent="0.3">
      <c r="AD16436" s="16"/>
    </row>
    <row r="16437" spans="30:30" x14ac:dyDescent="0.3">
      <c r="AD16437" s="16"/>
    </row>
    <row r="16438" spans="30:30" x14ac:dyDescent="0.3">
      <c r="AD16438" s="16"/>
    </row>
    <row r="16439" spans="30:30" x14ac:dyDescent="0.3">
      <c r="AD16439" s="16"/>
    </row>
    <row r="16440" spans="30:30" x14ac:dyDescent="0.3">
      <c r="AD16440" s="16"/>
    </row>
    <row r="16441" spans="30:30" x14ac:dyDescent="0.3">
      <c r="AD16441" s="16"/>
    </row>
    <row r="16442" spans="30:30" x14ac:dyDescent="0.3">
      <c r="AD16442" s="16"/>
    </row>
    <row r="16443" spans="30:30" x14ac:dyDescent="0.3">
      <c r="AD16443" s="16"/>
    </row>
    <row r="16444" spans="30:30" x14ac:dyDescent="0.3">
      <c r="AD16444" s="16"/>
    </row>
    <row r="16445" spans="30:30" x14ac:dyDescent="0.3">
      <c r="AD16445" s="16"/>
    </row>
    <row r="16446" spans="30:30" x14ac:dyDescent="0.3">
      <c r="AD16446" s="16"/>
    </row>
    <row r="16447" spans="30:30" x14ac:dyDescent="0.3">
      <c r="AD16447" s="16"/>
    </row>
    <row r="16448" spans="30:30" x14ac:dyDescent="0.3">
      <c r="AD16448" s="16"/>
    </row>
    <row r="16449" spans="30:30" x14ac:dyDescent="0.3">
      <c r="AD16449" s="16"/>
    </row>
    <row r="16450" spans="30:30" x14ac:dyDescent="0.3">
      <c r="AD16450" s="16"/>
    </row>
    <row r="16451" spans="30:30" x14ac:dyDescent="0.3">
      <c r="AD16451" s="16"/>
    </row>
    <row r="16452" spans="30:30" x14ac:dyDescent="0.3">
      <c r="AD16452" s="16"/>
    </row>
    <row r="16453" spans="30:30" x14ac:dyDescent="0.3">
      <c r="AD16453" s="16"/>
    </row>
    <row r="16454" spans="30:30" x14ac:dyDescent="0.3">
      <c r="AD16454" s="16"/>
    </row>
    <row r="16455" spans="30:30" x14ac:dyDescent="0.3">
      <c r="AD16455" s="16"/>
    </row>
    <row r="16456" spans="30:30" x14ac:dyDescent="0.3">
      <c r="AD16456" s="16"/>
    </row>
    <row r="16457" spans="30:30" x14ac:dyDescent="0.3">
      <c r="AD16457" s="16"/>
    </row>
    <row r="16458" spans="30:30" x14ac:dyDescent="0.3">
      <c r="AD16458" s="16"/>
    </row>
    <row r="16459" spans="30:30" x14ac:dyDescent="0.3">
      <c r="AD16459" s="16"/>
    </row>
    <row r="16460" spans="30:30" x14ac:dyDescent="0.3">
      <c r="AD16460" s="16"/>
    </row>
    <row r="16461" spans="30:30" x14ac:dyDescent="0.3">
      <c r="AD16461" s="16"/>
    </row>
    <row r="16462" spans="30:30" x14ac:dyDescent="0.3">
      <c r="AD16462" s="16"/>
    </row>
    <row r="16463" spans="30:30" x14ac:dyDescent="0.3">
      <c r="AD16463" s="16"/>
    </row>
    <row r="16464" spans="30:30" x14ac:dyDescent="0.3">
      <c r="AD16464" s="16"/>
    </row>
    <row r="16465" spans="30:30" x14ac:dyDescent="0.3">
      <c r="AD16465" s="16"/>
    </row>
    <row r="16466" spans="30:30" x14ac:dyDescent="0.3">
      <c r="AD16466" s="16"/>
    </row>
    <row r="16467" spans="30:30" x14ac:dyDescent="0.3">
      <c r="AD16467" s="16"/>
    </row>
    <row r="16468" spans="30:30" x14ac:dyDescent="0.3">
      <c r="AD16468" s="16"/>
    </row>
    <row r="16469" spans="30:30" x14ac:dyDescent="0.3">
      <c r="AD16469" s="16"/>
    </row>
    <row r="16470" spans="30:30" x14ac:dyDescent="0.3">
      <c r="AD16470" s="16"/>
    </row>
    <row r="16471" spans="30:30" x14ac:dyDescent="0.3">
      <c r="AD16471" s="16"/>
    </row>
    <row r="16472" spans="30:30" x14ac:dyDescent="0.3">
      <c r="AD16472" s="16"/>
    </row>
    <row r="16473" spans="30:30" x14ac:dyDescent="0.3">
      <c r="AD16473" s="16"/>
    </row>
    <row r="16474" spans="30:30" x14ac:dyDescent="0.3">
      <c r="AD16474" s="16"/>
    </row>
    <row r="16475" spans="30:30" x14ac:dyDescent="0.3">
      <c r="AD16475" s="16"/>
    </row>
    <row r="16476" spans="30:30" x14ac:dyDescent="0.3">
      <c r="AD16476" s="16"/>
    </row>
    <row r="16477" spans="30:30" x14ac:dyDescent="0.3">
      <c r="AD16477" s="16"/>
    </row>
    <row r="16478" spans="30:30" x14ac:dyDescent="0.3">
      <c r="AD16478" s="16"/>
    </row>
    <row r="16479" spans="30:30" x14ac:dyDescent="0.3">
      <c r="AD16479" s="16"/>
    </row>
    <row r="16480" spans="30:30" x14ac:dyDescent="0.3">
      <c r="AD16480" s="16"/>
    </row>
    <row r="16481" spans="30:30" x14ac:dyDescent="0.3">
      <c r="AD16481" s="16"/>
    </row>
    <row r="16482" spans="30:30" x14ac:dyDescent="0.3">
      <c r="AD16482" s="16"/>
    </row>
    <row r="16483" spans="30:30" x14ac:dyDescent="0.3">
      <c r="AD16483" s="16"/>
    </row>
    <row r="16484" spans="30:30" x14ac:dyDescent="0.3">
      <c r="AD16484" s="16"/>
    </row>
    <row r="16485" spans="30:30" x14ac:dyDescent="0.3">
      <c r="AD16485" s="16"/>
    </row>
    <row r="16486" spans="30:30" x14ac:dyDescent="0.3">
      <c r="AD16486" s="16"/>
    </row>
    <row r="16487" spans="30:30" x14ac:dyDescent="0.3">
      <c r="AD16487" s="16"/>
    </row>
    <row r="16488" spans="30:30" x14ac:dyDescent="0.3">
      <c r="AD16488" s="16"/>
    </row>
    <row r="16489" spans="30:30" x14ac:dyDescent="0.3">
      <c r="AD16489" s="16"/>
    </row>
    <row r="16490" spans="30:30" x14ac:dyDescent="0.3">
      <c r="AD16490" s="16"/>
    </row>
    <row r="16491" spans="30:30" x14ac:dyDescent="0.3">
      <c r="AD16491" s="16"/>
    </row>
    <row r="16492" spans="30:30" x14ac:dyDescent="0.3">
      <c r="AD16492" s="16"/>
    </row>
    <row r="16493" spans="30:30" x14ac:dyDescent="0.3">
      <c r="AD16493" s="16"/>
    </row>
    <row r="16494" spans="30:30" x14ac:dyDescent="0.3">
      <c r="AD16494" s="16"/>
    </row>
    <row r="16495" spans="30:30" x14ac:dyDescent="0.3">
      <c r="AD16495" s="16"/>
    </row>
    <row r="16496" spans="30:30" x14ac:dyDescent="0.3">
      <c r="AD16496" s="16"/>
    </row>
    <row r="16497" spans="30:30" x14ac:dyDescent="0.3">
      <c r="AD16497" s="16"/>
    </row>
    <row r="16498" spans="30:30" x14ac:dyDescent="0.3">
      <c r="AD16498" s="16"/>
    </row>
    <row r="16499" spans="30:30" x14ac:dyDescent="0.3">
      <c r="AD16499" s="16"/>
    </row>
    <row r="16500" spans="30:30" x14ac:dyDescent="0.3">
      <c r="AD16500" s="16"/>
    </row>
    <row r="16501" spans="30:30" x14ac:dyDescent="0.3">
      <c r="AD16501" s="16"/>
    </row>
    <row r="16502" spans="30:30" x14ac:dyDescent="0.3">
      <c r="AD16502" s="16"/>
    </row>
    <row r="16503" spans="30:30" x14ac:dyDescent="0.3">
      <c r="AD16503" s="16"/>
    </row>
    <row r="16504" spans="30:30" x14ac:dyDescent="0.3">
      <c r="AD16504" s="16"/>
    </row>
    <row r="16505" spans="30:30" x14ac:dyDescent="0.3">
      <c r="AD16505" s="16"/>
    </row>
    <row r="16506" spans="30:30" x14ac:dyDescent="0.3">
      <c r="AD16506" s="16"/>
    </row>
    <row r="16507" spans="30:30" x14ac:dyDescent="0.3">
      <c r="AD16507" s="16"/>
    </row>
    <row r="16508" spans="30:30" x14ac:dyDescent="0.3">
      <c r="AD16508" s="16"/>
    </row>
    <row r="16509" spans="30:30" x14ac:dyDescent="0.3">
      <c r="AD16509" s="16"/>
    </row>
    <row r="16510" spans="30:30" x14ac:dyDescent="0.3">
      <c r="AD16510" s="16"/>
    </row>
    <row r="16511" spans="30:30" x14ac:dyDescent="0.3">
      <c r="AD16511" s="16"/>
    </row>
    <row r="16512" spans="30:30" x14ac:dyDescent="0.3">
      <c r="AD16512" s="16"/>
    </row>
    <row r="16513" spans="30:30" x14ac:dyDescent="0.3">
      <c r="AD16513" s="16"/>
    </row>
    <row r="16514" spans="30:30" x14ac:dyDescent="0.3">
      <c r="AD16514" s="16"/>
    </row>
    <row r="16515" spans="30:30" x14ac:dyDescent="0.3">
      <c r="AD16515" s="16"/>
    </row>
    <row r="16516" spans="30:30" x14ac:dyDescent="0.3">
      <c r="AD16516" s="16"/>
    </row>
    <row r="16517" spans="30:30" x14ac:dyDescent="0.3">
      <c r="AD16517" s="16"/>
    </row>
    <row r="16518" spans="30:30" x14ac:dyDescent="0.3">
      <c r="AD16518" s="16"/>
    </row>
    <row r="16519" spans="30:30" x14ac:dyDescent="0.3">
      <c r="AD16519" s="16"/>
    </row>
    <row r="16520" spans="30:30" x14ac:dyDescent="0.3">
      <c r="AD16520" s="16"/>
    </row>
    <row r="16521" spans="30:30" x14ac:dyDescent="0.3">
      <c r="AD16521" s="16"/>
    </row>
    <row r="16522" spans="30:30" x14ac:dyDescent="0.3">
      <c r="AD16522" s="16"/>
    </row>
    <row r="16523" spans="30:30" x14ac:dyDescent="0.3">
      <c r="AD16523" s="16"/>
    </row>
    <row r="16524" spans="30:30" x14ac:dyDescent="0.3">
      <c r="AD16524" s="16"/>
    </row>
    <row r="16525" spans="30:30" x14ac:dyDescent="0.3">
      <c r="AD16525" s="16"/>
    </row>
    <row r="16526" spans="30:30" x14ac:dyDescent="0.3">
      <c r="AD16526" s="16"/>
    </row>
    <row r="16527" spans="30:30" x14ac:dyDescent="0.3">
      <c r="AD16527" s="16"/>
    </row>
    <row r="16528" spans="30:30" x14ac:dyDescent="0.3">
      <c r="AD16528" s="16"/>
    </row>
    <row r="16529" spans="30:30" x14ac:dyDescent="0.3">
      <c r="AD16529" s="16"/>
    </row>
    <row r="16530" spans="30:30" x14ac:dyDescent="0.3">
      <c r="AD16530" s="16"/>
    </row>
    <row r="16531" spans="30:30" x14ac:dyDescent="0.3">
      <c r="AD16531" s="16"/>
    </row>
    <row r="16532" spans="30:30" x14ac:dyDescent="0.3">
      <c r="AD16532" s="16"/>
    </row>
    <row r="16533" spans="30:30" x14ac:dyDescent="0.3">
      <c r="AD16533" s="16"/>
    </row>
    <row r="16534" spans="30:30" x14ac:dyDescent="0.3">
      <c r="AD16534" s="16"/>
    </row>
    <row r="16535" spans="30:30" x14ac:dyDescent="0.3">
      <c r="AD16535" s="16"/>
    </row>
    <row r="16536" spans="30:30" x14ac:dyDescent="0.3">
      <c r="AD16536" s="16"/>
    </row>
    <row r="16537" spans="30:30" x14ac:dyDescent="0.3">
      <c r="AD16537" s="16"/>
    </row>
    <row r="16538" spans="30:30" x14ac:dyDescent="0.3">
      <c r="AD16538" s="16"/>
    </row>
    <row r="16539" spans="30:30" x14ac:dyDescent="0.3">
      <c r="AD16539" s="16"/>
    </row>
    <row r="16540" spans="30:30" x14ac:dyDescent="0.3">
      <c r="AD16540" s="16"/>
    </row>
    <row r="16541" spans="30:30" x14ac:dyDescent="0.3">
      <c r="AD16541" s="16"/>
    </row>
    <row r="16542" spans="30:30" x14ac:dyDescent="0.3">
      <c r="AD16542" s="16"/>
    </row>
    <row r="16543" spans="30:30" x14ac:dyDescent="0.3">
      <c r="AD16543" s="16"/>
    </row>
    <row r="16544" spans="30:30" x14ac:dyDescent="0.3">
      <c r="AD16544" s="16"/>
    </row>
    <row r="16545" spans="30:30" x14ac:dyDescent="0.3">
      <c r="AD16545" s="16"/>
    </row>
    <row r="16546" spans="30:30" x14ac:dyDescent="0.3">
      <c r="AD16546" s="16"/>
    </row>
    <row r="16547" spans="30:30" x14ac:dyDescent="0.3">
      <c r="AD16547" s="16"/>
    </row>
    <row r="16548" spans="30:30" x14ac:dyDescent="0.3">
      <c r="AD16548" s="16"/>
    </row>
    <row r="16549" spans="30:30" x14ac:dyDescent="0.3">
      <c r="AD16549" s="16"/>
    </row>
    <row r="16550" spans="30:30" x14ac:dyDescent="0.3">
      <c r="AD16550" s="16"/>
    </row>
    <row r="16551" spans="30:30" x14ac:dyDescent="0.3">
      <c r="AD16551" s="16"/>
    </row>
    <row r="16552" spans="30:30" x14ac:dyDescent="0.3">
      <c r="AD16552" s="16"/>
    </row>
    <row r="16553" spans="30:30" x14ac:dyDescent="0.3">
      <c r="AD16553" s="16"/>
    </row>
    <row r="16554" spans="30:30" x14ac:dyDescent="0.3">
      <c r="AD16554" s="16"/>
    </row>
    <row r="16555" spans="30:30" x14ac:dyDescent="0.3">
      <c r="AD16555" s="16"/>
    </row>
    <row r="16556" spans="30:30" x14ac:dyDescent="0.3">
      <c r="AD16556" s="16"/>
    </row>
    <row r="16557" spans="30:30" x14ac:dyDescent="0.3">
      <c r="AD16557" s="16"/>
    </row>
    <row r="16558" spans="30:30" x14ac:dyDescent="0.3">
      <c r="AD16558" s="16"/>
    </row>
    <row r="16559" spans="30:30" x14ac:dyDescent="0.3">
      <c r="AD16559" s="16"/>
    </row>
    <row r="16560" spans="30:30" x14ac:dyDescent="0.3">
      <c r="AD16560" s="16"/>
    </row>
    <row r="16561" spans="30:30" x14ac:dyDescent="0.3">
      <c r="AD16561" s="16"/>
    </row>
    <row r="16562" spans="30:30" x14ac:dyDescent="0.3">
      <c r="AD16562" s="16"/>
    </row>
    <row r="16563" spans="30:30" x14ac:dyDescent="0.3">
      <c r="AD16563" s="16"/>
    </row>
    <row r="16564" spans="30:30" x14ac:dyDescent="0.3">
      <c r="AD16564" s="16"/>
    </row>
    <row r="16565" spans="30:30" x14ac:dyDescent="0.3">
      <c r="AD16565" s="16"/>
    </row>
    <row r="16566" spans="30:30" x14ac:dyDescent="0.3">
      <c r="AD16566" s="16"/>
    </row>
    <row r="16567" spans="30:30" x14ac:dyDescent="0.3">
      <c r="AD16567" s="16"/>
    </row>
    <row r="16568" spans="30:30" x14ac:dyDescent="0.3">
      <c r="AD16568" s="16"/>
    </row>
    <row r="16569" spans="30:30" x14ac:dyDescent="0.3">
      <c r="AD16569" s="16"/>
    </row>
    <row r="16570" spans="30:30" x14ac:dyDescent="0.3">
      <c r="AD16570" s="16"/>
    </row>
    <row r="16571" spans="30:30" x14ac:dyDescent="0.3">
      <c r="AD16571" s="16"/>
    </row>
    <row r="16572" spans="30:30" x14ac:dyDescent="0.3">
      <c r="AD16572" s="16"/>
    </row>
    <row r="16573" spans="30:30" x14ac:dyDescent="0.3">
      <c r="AD16573" s="16"/>
    </row>
    <row r="16574" spans="30:30" x14ac:dyDescent="0.3">
      <c r="AD16574" s="16"/>
    </row>
    <row r="16575" spans="30:30" x14ac:dyDescent="0.3">
      <c r="AD16575" s="16"/>
    </row>
    <row r="16576" spans="30:30" x14ac:dyDescent="0.3">
      <c r="AD16576" s="16"/>
    </row>
    <row r="16577" spans="30:30" x14ac:dyDescent="0.3">
      <c r="AD16577" s="16"/>
    </row>
    <row r="16578" spans="30:30" x14ac:dyDescent="0.3">
      <c r="AD16578" s="16"/>
    </row>
    <row r="16579" spans="30:30" x14ac:dyDescent="0.3">
      <c r="AD16579" s="16"/>
    </row>
    <row r="16580" spans="30:30" x14ac:dyDescent="0.3">
      <c r="AD16580" s="16"/>
    </row>
    <row r="16581" spans="30:30" x14ac:dyDescent="0.3">
      <c r="AD16581" s="16"/>
    </row>
    <row r="16582" spans="30:30" x14ac:dyDescent="0.3">
      <c r="AD16582" s="16"/>
    </row>
    <row r="16583" spans="30:30" x14ac:dyDescent="0.3">
      <c r="AD16583" s="16"/>
    </row>
    <row r="16584" spans="30:30" x14ac:dyDescent="0.3">
      <c r="AD16584" s="16"/>
    </row>
    <row r="16585" spans="30:30" x14ac:dyDescent="0.3">
      <c r="AD16585" s="16"/>
    </row>
    <row r="16586" spans="30:30" x14ac:dyDescent="0.3">
      <c r="AD16586" s="16"/>
    </row>
    <row r="16587" spans="30:30" x14ac:dyDescent="0.3">
      <c r="AD16587" s="16"/>
    </row>
    <row r="16588" spans="30:30" x14ac:dyDescent="0.3">
      <c r="AD16588" s="16"/>
    </row>
    <row r="16589" spans="30:30" x14ac:dyDescent="0.3">
      <c r="AD16589" s="16"/>
    </row>
    <row r="16590" spans="30:30" x14ac:dyDescent="0.3">
      <c r="AD16590" s="16"/>
    </row>
    <row r="16591" spans="30:30" x14ac:dyDescent="0.3">
      <c r="AD16591" s="16"/>
    </row>
    <row r="16592" spans="30:30" x14ac:dyDescent="0.3">
      <c r="AD16592" s="16"/>
    </row>
    <row r="16593" spans="30:30" x14ac:dyDescent="0.3">
      <c r="AD16593" s="16"/>
    </row>
    <row r="16594" spans="30:30" x14ac:dyDescent="0.3">
      <c r="AD16594" s="16"/>
    </row>
    <row r="16595" spans="30:30" x14ac:dyDescent="0.3">
      <c r="AD16595" s="16"/>
    </row>
    <row r="16596" spans="30:30" x14ac:dyDescent="0.3">
      <c r="AD16596" s="16"/>
    </row>
    <row r="16597" spans="30:30" x14ac:dyDescent="0.3">
      <c r="AD16597" s="16"/>
    </row>
    <row r="16598" spans="30:30" x14ac:dyDescent="0.3">
      <c r="AD16598" s="16"/>
    </row>
    <row r="16599" spans="30:30" x14ac:dyDescent="0.3">
      <c r="AD16599" s="16"/>
    </row>
    <row r="16600" spans="30:30" x14ac:dyDescent="0.3">
      <c r="AD16600" s="16"/>
    </row>
    <row r="16601" spans="30:30" x14ac:dyDescent="0.3">
      <c r="AD16601" s="16"/>
    </row>
    <row r="16602" spans="30:30" x14ac:dyDescent="0.3">
      <c r="AD16602" s="16"/>
    </row>
    <row r="16603" spans="30:30" x14ac:dyDescent="0.3">
      <c r="AD16603" s="16"/>
    </row>
    <row r="16604" spans="30:30" x14ac:dyDescent="0.3">
      <c r="AD16604" s="16"/>
    </row>
    <row r="16605" spans="30:30" x14ac:dyDescent="0.3">
      <c r="AD16605" s="16"/>
    </row>
    <row r="16606" spans="30:30" x14ac:dyDescent="0.3">
      <c r="AD16606" s="16"/>
    </row>
    <row r="16607" spans="30:30" x14ac:dyDescent="0.3">
      <c r="AD16607" s="16"/>
    </row>
    <row r="16608" spans="30:30" x14ac:dyDescent="0.3">
      <c r="AD16608" s="16"/>
    </row>
    <row r="16609" spans="30:30" x14ac:dyDescent="0.3">
      <c r="AD16609" s="16"/>
    </row>
    <row r="16610" spans="30:30" x14ac:dyDescent="0.3">
      <c r="AD16610" s="16"/>
    </row>
    <row r="16611" spans="30:30" x14ac:dyDescent="0.3">
      <c r="AD16611" s="16"/>
    </row>
    <row r="16612" spans="30:30" x14ac:dyDescent="0.3">
      <c r="AD16612" s="16"/>
    </row>
    <row r="16613" spans="30:30" x14ac:dyDescent="0.3">
      <c r="AD16613" s="16"/>
    </row>
    <row r="16614" spans="30:30" x14ac:dyDescent="0.3">
      <c r="AD16614" s="16"/>
    </row>
    <row r="16615" spans="30:30" x14ac:dyDescent="0.3">
      <c r="AD16615" s="16"/>
    </row>
    <row r="16616" spans="30:30" x14ac:dyDescent="0.3">
      <c r="AD16616" s="16"/>
    </row>
    <row r="16617" spans="30:30" x14ac:dyDescent="0.3">
      <c r="AD16617" s="16"/>
    </row>
    <row r="16618" spans="30:30" x14ac:dyDescent="0.3">
      <c r="AD16618" s="16"/>
    </row>
    <row r="16619" spans="30:30" x14ac:dyDescent="0.3">
      <c r="AD16619" s="16"/>
    </row>
    <row r="16620" spans="30:30" x14ac:dyDescent="0.3">
      <c r="AD16620" s="16"/>
    </row>
    <row r="16621" spans="30:30" x14ac:dyDescent="0.3">
      <c r="AD16621" s="16"/>
    </row>
    <row r="16622" spans="30:30" x14ac:dyDescent="0.3">
      <c r="AD16622" s="16"/>
    </row>
    <row r="16623" spans="30:30" x14ac:dyDescent="0.3">
      <c r="AD16623" s="16"/>
    </row>
    <row r="16624" spans="30:30" x14ac:dyDescent="0.3">
      <c r="AD16624" s="16"/>
    </row>
    <row r="16625" spans="30:30" x14ac:dyDescent="0.3">
      <c r="AD16625" s="16"/>
    </row>
    <row r="16626" spans="30:30" x14ac:dyDescent="0.3">
      <c r="AD16626" s="16"/>
    </row>
    <row r="16627" spans="30:30" x14ac:dyDescent="0.3">
      <c r="AD16627" s="16"/>
    </row>
    <row r="16628" spans="30:30" x14ac:dyDescent="0.3">
      <c r="AD16628" s="16"/>
    </row>
    <row r="16629" spans="30:30" x14ac:dyDescent="0.3">
      <c r="AD16629" s="16"/>
    </row>
    <row r="16630" spans="30:30" x14ac:dyDescent="0.3">
      <c r="AD16630" s="16"/>
    </row>
    <row r="16631" spans="30:30" x14ac:dyDescent="0.3">
      <c r="AD16631" s="16"/>
    </row>
    <row r="16632" spans="30:30" x14ac:dyDescent="0.3">
      <c r="AD16632" s="16"/>
    </row>
    <row r="16633" spans="30:30" x14ac:dyDescent="0.3">
      <c r="AD16633" s="16"/>
    </row>
    <row r="16634" spans="30:30" x14ac:dyDescent="0.3">
      <c r="AD16634" s="16"/>
    </row>
    <row r="16635" spans="30:30" x14ac:dyDescent="0.3">
      <c r="AD16635" s="16"/>
    </row>
    <row r="16636" spans="30:30" x14ac:dyDescent="0.3">
      <c r="AD16636" s="16"/>
    </row>
    <row r="16637" spans="30:30" x14ac:dyDescent="0.3">
      <c r="AD16637" s="16"/>
    </row>
    <row r="16638" spans="30:30" x14ac:dyDescent="0.3">
      <c r="AD16638" s="16"/>
    </row>
    <row r="16639" spans="30:30" x14ac:dyDescent="0.3">
      <c r="AD16639" s="16"/>
    </row>
    <row r="16640" spans="30:30" x14ac:dyDescent="0.3">
      <c r="AD16640" s="16"/>
    </row>
    <row r="16641" spans="30:30" x14ac:dyDescent="0.3">
      <c r="AD16641" s="16"/>
    </row>
    <row r="16642" spans="30:30" x14ac:dyDescent="0.3">
      <c r="AD16642" s="16"/>
    </row>
    <row r="16643" spans="30:30" x14ac:dyDescent="0.3">
      <c r="AD16643" s="16"/>
    </row>
    <row r="16644" spans="30:30" x14ac:dyDescent="0.3">
      <c r="AD16644" s="16"/>
    </row>
    <row r="16645" spans="30:30" x14ac:dyDescent="0.3">
      <c r="AD16645" s="16"/>
    </row>
    <row r="16646" spans="30:30" x14ac:dyDescent="0.3">
      <c r="AD16646" s="16"/>
    </row>
    <row r="16647" spans="30:30" x14ac:dyDescent="0.3">
      <c r="AD16647" s="16"/>
    </row>
    <row r="16648" spans="30:30" x14ac:dyDescent="0.3">
      <c r="AD16648" s="16"/>
    </row>
    <row r="16649" spans="30:30" x14ac:dyDescent="0.3">
      <c r="AD16649" s="16"/>
    </row>
    <row r="16650" spans="30:30" x14ac:dyDescent="0.3">
      <c r="AD16650" s="16"/>
    </row>
    <row r="16651" spans="30:30" x14ac:dyDescent="0.3">
      <c r="AD16651" s="16"/>
    </row>
    <row r="16652" spans="30:30" x14ac:dyDescent="0.3">
      <c r="AD16652" s="16"/>
    </row>
    <row r="16653" spans="30:30" x14ac:dyDescent="0.3">
      <c r="AD16653" s="16"/>
    </row>
    <row r="16654" spans="30:30" x14ac:dyDescent="0.3">
      <c r="AD16654" s="16"/>
    </row>
    <row r="16655" spans="30:30" x14ac:dyDescent="0.3">
      <c r="AD16655" s="16"/>
    </row>
    <row r="16656" spans="30:30" x14ac:dyDescent="0.3">
      <c r="AD16656" s="16"/>
    </row>
    <row r="16657" spans="30:30" x14ac:dyDescent="0.3">
      <c r="AD16657" s="16"/>
    </row>
    <row r="16658" spans="30:30" x14ac:dyDescent="0.3">
      <c r="AD16658" s="16"/>
    </row>
    <row r="16659" spans="30:30" x14ac:dyDescent="0.3">
      <c r="AD16659" s="16"/>
    </row>
    <row r="16660" spans="30:30" x14ac:dyDescent="0.3">
      <c r="AD16660" s="16"/>
    </row>
    <row r="16661" spans="30:30" x14ac:dyDescent="0.3">
      <c r="AD16661" s="16"/>
    </row>
    <row r="16662" spans="30:30" x14ac:dyDescent="0.3">
      <c r="AD16662" s="16"/>
    </row>
    <row r="16663" spans="30:30" x14ac:dyDescent="0.3">
      <c r="AD16663" s="16"/>
    </row>
    <row r="16664" spans="30:30" x14ac:dyDescent="0.3">
      <c r="AD16664" s="16"/>
    </row>
    <row r="16665" spans="30:30" x14ac:dyDescent="0.3">
      <c r="AD16665" s="16"/>
    </row>
    <row r="16666" spans="30:30" x14ac:dyDescent="0.3">
      <c r="AD16666" s="16"/>
    </row>
    <row r="16667" spans="30:30" x14ac:dyDescent="0.3">
      <c r="AD16667" s="16"/>
    </row>
    <row r="16668" spans="30:30" x14ac:dyDescent="0.3">
      <c r="AD16668" s="16"/>
    </row>
    <row r="16669" spans="30:30" x14ac:dyDescent="0.3">
      <c r="AD16669" s="16"/>
    </row>
    <row r="16670" spans="30:30" x14ac:dyDescent="0.3">
      <c r="AD16670" s="16"/>
    </row>
    <row r="16671" spans="30:30" x14ac:dyDescent="0.3">
      <c r="AD16671" s="16"/>
    </row>
    <row r="16672" spans="30:30" x14ac:dyDescent="0.3">
      <c r="AD16672" s="16"/>
    </row>
    <row r="16673" spans="30:30" x14ac:dyDescent="0.3">
      <c r="AD16673" s="16"/>
    </row>
    <row r="16674" spans="30:30" x14ac:dyDescent="0.3">
      <c r="AD16674" s="16"/>
    </row>
    <row r="16675" spans="30:30" x14ac:dyDescent="0.3">
      <c r="AD16675" s="16"/>
    </row>
    <row r="16676" spans="30:30" x14ac:dyDescent="0.3">
      <c r="AD16676" s="16"/>
    </row>
    <row r="16677" spans="30:30" x14ac:dyDescent="0.3">
      <c r="AD16677" s="16"/>
    </row>
    <row r="16678" spans="30:30" x14ac:dyDescent="0.3">
      <c r="AD16678" s="16"/>
    </row>
    <row r="16679" spans="30:30" x14ac:dyDescent="0.3">
      <c r="AD16679" s="16"/>
    </row>
    <row r="16680" spans="30:30" x14ac:dyDescent="0.3">
      <c r="AD16680" s="16"/>
    </row>
    <row r="16681" spans="30:30" x14ac:dyDescent="0.3">
      <c r="AD16681" s="16"/>
    </row>
    <row r="16682" spans="30:30" x14ac:dyDescent="0.3">
      <c r="AD16682" s="16"/>
    </row>
    <row r="16683" spans="30:30" x14ac:dyDescent="0.3">
      <c r="AD16683" s="16"/>
    </row>
    <row r="16684" spans="30:30" x14ac:dyDescent="0.3">
      <c r="AD16684" s="16"/>
    </row>
    <row r="16685" spans="30:30" x14ac:dyDescent="0.3">
      <c r="AD16685" s="16"/>
    </row>
    <row r="16686" spans="30:30" x14ac:dyDescent="0.3">
      <c r="AD16686" s="16"/>
    </row>
    <row r="16687" spans="30:30" x14ac:dyDescent="0.3">
      <c r="AD16687" s="16"/>
    </row>
    <row r="16688" spans="30:30" x14ac:dyDescent="0.3">
      <c r="AD16688" s="16"/>
    </row>
    <row r="16689" spans="30:30" x14ac:dyDescent="0.3">
      <c r="AD16689" s="16"/>
    </row>
    <row r="16690" spans="30:30" x14ac:dyDescent="0.3">
      <c r="AD16690" s="16"/>
    </row>
    <row r="16691" spans="30:30" x14ac:dyDescent="0.3">
      <c r="AD16691" s="16"/>
    </row>
    <row r="16692" spans="30:30" x14ac:dyDescent="0.3">
      <c r="AD16692" s="16"/>
    </row>
    <row r="16693" spans="30:30" x14ac:dyDescent="0.3">
      <c r="AD16693" s="16"/>
    </row>
    <row r="16694" spans="30:30" x14ac:dyDescent="0.3">
      <c r="AD16694" s="16"/>
    </row>
    <row r="16695" spans="30:30" x14ac:dyDescent="0.3">
      <c r="AD16695" s="16"/>
    </row>
    <row r="16696" spans="30:30" x14ac:dyDescent="0.3">
      <c r="AD16696" s="16"/>
    </row>
    <row r="16697" spans="30:30" x14ac:dyDescent="0.3">
      <c r="AD16697" s="16"/>
    </row>
    <row r="16698" spans="30:30" x14ac:dyDescent="0.3">
      <c r="AD16698" s="16"/>
    </row>
    <row r="16699" spans="30:30" x14ac:dyDescent="0.3">
      <c r="AD16699" s="16"/>
    </row>
    <row r="16700" spans="30:30" x14ac:dyDescent="0.3">
      <c r="AD16700" s="16"/>
    </row>
    <row r="16701" spans="30:30" x14ac:dyDescent="0.3">
      <c r="AD16701" s="16"/>
    </row>
    <row r="16702" spans="30:30" x14ac:dyDescent="0.3">
      <c r="AD16702" s="16"/>
    </row>
    <row r="16703" spans="30:30" x14ac:dyDescent="0.3">
      <c r="AD16703" s="16"/>
    </row>
    <row r="16704" spans="30:30" x14ac:dyDescent="0.3">
      <c r="AD16704" s="16"/>
    </row>
    <row r="16705" spans="30:30" x14ac:dyDescent="0.3">
      <c r="AD16705" s="16"/>
    </row>
    <row r="16706" spans="30:30" x14ac:dyDescent="0.3">
      <c r="AD16706" s="16"/>
    </row>
    <row r="16707" spans="30:30" x14ac:dyDescent="0.3">
      <c r="AD16707" s="16"/>
    </row>
    <row r="16708" spans="30:30" x14ac:dyDescent="0.3">
      <c r="AD16708" s="16"/>
    </row>
    <row r="16709" spans="30:30" x14ac:dyDescent="0.3">
      <c r="AD16709" s="16"/>
    </row>
    <row r="16710" spans="30:30" x14ac:dyDescent="0.3">
      <c r="AD16710" s="16"/>
    </row>
    <row r="16711" spans="30:30" x14ac:dyDescent="0.3">
      <c r="AD16711" s="16"/>
    </row>
    <row r="16712" spans="30:30" x14ac:dyDescent="0.3">
      <c r="AD16712" s="16"/>
    </row>
    <row r="16713" spans="30:30" x14ac:dyDescent="0.3">
      <c r="AD16713" s="16"/>
    </row>
    <row r="16714" spans="30:30" x14ac:dyDescent="0.3">
      <c r="AD16714" s="16"/>
    </row>
    <row r="16715" spans="30:30" x14ac:dyDescent="0.3">
      <c r="AD16715" s="16"/>
    </row>
    <row r="16716" spans="30:30" x14ac:dyDescent="0.3">
      <c r="AD16716" s="16"/>
    </row>
    <row r="16717" spans="30:30" x14ac:dyDescent="0.3">
      <c r="AD16717" s="16"/>
    </row>
    <row r="16718" spans="30:30" x14ac:dyDescent="0.3">
      <c r="AD16718" s="16"/>
    </row>
    <row r="16719" spans="30:30" x14ac:dyDescent="0.3">
      <c r="AD16719" s="16"/>
    </row>
    <row r="16720" spans="30:30" x14ac:dyDescent="0.3">
      <c r="AD16720" s="16"/>
    </row>
    <row r="16721" spans="30:30" x14ac:dyDescent="0.3">
      <c r="AD16721" s="16"/>
    </row>
    <row r="16722" spans="30:30" x14ac:dyDescent="0.3">
      <c r="AD16722" s="16"/>
    </row>
    <row r="16723" spans="30:30" x14ac:dyDescent="0.3">
      <c r="AD16723" s="16"/>
    </row>
    <row r="16724" spans="30:30" x14ac:dyDescent="0.3">
      <c r="AD16724" s="16"/>
    </row>
    <row r="16725" spans="30:30" x14ac:dyDescent="0.3">
      <c r="AD16725" s="16"/>
    </row>
    <row r="16726" spans="30:30" x14ac:dyDescent="0.3">
      <c r="AD16726" s="16"/>
    </row>
    <row r="16727" spans="30:30" x14ac:dyDescent="0.3">
      <c r="AD16727" s="16"/>
    </row>
    <row r="16728" spans="30:30" x14ac:dyDescent="0.3">
      <c r="AD16728" s="16"/>
    </row>
    <row r="16729" spans="30:30" x14ac:dyDescent="0.3">
      <c r="AD16729" s="16"/>
    </row>
    <row r="16730" spans="30:30" x14ac:dyDescent="0.3">
      <c r="AD16730" s="16"/>
    </row>
    <row r="16731" spans="30:30" x14ac:dyDescent="0.3">
      <c r="AD16731" s="16"/>
    </row>
    <row r="16732" spans="30:30" x14ac:dyDescent="0.3">
      <c r="AD16732" s="16"/>
    </row>
    <row r="16733" spans="30:30" x14ac:dyDescent="0.3">
      <c r="AD16733" s="16"/>
    </row>
    <row r="16734" spans="30:30" x14ac:dyDescent="0.3">
      <c r="AD16734" s="16"/>
    </row>
    <row r="16735" spans="30:30" x14ac:dyDescent="0.3">
      <c r="AD16735" s="16"/>
    </row>
    <row r="16736" spans="30:30" x14ac:dyDescent="0.3">
      <c r="AD16736" s="16"/>
    </row>
    <row r="16737" spans="30:30" x14ac:dyDescent="0.3">
      <c r="AD16737" s="16"/>
    </row>
    <row r="16738" spans="30:30" x14ac:dyDescent="0.3">
      <c r="AD16738" s="16"/>
    </row>
    <row r="16739" spans="30:30" x14ac:dyDescent="0.3">
      <c r="AD16739" s="16"/>
    </row>
    <row r="16740" spans="30:30" x14ac:dyDescent="0.3">
      <c r="AD16740" s="16"/>
    </row>
    <row r="16741" spans="30:30" x14ac:dyDescent="0.3">
      <c r="AD16741" s="16"/>
    </row>
    <row r="16742" spans="30:30" x14ac:dyDescent="0.3">
      <c r="AD16742" s="16"/>
    </row>
    <row r="16743" spans="30:30" x14ac:dyDescent="0.3">
      <c r="AD16743" s="16"/>
    </row>
    <row r="16744" spans="30:30" x14ac:dyDescent="0.3">
      <c r="AD16744" s="16"/>
    </row>
    <row r="16745" spans="30:30" x14ac:dyDescent="0.3">
      <c r="AD16745" s="16"/>
    </row>
    <row r="16746" spans="30:30" x14ac:dyDescent="0.3">
      <c r="AD16746" s="16"/>
    </row>
    <row r="16747" spans="30:30" x14ac:dyDescent="0.3">
      <c r="AD16747" s="16"/>
    </row>
    <row r="16748" spans="30:30" x14ac:dyDescent="0.3">
      <c r="AD16748" s="16"/>
    </row>
    <row r="16749" spans="30:30" x14ac:dyDescent="0.3">
      <c r="AD16749" s="16"/>
    </row>
    <row r="16750" spans="30:30" x14ac:dyDescent="0.3">
      <c r="AD16750" s="16"/>
    </row>
    <row r="16751" spans="30:30" x14ac:dyDescent="0.3">
      <c r="AD16751" s="16"/>
    </row>
    <row r="16752" spans="30:30" x14ac:dyDescent="0.3">
      <c r="AD16752" s="16"/>
    </row>
    <row r="16753" spans="30:30" x14ac:dyDescent="0.3">
      <c r="AD16753" s="16"/>
    </row>
    <row r="16754" spans="30:30" x14ac:dyDescent="0.3">
      <c r="AD16754" s="16"/>
    </row>
    <row r="16755" spans="30:30" x14ac:dyDescent="0.3">
      <c r="AD16755" s="16"/>
    </row>
    <row r="16756" spans="30:30" x14ac:dyDescent="0.3">
      <c r="AD16756" s="16"/>
    </row>
    <row r="16757" spans="30:30" x14ac:dyDescent="0.3">
      <c r="AD16757" s="16"/>
    </row>
    <row r="16758" spans="30:30" x14ac:dyDescent="0.3">
      <c r="AD16758" s="16"/>
    </row>
    <row r="16759" spans="30:30" x14ac:dyDescent="0.3">
      <c r="AD16759" s="16"/>
    </row>
    <row r="16760" spans="30:30" x14ac:dyDescent="0.3">
      <c r="AD16760" s="16"/>
    </row>
    <row r="16761" spans="30:30" x14ac:dyDescent="0.3">
      <c r="AD16761" s="16"/>
    </row>
    <row r="16762" spans="30:30" x14ac:dyDescent="0.3">
      <c r="AD16762" s="16"/>
    </row>
    <row r="16763" spans="30:30" x14ac:dyDescent="0.3">
      <c r="AD16763" s="16"/>
    </row>
    <row r="16764" spans="30:30" x14ac:dyDescent="0.3">
      <c r="AD16764" s="16"/>
    </row>
    <row r="16765" spans="30:30" x14ac:dyDescent="0.3">
      <c r="AD16765" s="16"/>
    </row>
    <row r="16766" spans="30:30" x14ac:dyDescent="0.3">
      <c r="AD16766" s="16"/>
    </row>
    <row r="16767" spans="30:30" x14ac:dyDescent="0.3">
      <c r="AD16767" s="16"/>
    </row>
    <row r="16768" spans="30:30" x14ac:dyDescent="0.3">
      <c r="AD16768" s="16"/>
    </row>
    <row r="16769" spans="30:30" x14ac:dyDescent="0.3">
      <c r="AD16769" s="16"/>
    </row>
    <row r="16770" spans="30:30" x14ac:dyDescent="0.3">
      <c r="AD16770" s="16"/>
    </row>
    <row r="16771" spans="30:30" x14ac:dyDescent="0.3">
      <c r="AD16771" s="16"/>
    </row>
    <row r="16772" spans="30:30" x14ac:dyDescent="0.3">
      <c r="AD16772" s="16"/>
    </row>
    <row r="16773" spans="30:30" x14ac:dyDescent="0.3">
      <c r="AD16773" s="16"/>
    </row>
    <row r="16774" spans="30:30" x14ac:dyDescent="0.3">
      <c r="AD16774" s="16"/>
    </row>
    <row r="16775" spans="30:30" x14ac:dyDescent="0.3">
      <c r="AD16775" s="16"/>
    </row>
    <row r="16776" spans="30:30" x14ac:dyDescent="0.3">
      <c r="AD16776" s="16"/>
    </row>
    <row r="16777" spans="30:30" x14ac:dyDescent="0.3">
      <c r="AD16777" s="16"/>
    </row>
    <row r="16778" spans="30:30" x14ac:dyDescent="0.3">
      <c r="AD16778" s="16"/>
    </row>
    <row r="16779" spans="30:30" x14ac:dyDescent="0.3">
      <c r="AD16779" s="16"/>
    </row>
    <row r="16780" spans="30:30" x14ac:dyDescent="0.3">
      <c r="AD16780" s="16"/>
    </row>
    <row r="16781" spans="30:30" x14ac:dyDescent="0.3">
      <c r="AD16781" s="16"/>
    </row>
    <row r="16782" spans="30:30" x14ac:dyDescent="0.3">
      <c r="AD16782" s="16"/>
    </row>
    <row r="16783" spans="30:30" x14ac:dyDescent="0.3">
      <c r="AD16783" s="16"/>
    </row>
    <row r="16784" spans="30:30" x14ac:dyDescent="0.3">
      <c r="AD16784" s="16"/>
    </row>
    <row r="16785" spans="30:30" x14ac:dyDescent="0.3">
      <c r="AD16785" s="16"/>
    </row>
    <row r="16786" spans="30:30" x14ac:dyDescent="0.3">
      <c r="AD16786" s="16"/>
    </row>
    <row r="16787" spans="30:30" x14ac:dyDescent="0.3">
      <c r="AD16787" s="16"/>
    </row>
    <row r="16788" spans="30:30" x14ac:dyDescent="0.3">
      <c r="AD16788" s="16"/>
    </row>
    <row r="16789" spans="30:30" x14ac:dyDescent="0.3">
      <c r="AD16789" s="16"/>
    </row>
    <row r="16790" spans="30:30" x14ac:dyDescent="0.3">
      <c r="AD16790" s="16"/>
    </row>
    <row r="16791" spans="30:30" x14ac:dyDescent="0.3">
      <c r="AD16791" s="16"/>
    </row>
    <row r="16792" spans="30:30" x14ac:dyDescent="0.3">
      <c r="AD16792" s="16"/>
    </row>
    <row r="16793" spans="30:30" x14ac:dyDescent="0.3">
      <c r="AD16793" s="16"/>
    </row>
    <row r="16794" spans="30:30" x14ac:dyDescent="0.3">
      <c r="AD16794" s="16"/>
    </row>
    <row r="16795" spans="30:30" x14ac:dyDescent="0.3">
      <c r="AD16795" s="16"/>
    </row>
    <row r="16796" spans="30:30" x14ac:dyDescent="0.3">
      <c r="AD16796" s="16"/>
    </row>
    <row r="16797" spans="30:30" x14ac:dyDescent="0.3">
      <c r="AD16797" s="16"/>
    </row>
    <row r="16798" spans="30:30" x14ac:dyDescent="0.3">
      <c r="AD16798" s="16"/>
    </row>
    <row r="16799" spans="30:30" x14ac:dyDescent="0.3">
      <c r="AD16799" s="16"/>
    </row>
    <row r="16800" spans="30:30" x14ac:dyDescent="0.3">
      <c r="AD16800" s="16"/>
    </row>
    <row r="16801" spans="30:30" x14ac:dyDescent="0.3">
      <c r="AD16801" s="16"/>
    </row>
    <row r="16802" spans="30:30" x14ac:dyDescent="0.3">
      <c r="AD16802" s="16"/>
    </row>
    <row r="16803" spans="30:30" x14ac:dyDescent="0.3">
      <c r="AD16803" s="16"/>
    </row>
    <row r="16804" spans="30:30" x14ac:dyDescent="0.3">
      <c r="AD16804" s="16"/>
    </row>
    <row r="16805" spans="30:30" x14ac:dyDescent="0.3">
      <c r="AD16805" s="16"/>
    </row>
    <row r="16806" spans="30:30" x14ac:dyDescent="0.3">
      <c r="AD16806" s="16"/>
    </row>
    <row r="16807" spans="30:30" x14ac:dyDescent="0.3">
      <c r="AD16807" s="16"/>
    </row>
    <row r="16808" spans="30:30" x14ac:dyDescent="0.3">
      <c r="AD16808" s="16"/>
    </row>
    <row r="16809" spans="30:30" x14ac:dyDescent="0.3">
      <c r="AD16809" s="16"/>
    </row>
    <row r="16810" spans="30:30" x14ac:dyDescent="0.3">
      <c r="AD16810" s="16"/>
    </row>
    <row r="16811" spans="30:30" x14ac:dyDescent="0.3">
      <c r="AD16811" s="16"/>
    </row>
    <row r="16812" spans="30:30" x14ac:dyDescent="0.3">
      <c r="AD16812" s="16"/>
    </row>
    <row r="16813" spans="30:30" x14ac:dyDescent="0.3">
      <c r="AD16813" s="16"/>
    </row>
    <row r="16814" spans="30:30" x14ac:dyDescent="0.3">
      <c r="AD16814" s="16"/>
    </row>
    <row r="16815" spans="30:30" x14ac:dyDescent="0.3">
      <c r="AD16815" s="16"/>
    </row>
    <row r="16816" spans="30:30" x14ac:dyDescent="0.3">
      <c r="AD16816" s="16"/>
    </row>
    <row r="16817" spans="30:30" x14ac:dyDescent="0.3">
      <c r="AD16817" s="16"/>
    </row>
    <row r="16818" spans="30:30" x14ac:dyDescent="0.3">
      <c r="AD16818" s="16"/>
    </row>
    <row r="16819" spans="30:30" x14ac:dyDescent="0.3">
      <c r="AD16819" s="16"/>
    </row>
    <row r="16820" spans="30:30" x14ac:dyDescent="0.3">
      <c r="AD16820" s="16"/>
    </row>
    <row r="16821" spans="30:30" x14ac:dyDescent="0.3">
      <c r="AD16821" s="16"/>
    </row>
    <row r="16822" spans="30:30" x14ac:dyDescent="0.3">
      <c r="AD16822" s="16"/>
    </row>
    <row r="16823" spans="30:30" x14ac:dyDescent="0.3">
      <c r="AD16823" s="16"/>
    </row>
    <row r="16824" spans="30:30" x14ac:dyDescent="0.3">
      <c r="AD16824" s="16"/>
    </row>
    <row r="16825" spans="30:30" x14ac:dyDescent="0.3">
      <c r="AD16825" s="16"/>
    </row>
    <row r="16826" spans="30:30" x14ac:dyDescent="0.3">
      <c r="AD16826" s="16"/>
    </row>
    <row r="16827" spans="30:30" x14ac:dyDescent="0.3">
      <c r="AD16827" s="16"/>
    </row>
    <row r="16828" spans="30:30" x14ac:dyDescent="0.3">
      <c r="AD16828" s="16"/>
    </row>
    <row r="16829" spans="30:30" x14ac:dyDescent="0.3">
      <c r="AD16829" s="16"/>
    </row>
    <row r="16830" spans="30:30" x14ac:dyDescent="0.3">
      <c r="AD16830" s="16"/>
    </row>
    <row r="16831" spans="30:30" x14ac:dyDescent="0.3">
      <c r="AD16831" s="16"/>
    </row>
    <row r="16832" spans="30:30" x14ac:dyDescent="0.3">
      <c r="AD16832" s="16"/>
    </row>
    <row r="16833" spans="30:30" x14ac:dyDescent="0.3">
      <c r="AD16833" s="16"/>
    </row>
    <row r="16834" spans="30:30" x14ac:dyDescent="0.3">
      <c r="AD16834" s="16"/>
    </row>
    <row r="16835" spans="30:30" x14ac:dyDescent="0.3">
      <c r="AD16835" s="16"/>
    </row>
    <row r="16836" spans="30:30" x14ac:dyDescent="0.3">
      <c r="AD16836" s="16"/>
    </row>
    <row r="16837" spans="30:30" x14ac:dyDescent="0.3">
      <c r="AD16837" s="16"/>
    </row>
    <row r="16838" spans="30:30" x14ac:dyDescent="0.3">
      <c r="AD16838" s="16"/>
    </row>
    <row r="16839" spans="30:30" x14ac:dyDescent="0.3">
      <c r="AD16839" s="16"/>
    </row>
    <row r="16840" spans="30:30" x14ac:dyDescent="0.3">
      <c r="AD16840" s="16"/>
    </row>
    <row r="16841" spans="30:30" x14ac:dyDescent="0.3">
      <c r="AD16841" s="16"/>
    </row>
    <row r="16842" spans="30:30" x14ac:dyDescent="0.3">
      <c r="AD16842" s="16"/>
    </row>
    <row r="16843" spans="30:30" x14ac:dyDescent="0.3">
      <c r="AD16843" s="16"/>
    </row>
    <row r="16844" spans="30:30" x14ac:dyDescent="0.3">
      <c r="AD16844" s="16"/>
    </row>
    <row r="16845" spans="30:30" x14ac:dyDescent="0.3">
      <c r="AD16845" s="16"/>
    </row>
    <row r="16846" spans="30:30" x14ac:dyDescent="0.3">
      <c r="AD16846" s="16"/>
    </row>
    <row r="16847" spans="30:30" x14ac:dyDescent="0.3">
      <c r="AD16847" s="16"/>
    </row>
    <row r="16848" spans="30:30" x14ac:dyDescent="0.3">
      <c r="AD16848" s="16"/>
    </row>
    <row r="16849" spans="30:30" x14ac:dyDescent="0.3">
      <c r="AD16849" s="16"/>
    </row>
    <row r="16850" spans="30:30" x14ac:dyDescent="0.3">
      <c r="AD16850" s="16"/>
    </row>
    <row r="16851" spans="30:30" x14ac:dyDescent="0.3">
      <c r="AD16851" s="16"/>
    </row>
    <row r="16852" spans="30:30" x14ac:dyDescent="0.3">
      <c r="AD16852" s="16"/>
    </row>
    <row r="16853" spans="30:30" x14ac:dyDescent="0.3">
      <c r="AD16853" s="16"/>
    </row>
    <row r="16854" spans="30:30" x14ac:dyDescent="0.3">
      <c r="AD16854" s="16"/>
    </row>
    <row r="16855" spans="30:30" x14ac:dyDescent="0.3">
      <c r="AD16855" s="16"/>
    </row>
    <row r="16856" spans="30:30" x14ac:dyDescent="0.3">
      <c r="AD16856" s="16"/>
    </row>
    <row r="16857" spans="30:30" x14ac:dyDescent="0.3">
      <c r="AD16857" s="16"/>
    </row>
    <row r="16858" spans="30:30" x14ac:dyDescent="0.3">
      <c r="AD16858" s="16"/>
    </row>
    <row r="16859" spans="30:30" x14ac:dyDescent="0.3">
      <c r="AD16859" s="16"/>
    </row>
    <row r="16860" spans="30:30" x14ac:dyDescent="0.3">
      <c r="AD16860" s="16"/>
    </row>
    <row r="16861" spans="30:30" x14ac:dyDescent="0.3">
      <c r="AD16861" s="16"/>
    </row>
    <row r="16862" spans="30:30" x14ac:dyDescent="0.3">
      <c r="AD16862" s="16"/>
    </row>
    <row r="16863" spans="30:30" x14ac:dyDescent="0.3">
      <c r="AD16863" s="16"/>
    </row>
    <row r="16864" spans="30:30" x14ac:dyDescent="0.3">
      <c r="AD16864" s="16"/>
    </row>
    <row r="16865" spans="30:30" x14ac:dyDescent="0.3">
      <c r="AD16865" s="16"/>
    </row>
    <row r="16866" spans="30:30" x14ac:dyDescent="0.3">
      <c r="AD16866" s="16"/>
    </row>
    <row r="16867" spans="30:30" x14ac:dyDescent="0.3">
      <c r="AD16867" s="16"/>
    </row>
    <row r="16868" spans="30:30" x14ac:dyDescent="0.3">
      <c r="AD16868" s="16"/>
    </row>
    <row r="16869" spans="30:30" x14ac:dyDescent="0.3">
      <c r="AD16869" s="16"/>
    </row>
    <row r="16870" spans="30:30" x14ac:dyDescent="0.3">
      <c r="AD16870" s="16"/>
    </row>
    <row r="16871" spans="30:30" x14ac:dyDescent="0.3">
      <c r="AD16871" s="16"/>
    </row>
    <row r="16872" spans="30:30" x14ac:dyDescent="0.3">
      <c r="AD16872" s="16"/>
    </row>
    <row r="16873" spans="30:30" x14ac:dyDescent="0.3">
      <c r="AD16873" s="16"/>
    </row>
    <row r="16874" spans="30:30" x14ac:dyDescent="0.3">
      <c r="AD16874" s="16"/>
    </row>
    <row r="16875" spans="30:30" x14ac:dyDescent="0.3">
      <c r="AD16875" s="16"/>
    </row>
    <row r="16876" spans="30:30" x14ac:dyDescent="0.3">
      <c r="AD16876" s="16"/>
    </row>
    <row r="16877" spans="30:30" x14ac:dyDescent="0.3">
      <c r="AD16877" s="16"/>
    </row>
    <row r="16878" spans="30:30" x14ac:dyDescent="0.3">
      <c r="AD16878" s="16"/>
    </row>
    <row r="16879" spans="30:30" x14ac:dyDescent="0.3">
      <c r="AD16879" s="16"/>
    </row>
    <row r="16880" spans="30:30" x14ac:dyDescent="0.3">
      <c r="AD16880" s="16"/>
    </row>
    <row r="16881" spans="30:30" x14ac:dyDescent="0.3">
      <c r="AD16881" s="16"/>
    </row>
    <row r="16882" spans="30:30" x14ac:dyDescent="0.3">
      <c r="AD16882" s="16"/>
    </row>
    <row r="16883" spans="30:30" x14ac:dyDescent="0.3">
      <c r="AD16883" s="16"/>
    </row>
    <row r="16884" spans="30:30" x14ac:dyDescent="0.3">
      <c r="AD16884" s="16"/>
    </row>
    <row r="16885" spans="30:30" x14ac:dyDescent="0.3">
      <c r="AD16885" s="16"/>
    </row>
    <row r="16886" spans="30:30" x14ac:dyDescent="0.3">
      <c r="AD16886" s="16"/>
    </row>
    <row r="16887" spans="30:30" x14ac:dyDescent="0.3">
      <c r="AD16887" s="16"/>
    </row>
    <row r="16888" spans="30:30" x14ac:dyDescent="0.3">
      <c r="AD16888" s="16"/>
    </row>
    <row r="16889" spans="30:30" x14ac:dyDescent="0.3">
      <c r="AD16889" s="16"/>
    </row>
    <row r="16890" spans="30:30" x14ac:dyDescent="0.3">
      <c r="AD16890" s="16"/>
    </row>
    <row r="16891" spans="30:30" x14ac:dyDescent="0.3">
      <c r="AD16891" s="16"/>
    </row>
    <row r="16892" spans="30:30" x14ac:dyDescent="0.3">
      <c r="AD16892" s="16"/>
    </row>
    <row r="16893" spans="30:30" x14ac:dyDescent="0.3">
      <c r="AD16893" s="16"/>
    </row>
    <row r="16894" spans="30:30" x14ac:dyDescent="0.3">
      <c r="AD16894" s="16"/>
    </row>
    <row r="16895" spans="30:30" x14ac:dyDescent="0.3">
      <c r="AD16895" s="16"/>
    </row>
    <row r="16896" spans="30:30" x14ac:dyDescent="0.3">
      <c r="AD16896" s="16"/>
    </row>
    <row r="16897" spans="30:30" x14ac:dyDescent="0.3">
      <c r="AD16897" s="16"/>
    </row>
    <row r="16898" spans="30:30" x14ac:dyDescent="0.3">
      <c r="AD16898" s="16"/>
    </row>
    <row r="16899" spans="30:30" x14ac:dyDescent="0.3">
      <c r="AD16899" s="16"/>
    </row>
    <row r="16900" spans="30:30" x14ac:dyDescent="0.3">
      <c r="AD16900" s="16"/>
    </row>
    <row r="16901" spans="30:30" x14ac:dyDescent="0.3">
      <c r="AD16901" s="16"/>
    </row>
    <row r="16902" spans="30:30" x14ac:dyDescent="0.3">
      <c r="AD16902" s="16"/>
    </row>
    <row r="16903" spans="30:30" x14ac:dyDescent="0.3">
      <c r="AD16903" s="16"/>
    </row>
    <row r="16904" spans="30:30" x14ac:dyDescent="0.3">
      <c r="AD16904" s="16"/>
    </row>
    <row r="16905" spans="30:30" x14ac:dyDescent="0.3">
      <c r="AD16905" s="16"/>
    </row>
    <row r="16906" spans="30:30" x14ac:dyDescent="0.3">
      <c r="AD16906" s="16"/>
    </row>
    <row r="16907" spans="30:30" x14ac:dyDescent="0.3">
      <c r="AD16907" s="16"/>
    </row>
    <row r="16908" spans="30:30" x14ac:dyDescent="0.3">
      <c r="AD16908" s="16"/>
    </row>
    <row r="16909" spans="30:30" x14ac:dyDescent="0.3">
      <c r="AD16909" s="16"/>
    </row>
    <row r="16910" spans="30:30" x14ac:dyDescent="0.3">
      <c r="AD16910" s="16"/>
    </row>
    <row r="16911" spans="30:30" x14ac:dyDescent="0.3">
      <c r="AD16911" s="16"/>
    </row>
    <row r="16912" spans="30:30" x14ac:dyDescent="0.3">
      <c r="AD16912" s="16"/>
    </row>
    <row r="16913" spans="30:30" x14ac:dyDescent="0.3">
      <c r="AD16913" s="16"/>
    </row>
    <row r="16914" spans="30:30" x14ac:dyDescent="0.3">
      <c r="AD16914" s="16"/>
    </row>
    <row r="16915" spans="30:30" x14ac:dyDescent="0.3">
      <c r="AD16915" s="16"/>
    </row>
    <row r="16916" spans="30:30" x14ac:dyDescent="0.3">
      <c r="AD16916" s="16"/>
    </row>
    <row r="16917" spans="30:30" x14ac:dyDescent="0.3">
      <c r="AD16917" s="16"/>
    </row>
    <row r="16918" spans="30:30" x14ac:dyDescent="0.3">
      <c r="AD16918" s="16"/>
    </row>
    <row r="16919" spans="30:30" x14ac:dyDescent="0.3">
      <c r="AD16919" s="16"/>
    </row>
    <row r="16920" spans="30:30" x14ac:dyDescent="0.3">
      <c r="AD16920" s="16"/>
    </row>
    <row r="16921" spans="30:30" x14ac:dyDescent="0.3">
      <c r="AD16921" s="16"/>
    </row>
    <row r="16922" spans="30:30" x14ac:dyDescent="0.3">
      <c r="AD16922" s="16"/>
    </row>
    <row r="16923" spans="30:30" x14ac:dyDescent="0.3">
      <c r="AD16923" s="16"/>
    </row>
    <row r="16924" spans="30:30" x14ac:dyDescent="0.3">
      <c r="AD16924" s="16"/>
    </row>
    <row r="16925" spans="30:30" x14ac:dyDescent="0.3">
      <c r="AD16925" s="16"/>
    </row>
    <row r="16926" spans="30:30" x14ac:dyDescent="0.3">
      <c r="AD16926" s="16"/>
    </row>
    <row r="16927" spans="30:30" x14ac:dyDescent="0.3">
      <c r="AD16927" s="16"/>
    </row>
    <row r="16928" spans="30:30" x14ac:dyDescent="0.3">
      <c r="AD16928" s="16"/>
    </row>
    <row r="16929" spans="30:30" x14ac:dyDescent="0.3">
      <c r="AD16929" s="16"/>
    </row>
    <row r="16930" spans="30:30" x14ac:dyDescent="0.3">
      <c r="AD16930" s="16"/>
    </row>
    <row r="16931" spans="30:30" x14ac:dyDescent="0.3">
      <c r="AD16931" s="16"/>
    </row>
    <row r="16932" spans="30:30" x14ac:dyDescent="0.3">
      <c r="AD16932" s="16"/>
    </row>
    <row r="16933" spans="30:30" x14ac:dyDescent="0.3">
      <c r="AD16933" s="16"/>
    </row>
    <row r="16934" spans="30:30" x14ac:dyDescent="0.3">
      <c r="AD16934" s="16"/>
    </row>
    <row r="16935" spans="30:30" x14ac:dyDescent="0.3">
      <c r="AD16935" s="16"/>
    </row>
    <row r="16936" spans="30:30" x14ac:dyDescent="0.3">
      <c r="AD16936" s="16"/>
    </row>
    <row r="16937" spans="30:30" x14ac:dyDescent="0.3">
      <c r="AD16937" s="16"/>
    </row>
    <row r="16938" spans="30:30" x14ac:dyDescent="0.3">
      <c r="AD16938" s="16"/>
    </row>
    <row r="16939" spans="30:30" x14ac:dyDescent="0.3">
      <c r="AD16939" s="16"/>
    </row>
    <row r="16940" spans="30:30" x14ac:dyDescent="0.3">
      <c r="AD16940" s="16"/>
    </row>
    <row r="16941" spans="30:30" x14ac:dyDescent="0.3">
      <c r="AD16941" s="16"/>
    </row>
    <row r="16942" spans="30:30" x14ac:dyDescent="0.3">
      <c r="AD16942" s="16"/>
    </row>
    <row r="16943" spans="30:30" x14ac:dyDescent="0.3">
      <c r="AD16943" s="16"/>
    </row>
    <row r="16944" spans="30:30" x14ac:dyDescent="0.3">
      <c r="AD16944" s="16"/>
    </row>
    <row r="16945" spans="30:30" x14ac:dyDescent="0.3">
      <c r="AD16945" s="16"/>
    </row>
    <row r="16946" spans="30:30" x14ac:dyDescent="0.3">
      <c r="AD16946" s="16"/>
    </row>
    <row r="16947" spans="30:30" x14ac:dyDescent="0.3">
      <c r="AD16947" s="16"/>
    </row>
    <row r="16948" spans="30:30" x14ac:dyDescent="0.3">
      <c r="AD16948" s="16"/>
    </row>
    <row r="16949" spans="30:30" x14ac:dyDescent="0.3">
      <c r="AD16949" s="16"/>
    </row>
    <row r="16950" spans="30:30" x14ac:dyDescent="0.3">
      <c r="AD16950" s="16"/>
    </row>
    <row r="16951" spans="30:30" x14ac:dyDescent="0.3">
      <c r="AD16951" s="16"/>
    </row>
    <row r="16952" spans="30:30" x14ac:dyDescent="0.3">
      <c r="AD16952" s="16"/>
    </row>
    <row r="16953" spans="30:30" x14ac:dyDescent="0.3">
      <c r="AD16953" s="16"/>
    </row>
    <row r="16954" spans="30:30" x14ac:dyDescent="0.3">
      <c r="AD16954" s="16"/>
    </row>
    <row r="16955" spans="30:30" x14ac:dyDescent="0.3">
      <c r="AD16955" s="16"/>
    </row>
    <row r="16956" spans="30:30" x14ac:dyDescent="0.3">
      <c r="AD16956" s="16"/>
    </row>
    <row r="16957" spans="30:30" x14ac:dyDescent="0.3">
      <c r="AD16957" s="16"/>
    </row>
    <row r="16958" spans="30:30" x14ac:dyDescent="0.3">
      <c r="AD16958" s="16"/>
    </row>
    <row r="16959" spans="30:30" x14ac:dyDescent="0.3">
      <c r="AD16959" s="16"/>
    </row>
    <row r="16960" spans="30:30" x14ac:dyDescent="0.3">
      <c r="AD16960" s="16"/>
    </row>
    <row r="16961" spans="30:30" x14ac:dyDescent="0.3">
      <c r="AD16961" s="16"/>
    </row>
    <row r="16962" spans="30:30" x14ac:dyDescent="0.3">
      <c r="AD16962" s="16"/>
    </row>
    <row r="16963" spans="30:30" x14ac:dyDescent="0.3">
      <c r="AD16963" s="16"/>
    </row>
    <row r="16964" spans="30:30" x14ac:dyDescent="0.3">
      <c r="AD16964" s="16"/>
    </row>
    <row r="16965" spans="30:30" x14ac:dyDescent="0.3">
      <c r="AD16965" s="16"/>
    </row>
    <row r="16966" spans="30:30" x14ac:dyDescent="0.3">
      <c r="AD16966" s="16"/>
    </row>
    <row r="16967" spans="30:30" x14ac:dyDescent="0.3">
      <c r="AD16967" s="16"/>
    </row>
    <row r="16968" spans="30:30" x14ac:dyDescent="0.3">
      <c r="AD16968" s="16"/>
    </row>
    <row r="16969" spans="30:30" x14ac:dyDescent="0.3">
      <c r="AD16969" s="16"/>
    </row>
    <row r="16970" spans="30:30" x14ac:dyDescent="0.3">
      <c r="AD16970" s="16"/>
    </row>
    <row r="16971" spans="30:30" x14ac:dyDescent="0.3">
      <c r="AD16971" s="16"/>
    </row>
    <row r="16972" spans="30:30" x14ac:dyDescent="0.3">
      <c r="AD16972" s="16"/>
    </row>
    <row r="16973" spans="30:30" x14ac:dyDescent="0.3">
      <c r="AD16973" s="16"/>
    </row>
    <row r="16974" spans="30:30" x14ac:dyDescent="0.3">
      <c r="AD16974" s="16"/>
    </row>
    <row r="16975" spans="30:30" x14ac:dyDescent="0.3">
      <c r="AD16975" s="16"/>
    </row>
    <row r="16976" spans="30:30" x14ac:dyDescent="0.3">
      <c r="AD16976" s="16"/>
    </row>
    <row r="16977" spans="30:30" x14ac:dyDescent="0.3">
      <c r="AD16977" s="16"/>
    </row>
    <row r="16978" spans="30:30" x14ac:dyDescent="0.3">
      <c r="AD16978" s="16"/>
    </row>
    <row r="16979" spans="30:30" x14ac:dyDescent="0.3">
      <c r="AD16979" s="16"/>
    </row>
    <row r="16980" spans="30:30" x14ac:dyDescent="0.3">
      <c r="AD16980" s="16"/>
    </row>
    <row r="16981" spans="30:30" x14ac:dyDescent="0.3">
      <c r="AD16981" s="16"/>
    </row>
    <row r="16982" spans="30:30" x14ac:dyDescent="0.3">
      <c r="AD16982" s="16"/>
    </row>
    <row r="16983" spans="30:30" x14ac:dyDescent="0.3">
      <c r="AD16983" s="16"/>
    </row>
    <row r="16984" spans="30:30" x14ac:dyDescent="0.3">
      <c r="AD16984" s="16"/>
    </row>
    <row r="16985" spans="30:30" x14ac:dyDescent="0.3">
      <c r="AD16985" s="16"/>
    </row>
    <row r="16986" spans="30:30" x14ac:dyDescent="0.3">
      <c r="AD16986" s="16"/>
    </row>
    <row r="16987" spans="30:30" x14ac:dyDescent="0.3">
      <c r="AD16987" s="16"/>
    </row>
    <row r="16988" spans="30:30" x14ac:dyDescent="0.3">
      <c r="AD16988" s="16"/>
    </row>
    <row r="16989" spans="30:30" x14ac:dyDescent="0.3">
      <c r="AD16989" s="16"/>
    </row>
    <row r="16990" spans="30:30" x14ac:dyDescent="0.3">
      <c r="AD16990" s="16"/>
    </row>
    <row r="16991" spans="30:30" x14ac:dyDescent="0.3">
      <c r="AD16991" s="16"/>
    </row>
    <row r="16992" spans="30:30" x14ac:dyDescent="0.3">
      <c r="AD16992" s="16"/>
    </row>
    <row r="16993" spans="30:30" x14ac:dyDescent="0.3">
      <c r="AD16993" s="16"/>
    </row>
    <row r="16994" spans="30:30" x14ac:dyDescent="0.3">
      <c r="AD16994" s="16"/>
    </row>
    <row r="16995" spans="30:30" x14ac:dyDescent="0.3">
      <c r="AD16995" s="16"/>
    </row>
    <row r="16996" spans="30:30" x14ac:dyDescent="0.3">
      <c r="AD16996" s="16"/>
    </row>
    <row r="16997" spans="30:30" x14ac:dyDescent="0.3">
      <c r="AD16997" s="16"/>
    </row>
    <row r="16998" spans="30:30" x14ac:dyDescent="0.3">
      <c r="AD16998" s="16"/>
    </row>
    <row r="16999" spans="30:30" x14ac:dyDescent="0.3">
      <c r="AD16999" s="16"/>
    </row>
    <row r="17000" spans="30:30" x14ac:dyDescent="0.3">
      <c r="AD17000" s="16"/>
    </row>
    <row r="17001" spans="30:30" x14ac:dyDescent="0.3">
      <c r="AD17001" s="16"/>
    </row>
    <row r="17002" spans="30:30" x14ac:dyDescent="0.3">
      <c r="AD17002" s="16"/>
    </row>
    <row r="17003" spans="30:30" x14ac:dyDescent="0.3">
      <c r="AD17003" s="16"/>
    </row>
    <row r="17004" spans="30:30" x14ac:dyDescent="0.3">
      <c r="AD17004" s="16"/>
    </row>
    <row r="17005" spans="30:30" x14ac:dyDescent="0.3">
      <c r="AD17005" s="16"/>
    </row>
    <row r="17006" spans="30:30" x14ac:dyDescent="0.3">
      <c r="AD17006" s="16"/>
    </row>
    <row r="17007" spans="30:30" x14ac:dyDescent="0.3">
      <c r="AD17007" s="16"/>
    </row>
    <row r="17008" spans="30:30" x14ac:dyDescent="0.3">
      <c r="AD17008" s="16"/>
    </row>
    <row r="17009" spans="30:30" x14ac:dyDescent="0.3">
      <c r="AD17009" s="16"/>
    </row>
    <row r="17010" spans="30:30" x14ac:dyDescent="0.3">
      <c r="AD17010" s="16"/>
    </row>
    <row r="17011" spans="30:30" x14ac:dyDescent="0.3">
      <c r="AD17011" s="16"/>
    </row>
    <row r="17012" spans="30:30" x14ac:dyDescent="0.3">
      <c r="AD17012" s="16"/>
    </row>
    <row r="17013" spans="30:30" x14ac:dyDescent="0.3">
      <c r="AD17013" s="16"/>
    </row>
    <row r="17014" spans="30:30" x14ac:dyDescent="0.3">
      <c r="AD17014" s="16"/>
    </row>
    <row r="17015" spans="30:30" x14ac:dyDescent="0.3">
      <c r="AD17015" s="16"/>
    </row>
    <row r="17016" spans="30:30" x14ac:dyDescent="0.3">
      <c r="AD17016" s="16"/>
    </row>
    <row r="17017" spans="30:30" x14ac:dyDescent="0.3">
      <c r="AD17017" s="16"/>
    </row>
    <row r="17018" spans="30:30" x14ac:dyDescent="0.3">
      <c r="AD17018" s="16"/>
    </row>
    <row r="17019" spans="30:30" x14ac:dyDescent="0.3">
      <c r="AD17019" s="16"/>
    </row>
    <row r="17020" spans="30:30" x14ac:dyDescent="0.3">
      <c r="AD17020" s="16"/>
    </row>
    <row r="17021" spans="30:30" x14ac:dyDescent="0.3">
      <c r="AD17021" s="16"/>
    </row>
    <row r="17022" spans="30:30" x14ac:dyDescent="0.3">
      <c r="AD17022" s="16"/>
    </row>
    <row r="17023" spans="30:30" x14ac:dyDescent="0.3">
      <c r="AD17023" s="16"/>
    </row>
    <row r="17024" spans="30:30" x14ac:dyDescent="0.3">
      <c r="AD17024" s="16"/>
    </row>
    <row r="17025" spans="30:30" x14ac:dyDescent="0.3">
      <c r="AD17025" s="16"/>
    </row>
    <row r="17026" spans="30:30" x14ac:dyDescent="0.3">
      <c r="AD17026" s="16"/>
    </row>
    <row r="17027" spans="30:30" x14ac:dyDescent="0.3">
      <c r="AD17027" s="16"/>
    </row>
    <row r="17028" spans="30:30" x14ac:dyDescent="0.3">
      <c r="AD17028" s="16"/>
    </row>
    <row r="17029" spans="30:30" x14ac:dyDescent="0.3">
      <c r="AD17029" s="16"/>
    </row>
    <row r="17030" spans="30:30" x14ac:dyDescent="0.3">
      <c r="AD17030" s="16"/>
    </row>
    <row r="17031" spans="30:30" x14ac:dyDescent="0.3">
      <c r="AD17031" s="16"/>
    </row>
    <row r="17032" spans="30:30" x14ac:dyDescent="0.3">
      <c r="AD17032" s="16"/>
    </row>
    <row r="17033" spans="30:30" x14ac:dyDescent="0.3">
      <c r="AD17033" s="16"/>
    </row>
    <row r="17034" spans="30:30" x14ac:dyDescent="0.3">
      <c r="AD17034" s="16"/>
    </row>
    <row r="17035" spans="30:30" x14ac:dyDescent="0.3">
      <c r="AD17035" s="16"/>
    </row>
    <row r="17036" spans="30:30" x14ac:dyDescent="0.3">
      <c r="AD17036" s="16"/>
    </row>
    <row r="17037" spans="30:30" x14ac:dyDescent="0.3">
      <c r="AD17037" s="16"/>
    </row>
    <row r="17038" spans="30:30" x14ac:dyDescent="0.3">
      <c r="AD17038" s="16"/>
    </row>
    <row r="17039" spans="30:30" x14ac:dyDescent="0.3">
      <c r="AD17039" s="16"/>
    </row>
    <row r="17040" spans="30:30" x14ac:dyDescent="0.3">
      <c r="AD17040" s="16"/>
    </row>
    <row r="17041" spans="30:30" x14ac:dyDescent="0.3">
      <c r="AD17041" s="16"/>
    </row>
    <row r="17042" spans="30:30" x14ac:dyDescent="0.3">
      <c r="AD17042" s="16"/>
    </row>
    <row r="17043" spans="30:30" x14ac:dyDescent="0.3">
      <c r="AD17043" s="16"/>
    </row>
    <row r="17044" spans="30:30" x14ac:dyDescent="0.3">
      <c r="AD17044" s="16"/>
    </row>
    <row r="17045" spans="30:30" x14ac:dyDescent="0.3">
      <c r="AD17045" s="16"/>
    </row>
    <row r="17046" spans="30:30" x14ac:dyDescent="0.3">
      <c r="AD17046" s="16"/>
    </row>
    <row r="17047" spans="30:30" x14ac:dyDescent="0.3">
      <c r="AD17047" s="16"/>
    </row>
    <row r="17048" spans="30:30" x14ac:dyDescent="0.3">
      <c r="AD17048" s="16"/>
    </row>
    <row r="17049" spans="30:30" x14ac:dyDescent="0.3">
      <c r="AD17049" s="16"/>
    </row>
    <row r="17050" spans="30:30" x14ac:dyDescent="0.3">
      <c r="AD17050" s="16"/>
    </row>
    <row r="17051" spans="30:30" x14ac:dyDescent="0.3">
      <c r="AD17051" s="16"/>
    </row>
    <row r="17052" spans="30:30" x14ac:dyDescent="0.3">
      <c r="AD17052" s="16"/>
    </row>
    <row r="17053" spans="30:30" x14ac:dyDescent="0.3">
      <c r="AD17053" s="16"/>
    </row>
    <row r="17054" spans="30:30" x14ac:dyDescent="0.3">
      <c r="AD17054" s="16"/>
    </row>
    <row r="17055" spans="30:30" x14ac:dyDescent="0.3">
      <c r="AD17055" s="16"/>
    </row>
    <row r="17056" spans="30:30" x14ac:dyDescent="0.3">
      <c r="AD17056" s="16"/>
    </row>
    <row r="17057" spans="30:30" x14ac:dyDescent="0.3">
      <c r="AD17057" s="16"/>
    </row>
    <row r="17058" spans="30:30" x14ac:dyDescent="0.3">
      <c r="AD17058" s="16"/>
    </row>
    <row r="17059" spans="30:30" x14ac:dyDescent="0.3">
      <c r="AD17059" s="16"/>
    </row>
    <row r="17060" spans="30:30" x14ac:dyDescent="0.3">
      <c r="AD17060" s="16"/>
    </row>
    <row r="17061" spans="30:30" x14ac:dyDescent="0.3">
      <c r="AD17061" s="16"/>
    </row>
    <row r="17062" spans="30:30" x14ac:dyDescent="0.3">
      <c r="AD17062" s="16"/>
    </row>
    <row r="17063" spans="30:30" x14ac:dyDescent="0.3">
      <c r="AD17063" s="16"/>
    </row>
    <row r="17064" spans="30:30" x14ac:dyDescent="0.3">
      <c r="AD17064" s="16"/>
    </row>
    <row r="17065" spans="30:30" x14ac:dyDescent="0.3">
      <c r="AD17065" s="16"/>
    </row>
    <row r="17066" spans="30:30" x14ac:dyDescent="0.3">
      <c r="AD17066" s="16"/>
    </row>
    <row r="17067" spans="30:30" x14ac:dyDescent="0.3">
      <c r="AD17067" s="16"/>
    </row>
    <row r="17068" spans="30:30" x14ac:dyDescent="0.3">
      <c r="AD17068" s="16"/>
    </row>
    <row r="17069" spans="30:30" x14ac:dyDescent="0.3">
      <c r="AD17069" s="16"/>
    </row>
    <row r="17070" spans="30:30" x14ac:dyDescent="0.3">
      <c r="AD17070" s="16"/>
    </row>
    <row r="17071" spans="30:30" x14ac:dyDescent="0.3">
      <c r="AD17071" s="16"/>
    </row>
    <row r="17072" spans="30:30" x14ac:dyDescent="0.3">
      <c r="AD17072" s="16"/>
    </row>
    <row r="17073" spans="30:30" x14ac:dyDescent="0.3">
      <c r="AD17073" s="16"/>
    </row>
    <row r="17074" spans="30:30" x14ac:dyDescent="0.3">
      <c r="AD17074" s="16"/>
    </row>
    <row r="17075" spans="30:30" x14ac:dyDescent="0.3">
      <c r="AD17075" s="16"/>
    </row>
    <row r="17076" spans="30:30" x14ac:dyDescent="0.3">
      <c r="AD17076" s="16"/>
    </row>
    <row r="17077" spans="30:30" x14ac:dyDescent="0.3">
      <c r="AD17077" s="16"/>
    </row>
    <row r="17078" spans="30:30" x14ac:dyDescent="0.3">
      <c r="AD17078" s="16"/>
    </row>
    <row r="17079" spans="30:30" x14ac:dyDescent="0.3">
      <c r="AD17079" s="16"/>
    </row>
    <row r="17080" spans="30:30" x14ac:dyDescent="0.3">
      <c r="AD17080" s="16"/>
    </row>
    <row r="17081" spans="30:30" x14ac:dyDescent="0.3">
      <c r="AD17081" s="16"/>
    </row>
    <row r="17082" spans="30:30" x14ac:dyDescent="0.3">
      <c r="AD17082" s="16"/>
    </row>
    <row r="17083" spans="30:30" x14ac:dyDescent="0.3">
      <c r="AD17083" s="16"/>
    </row>
    <row r="17084" spans="30:30" x14ac:dyDescent="0.3">
      <c r="AD17084" s="16"/>
    </row>
    <row r="17085" spans="30:30" x14ac:dyDescent="0.3">
      <c r="AD17085" s="16"/>
    </row>
    <row r="17086" spans="30:30" x14ac:dyDescent="0.3">
      <c r="AD17086" s="16"/>
    </row>
    <row r="17087" spans="30:30" x14ac:dyDescent="0.3">
      <c r="AD17087" s="16"/>
    </row>
    <row r="17088" spans="30:30" x14ac:dyDescent="0.3">
      <c r="AD17088" s="16"/>
    </row>
    <row r="17089" spans="30:30" x14ac:dyDescent="0.3">
      <c r="AD17089" s="16"/>
    </row>
    <row r="17090" spans="30:30" x14ac:dyDescent="0.3">
      <c r="AD17090" s="16"/>
    </row>
    <row r="17091" spans="30:30" x14ac:dyDescent="0.3">
      <c r="AD17091" s="16"/>
    </row>
    <row r="17092" spans="30:30" x14ac:dyDescent="0.3">
      <c r="AD17092" s="16"/>
    </row>
    <row r="17093" spans="30:30" x14ac:dyDescent="0.3">
      <c r="AD17093" s="16"/>
    </row>
    <row r="17094" spans="30:30" x14ac:dyDescent="0.3">
      <c r="AD17094" s="16"/>
    </row>
    <row r="17095" spans="30:30" x14ac:dyDescent="0.3">
      <c r="AD17095" s="16"/>
    </row>
    <row r="17096" spans="30:30" x14ac:dyDescent="0.3">
      <c r="AD17096" s="16"/>
    </row>
    <row r="17097" spans="30:30" x14ac:dyDescent="0.3">
      <c r="AD17097" s="16"/>
    </row>
    <row r="17098" spans="30:30" x14ac:dyDescent="0.3">
      <c r="AD17098" s="16"/>
    </row>
    <row r="17099" spans="30:30" x14ac:dyDescent="0.3">
      <c r="AD17099" s="16"/>
    </row>
    <row r="17100" spans="30:30" x14ac:dyDescent="0.3">
      <c r="AD17100" s="16"/>
    </row>
    <row r="17101" spans="30:30" x14ac:dyDescent="0.3">
      <c r="AD17101" s="16"/>
    </row>
    <row r="17102" spans="30:30" x14ac:dyDescent="0.3">
      <c r="AD17102" s="16"/>
    </row>
    <row r="17103" spans="30:30" x14ac:dyDescent="0.3">
      <c r="AD17103" s="16"/>
    </row>
    <row r="17104" spans="30:30" x14ac:dyDescent="0.3">
      <c r="AD17104" s="16"/>
    </row>
    <row r="17105" spans="30:30" x14ac:dyDescent="0.3">
      <c r="AD17105" s="16"/>
    </row>
    <row r="17106" spans="30:30" x14ac:dyDescent="0.3">
      <c r="AD17106" s="16"/>
    </row>
    <row r="17107" spans="30:30" x14ac:dyDescent="0.3">
      <c r="AD17107" s="16"/>
    </row>
    <row r="17108" spans="30:30" x14ac:dyDescent="0.3">
      <c r="AD17108" s="16"/>
    </row>
    <row r="17109" spans="30:30" x14ac:dyDescent="0.3">
      <c r="AD17109" s="16"/>
    </row>
    <row r="17110" spans="30:30" x14ac:dyDescent="0.3">
      <c r="AD17110" s="16"/>
    </row>
    <row r="17111" spans="30:30" x14ac:dyDescent="0.3">
      <c r="AD17111" s="16"/>
    </row>
    <row r="17112" spans="30:30" x14ac:dyDescent="0.3">
      <c r="AD17112" s="16"/>
    </row>
    <row r="17113" spans="30:30" x14ac:dyDescent="0.3">
      <c r="AD17113" s="16"/>
    </row>
    <row r="17114" spans="30:30" x14ac:dyDescent="0.3">
      <c r="AD17114" s="16"/>
    </row>
    <row r="17115" spans="30:30" x14ac:dyDescent="0.3">
      <c r="AD17115" s="16"/>
    </row>
    <row r="17116" spans="30:30" x14ac:dyDescent="0.3">
      <c r="AD17116" s="16"/>
    </row>
    <row r="17117" spans="30:30" x14ac:dyDescent="0.3">
      <c r="AD17117" s="16"/>
    </row>
    <row r="17118" spans="30:30" x14ac:dyDescent="0.3">
      <c r="AD17118" s="16"/>
    </row>
    <row r="17119" spans="30:30" x14ac:dyDescent="0.3">
      <c r="AD17119" s="16"/>
    </row>
    <row r="17120" spans="30:30" x14ac:dyDescent="0.3">
      <c r="AD17120" s="16"/>
    </row>
    <row r="17121" spans="30:30" x14ac:dyDescent="0.3">
      <c r="AD17121" s="16"/>
    </row>
    <row r="17122" spans="30:30" x14ac:dyDescent="0.3">
      <c r="AD17122" s="16"/>
    </row>
    <row r="17123" spans="30:30" x14ac:dyDescent="0.3">
      <c r="AD17123" s="16"/>
    </row>
    <row r="17124" spans="30:30" x14ac:dyDescent="0.3">
      <c r="AD17124" s="16"/>
    </row>
    <row r="17125" spans="30:30" x14ac:dyDescent="0.3">
      <c r="AD17125" s="16"/>
    </row>
    <row r="17126" spans="30:30" x14ac:dyDescent="0.3">
      <c r="AD17126" s="16"/>
    </row>
    <row r="17127" spans="30:30" x14ac:dyDescent="0.3">
      <c r="AD17127" s="16"/>
    </row>
    <row r="17128" spans="30:30" x14ac:dyDescent="0.3">
      <c r="AD17128" s="16"/>
    </row>
    <row r="17129" spans="30:30" x14ac:dyDescent="0.3">
      <c r="AD17129" s="16"/>
    </row>
    <row r="17130" spans="30:30" x14ac:dyDescent="0.3">
      <c r="AD17130" s="16"/>
    </row>
    <row r="17131" spans="30:30" x14ac:dyDescent="0.3">
      <c r="AD17131" s="16"/>
    </row>
    <row r="17132" spans="30:30" x14ac:dyDescent="0.3">
      <c r="AD17132" s="16"/>
    </row>
    <row r="17133" spans="30:30" x14ac:dyDescent="0.3">
      <c r="AD17133" s="16"/>
    </row>
    <row r="17134" spans="30:30" x14ac:dyDescent="0.3">
      <c r="AD17134" s="16"/>
    </row>
    <row r="17135" spans="30:30" x14ac:dyDescent="0.3">
      <c r="AD17135" s="16"/>
    </row>
    <row r="17136" spans="30:30" x14ac:dyDescent="0.3">
      <c r="AD17136" s="16"/>
    </row>
    <row r="17137" spans="30:30" x14ac:dyDescent="0.3">
      <c r="AD17137" s="16"/>
    </row>
    <row r="17138" spans="30:30" x14ac:dyDescent="0.3">
      <c r="AD17138" s="16"/>
    </row>
    <row r="17139" spans="30:30" x14ac:dyDescent="0.3">
      <c r="AD17139" s="16"/>
    </row>
    <row r="17140" spans="30:30" x14ac:dyDescent="0.3">
      <c r="AD17140" s="16"/>
    </row>
    <row r="17141" spans="30:30" x14ac:dyDescent="0.3">
      <c r="AD17141" s="16"/>
    </row>
    <row r="17142" spans="30:30" x14ac:dyDescent="0.3">
      <c r="AD17142" s="16"/>
    </row>
    <row r="17143" spans="30:30" x14ac:dyDescent="0.3">
      <c r="AD17143" s="16"/>
    </row>
    <row r="17144" spans="30:30" x14ac:dyDescent="0.3">
      <c r="AD17144" s="16"/>
    </row>
    <row r="17145" spans="30:30" x14ac:dyDescent="0.3">
      <c r="AD17145" s="16"/>
    </row>
    <row r="17146" spans="30:30" x14ac:dyDescent="0.3">
      <c r="AD17146" s="16"/>
    </row>
    <row r="17147" spans="30:30" x14ac:dyDescent="0.3">
      <c r="AD17147" s="16"/>
    </row>
    <row r="17148" spans="30:30" x14ac:dyDescent="0.3">
      <c r="AD17148" s="16"/>
    </row>
    <row r="17149" spans="30:30" x14ac:dyDescent="0.3">
      <c r="AD17149" s="16"/>
    </row>
    <row r="17150" spans="30:30" x14ac:dyDescent="0.3">
      <c r="AD17150" s="16"/>
    </row>
    <row r="17151" spans="30:30" x14ac:dyDescent="0.3">
      <c r="AD17151" s="16"/>
    </row>
    <row r="17152" spans="30:30" x14ac:dyDescent="0.3">
      <c r="AD17152" s="16"/>
    </row>
    <row r="17153" spans="30:30" x14ac:dyDescent="0.3">
      <c r="AD17153" s="16"/>
    </row>
    <row r="17154" spans="30:30" x14ac:dyDescent="0.3">
      <c r="AD17154" s="16"/>
    </row>
    <row r="17155" spans="30:30" x14ac:dyDescent="0.3">
      <c r="AD17155" s="16"/>
    </row>
    <row r="17156" spans="30:30" x14ac:dyDescent="0.3">
      <c r="AD17156" s="16"/>
    </row>
    <row r="17157" spans="30:30" x14ac:dyDescent="0.3">
      <c r="AD17157" s="16"/>
    </row>
    <row r="17158" spans="30:30" x14ac:dyDescent="0.3">
      <c r="AD17158" s="16"/>
    </row>
    <row r="17159" spans="30:30" x14ac:dyDescent="0.3">
      <c r="AD17159" s="16"/>
    </row>
    <row r="17160" spans="30:30" x14ac:dyDescent="0.3">
      <c r="AD17160" s="16"/>
    </row>
    <row r="17161" spans="30:30" x14ac:dyDescent="0.3">
      <c r="AD17161" s="16"/>
    </row>
    <row r="17162" spans="30:30" x14ac:dyDescent="0.3">
      <c r="AD17162" s="16"/>
    </row>
    <row r="17163" spans="30:30" x14ac:dyDescent="0.3">
      <c r="AD17163" s="16"/>
    </row>
    <row r="17164" spans="30:30" x14ac:dyDescent="0.3">
      <c r="AD17164" s="16"/>
    </row>
    <row r="17165" spans="30:30" x14ac:dyDescent="0.3">
      <c r="AD17165" s="16"/>
    </row>
    <row r="17166" spans="30:30" x14ac:dyDescent="0.3">
      <c r="AD17166" s="16"/>
    </row>
    <row r="17167" spans="30:30" x14ac:dyDescent="0.3">
      <c r="AD17167" s="16"/>
    </row>
    <row r="17168" spans="30:30" x14ac:dyDescent="0.3">
      <c r="AD17168" s="16"/>
    </row>
    <row r="17169" spans="30:30" x14ac:dyDescent="0.3">
      <c r="AD17169" s="16"/>
    </row>
    <row r="17170" spans="30:30" x14ac:dyDescent="0.3">
      <c r="AD17170" s="16"/>
    </row>
    <row r="17171" spans="30:30" x14ac:dyDescent="0.3">
      <c r="AD17171" s="16"/>
    </row>
    <row r="17172" spans="30:30" x14ac:dyDescent="0.3">
      <c r="AD17172" s="16"/>
    </row>
    <row r="17173" spans="30:30" x14ac:dyDescent="0.3">
      <c r="AD17173" s="16"/>
    </row>
    <row r="17174" spans="30:30" x14ac:dyDescent="0.3">
      <c r="AD17174" s="16"/>
    </row>
    <row r="17175" spans="30:30" x14ac:dyDescent="0.3">
      <c r="AD17175" s="16"/>
    </row>
    <row r="17176" spans="30:30" x14ac:dyDescent="0.3">
      <c r="AD17176" s="16"/>
    </row>
    <row r="17177" spans="30:30" x14ac:dyDescent="0.3">
      <c r="AD17177" s="16"/>
    </row>
    <row r="17178" spans="30:30" x14ac:dyDescent="0.3">
      <c r="AD17178" s="16"/>
    </row>
    <row r="17179" spans="30:30" x14ac:dyDescent="0.3">
      <c r="AD17179" s="16"/>
    </row>
    <row r="17180" spans="30:30" x14ac:dyDescent="0.3">
      <c r="AD17180" s="16"/>
    </row>
    <row r="17181" spans="30:30" x14ac:dyDescent="0.3">
      <c r="AD17181" s="16"/>
    </row>
    <row r="17182" spans="30:30" x14ac:dyDescent="0.3">
      <c r="AD17182" s="16"/>
    </row>
    <row r="17183" spans="30:30" x14ac:dyDescent="0.3">
      <c r="AD17183" s="16"/>
    </row>
    <row r="17184" spans="30:30" x14ac:dyDescent="0.3">
      <c r="AD17184" s="16"/>
    </row>
    <row r="17185" spans="30:30" x14ac:dyDescent="0.3">
      <c r="AD17185" s="16"/>
    </row>
    <row r="17186" spans="30:30" x14ac:dyDescent="0.3">
      <c r="AD17186" s="16"/>
    </row>
    <row r="17187" spans="30:30" x14ac:dyDescent="0.3">
      <c r="AD17187" s="16"/>
    </row>
    <row r="17188" spans="30:30" x14ac:dyDescent="0.3">
      <c r="AD17188" s="16"/>
    </row>
    <row r="17189" spans="30:30" x14ac:dyDescent="0.3">
      <c r="AD17189" s="16"/>
    </row>
    <row r="17190" spans="30:30" x14ac:dyDescent="0.3">
      <c r="AD17190" s="16"/>
    </row>
    <row r="17191" spans="30:30" x14ac:dyDescent="0.3">
      <c r="AD17191" s="16"/>
    </row>
    <row r="17192" spans="30:30" x14ac:dyDescent="0.3">
      <c r="AD17192" s="16"/>
    </row>
    <row r="17193" spans="30:30" x14ac:dyDescent="0.3">
      <c r="AD17193" s="16"/>
    </row>
    <row r="17194" spans="30:30" x14ac:dyDescent="0.3">
      <c r="AD17194" s="16"/>
    </row>
    <row r="17195" spans="30:30" x14ac:dyDescent="0.3">
      <c r="AD17195" s="16"/>
    </row>
    <row r="17196" spans="30:30" x14ac:dyDescent="0.3">
      <c r="AD17196" s="16"/>
    </row>
    <row r="17197" spans="30:30" x14ac:dyDescent="0.3">
      <c r="AD17197" s="16"/>
    </row>
    <row r="17198" spans="30:30" x14ac:dyDescent="0.3">
      <c r="AD17198" s="16"/>
    </row>
    <row r="17199" spans="30:30" x14ac:dyDescent="0.3">
      <c r="AD17199" s="16"/>
    </row>
    <row r="17200" spans="30:30" x14ac:dyDescent="0.3">
      <c r="AD17200" s="16"/>
    </row>
    <row r="17201" spans="30:30" x14ac:dyDescent="0.3">
      <c r="AD17201" s="16"/>
    </row>
    <row r="17202" spans="30:30" x14ac:dyDescent="0.3">
      <c r="AD17202" s="16"/>
    </row>
    <row r="17203" spans="30:30" x14ac:dyDescent="0.3">
      <c r="AD17203" s="16"/>
    </row>
    <row r="17204" spans="30:30" x14ac:dyDescent="0.3">
      <c r="AD17204" s="16"/>
    </row>
    <row r="17205" spans="30:30" x14ac:dyDescent="0.3">
      <c r="AD17205" s="16"/>
    </row>
    <row r="17206" spans="30:30" x14ac:dyDescent="0.3">
      <c r="AD17206" s="16"/>
    </row>
    <row r="17207" spans="30:30" x14ac:dyDescent="0.3">
      <c r="AD17207" s="16"/>
    </row>
    <row r="17208" spans="30:30" x14ac:dyDescent="0.3">
      <c r="AD17208" s="16"/>
    </row>
    <row r="17209" spans="30:30" x14ac:dyDescent="0.3">
      <c r="AD17209" s="16"/>
    </row>
    <row r="17210" spans="30:30" x14ac:dyDescent="0.3">
      <c r="AD17210" s="16"/>
    </row>
    <row r="17211" spans="30:30" x14ac:dyDescent="0.3">
      <c r="AD17211" s="16"/>
    </row>
    <row r="17212" spans="30:30" x14ac:dyDescent="0.3">
      <c r="AD17212" s="16"/>
    </row>
    <row r="17213" spans="30:30" x14ac:dyDescent="0.3">
      <c r="AD17213" s="16"/>
    </row>
    <row r="17214" spans="30:30" x14ac:dyDescent="0.3">
      <c r="AD17214" s="16"/>
    </row>
    <row r="17215" spans="30:30" x14ac:dyDescent="0.3">
      <c r="AD17215" s="16"/>
    </row>
    <row r="17216" spans="30:30" x14ac:dyDescent="0.3">
      <c r="AD17216" s="16"/>
    </row>
    <row r="17217" spans="30:30" x14ac:dyDescent="0.3">
      <c r="AD17217" s="16"/>
    </row>
    <row r="17218" spans="30:30" x14ac:dyDescent="0.3">
      <c r="AD17218" s="16"/>
    </row>
    <row r="17219" spans="30:30" x14ac:dyDescent="0.3">
      <c r="AD17219" s="16"/>
    </row>
    <row r="17220" spans="30:30" x14ac:dyDescent="0.3">
      <c r="AD17220" s="16"/>
    </row>
    <row r="17221" spans="30:30" x14ac:dyDescent="0.3">
      <c r="AD17221" s="16"/>
    </row>
    <row r="17222" spans="30:30" x14ac:dyDescent="0.3">
      <c r="AD17222" s="16"/>
    </row>
    <row r="17223" spans="30:30" x14ac:dyDescent="0.3">
      <c r="AD17223" s="16"/>
    </row>
    <row r="17224" spans="30:30" x14ac:dyDescent="0.3">
      <c r="AD17224" s="16"/>
    </row>
    <row r="17225" spans="30:30" x14ac:dyDescent="0.3">
      <c r="AD17225" s="16"/>
    </row>
    <row r="17226" spans="30:30" x14ac:dyDescent="0.3">
      <c r="AD17226" s="16"/>
    </row>
    <row r="17227" spans="30:30" x14ac:dyDescent="0.3">
      <c r="AD17227" s="16"/>
    </row>
    <row r="17228" spans="30:30" x14ac:dyDescent="0.3">
      <c r="AD17228" s="16"/>
    </row>
    <row r="17229" spans="30:30" x14ac:dyDescent="0.3">
      <c r="AD17229" s="16"/>
    </row>
    <row r="17230" spans="30:30" x14ac:dyDescent="0.3">
      <c r="AD17230" s="16"/>
    </row>
    <row r="17231" spans="30:30" x14ac:dyDescent="0.3">
      <c r="AD17231" s="16"/>
    </row>
    <row r="17232" spans="30:30" x14ac:dyDescent="0.3">
      <c r="AD17232" s="16"/>
    </row>
    <row r="17233" spans="30:30" x14ac:dyDescent="0.3">
      <c r="AD17233" s="16"/>
    </row>
    <row r="17234" spans="30:30" x14ac:dyDescent="0.3">
      <c r="AD17234" s="16"/>
    </row>
    <row r="17235" spans="30:30" x14ac:dyDescent="0.3">
      <c r="AD17235" s="16"/>
    </row>
    <row r="17236" spans="30:30" x14ac:dyDescent="0.3">
      <c r="AD17236" s="16"/>
    </row>
    <row r="17237" spans="30:30" x14ac:dyDescent="0.3">
      <c r="AD17237" s="16"/>
    </row>
    <row r="17238" spans="30:30" x14ac:dyDescent="0.3">
      <c r="AD17238" s="16"/>
    </row>
    <row r="17239" spans="30:30" x14ac:dyDescent="0.3">
      <c r="AD17239" s="16"/>
    </row>
    <row r="17240" spans="30:30" x14ac:dyDescent="0.3">
      <c r="AD17240" s="16"/>
    </row>
    <row r="17241" spans="30:30" x14ac:dyDescent="0.3">
      <c r="AD17241" s="16"/>
    </row>
    <row r="17242" spans="30:30" x14ac:dyDescent="0.3">
      <c r="AD17242" s="16"/>
    </row>
    <row r="17243" spans="30:30" x14ac:dyDescent="0.3">
      <c r="AD17243" s="16"/>
    </row>
    <row r="17244" spans="30:30" x14ac:dyDescent="0.3">
      <c r="AD17244" s="16"/>
    </row>
    <row r="17245" spans="30:30" x14ac:dyDescent="0.3">
      <c r="AD17245" s="16"/>
    </row>
    <row r="17246" spans="30:30" x14ac:dyDescent="0.3">
      <c r="AD17246" s="16"/>
    </row>
    <row r="17247" spans="30:30" x14ac:dyDescent="0.3">
      <c r="AD17247" s="16"/>
    </row>
    <row r="17248" spans="30:30" x14ac:dyDescent="0.3">
      <c r="AD17248" s="16"/>
    </row>
    <row r="17249" spans="30:30" x14ac:dyDescent="0.3">
      <c r="AD17249" s="16"/>
    </row>
    <row r="17250" spans="30:30" x14ac:dyDescent="0.3">
      <c r="AD17250" s="16"/>
    </row>
    <row r="17251" spans="30:30" x14ac:dyDescent="0.3">
      <c r="AD17251" s="16"/>
    </row>
    <row r="17252" spans="30:30" x14ac:dyDescent="0.3">
      <c r="AD17252" s="16"/>
    </row>
    <row r="17253" spans="30:30" x14ac:dyDescent="0.3">
      <c r="AD17253" s="16"/>
    </row>
    <row r="17254" spans="30:30" x14ac:dyDescent="0.3">
      <c r="AD17254" s="16"/>
    </row>
    <row r="17255" spans="30:30" x14ac:dyDescent="0.3">
      <c r="AD17255" s="16"/>
    </row>
    <row r="17256" spans="30:30" x14ac:dyDescent="0.3">
      <c r="AD17256" s="16"/>
    </row>
    <row r="17257" spans="30:30" x14ac:dyDescent="0.3">
      <c r="AD17257" s="16"/>
    </row>
    <row r="17258" spans="30:30" x14ac:dyDescent="0.3">
      <c r="AD17258" s="16"/>
    </row>
    <row r="17259" spans="30:30" x14ac:dyDescent="0.3">
      <c r="AD17259" s="16"/>
    </row>
    <row r="17260" spans="30:30" x14ac:dyDescent="0.3">
      <c r="AD17260" s="16"/>
    </row>
    <row r="17261" spans="30:30" x14ac:dyDescent="0.3">
      <c r="AD17261" s="16"/>
    </row>
    <row r="17262" spans="30:30" x14ac:dyDescent="0.3">
      <c r="AD17262" s="16"/>
    </row>
    <row r="17263" spans="30:30" x14ac:dyDescent="0.3">
      <c r="AD17263" s="16"/>
    </row>
    <row r="17264" spans="30:30" x14ac:dyDescent="0.3">
      <c r="AD17264" s="16"/>
    </row>
    <row r="17265" spans="30:30" x14ac:dyDescent="0.3">
      <c r="AD17265" s="16"/>
    </row>
    <row r="17266" spans="30:30" x14ac:dyDescent="0.3">
      <c r="AD17266" s="16"/>
    </row>
    <row r="17267" spans="30:30" x14ac:dyDescent="0.3">
      <c r="AD17267" s="16"/>
    </row>
    <row r="17268" spans="30:30" x14ac:dyDescent="0.3">
      <c r="AD17268" s="16"/>
    </row>
    <row r="17269" spans="30:30" x14ac:dyDescent="0.3">
      <c r="AD17269" s="16"/>
    </row>
    <row r="17270" spans="30:30" x14ac:dyDescent="0.3">
      <c r="AD17270" s="16"/>
    </row>
    <row r="17271" spans="30:30" x14ac:dyDescent="0.3">
      <c r="AD17271" s="16"/>
    </row>
    <row r="17272" spans="30:30" x14ac:dyDescent="0.3">
      <c r="AD17272" s="16"/>
    </row>
    <row r="17273" spans="30:30" x14ac:dyDescent="0.3">
      <c r="AD17273" s="16"/>
    </row>
    <row r="17274" spans="30:30" x14ac:dyDescent="0.3">
      <c r="AD17274" s="16"/>
    </row>
    <row r="17275" spans="30:30" x14ac:dyDescent="0.3">
      <c r="AD17275" s="16"/>
    </row>
    <row r="17276" spans="30:30" x14ac:dyDescent="0.3">
      <c r="AD17276" s="16"/>
    </row>
    <row r="17277" spans="30:30" x14ac:dyDescent="0.3">
      <c r="AD17277" s="16"/>
    </row>
    <row r="17278" spans="30:30" x14ac:dyDescent="0.3">
      <c r="AD17278" s="16"/>
    </row>
    <row r="17279" spans="30:30" x14ac:dyDescent="0.3">
      <c r="AD17279" s="16"/>
    </row>
    <row r="17280" spans="30:30" x14ac:dyDescent="0.3">
      <c r="AD17280" s="16"/>
    </row>
    <row r="17281" spans="30:30" x14ac:dyDescent="0.3">
      <c r="AD17281" s="16"/>
    </row>
    <row r="17282" spans="30:30" x14ac:dyDescent="0.3">
      <c r="AD17282" s="16"/>
    </row>
    <row r="17283" spans="30:30" x14ac:dyDescent="0.3">
      <c r="AD17283" s="16"/>
    </row>
    <row r="17284" spans="30:30" x14ac:dyDescent="0.3">
      <c r="AD17284" s="16"/>
    </row>
    <row r="17285" spans="30:30" x14ac:dyDescent="0.3">
      <c r="AD17285" s="16"/>
    </row>
    <row r="17286" spans="30:30" x14ac:dyDescent="0.3">
      <c r="AD17286" s="16"/>
    </row>
    <row r="17287" spans="30:30" x14ac:dyDescent="0.3">
      <c r="AD17287" s="16"/>
    </row>
    <row r="17288" spans="30:30" x14ac:dyDescent="0.3">
      <c r="AD17288" s="16"/>
    </row>
    <row r="17289" spans="30:30" x14ac:dyDescent="0.3">
      <c r="AD17289" s="16"/>
    </row>
    <row r="17290" spans="30:30" x14ac:dyDescent="0.3">
      <c r="AD17290" s="16"/>
    </row>
    <row r="17291" spans="30:30" x14ac:dyDescent="0.3">
      <c r="AD17291" s="16"/>
    </row>
    <row r="17292" spans="30:30" x14ac:dyDescent="0.3">
      <c r="AD17292" s="16"/>
    </row>
    <row r="17293" spans="30:30" x14ac:dyDescent="0.3">
      <c r="AD17293" s="16"/>
    </row>
    <row r="17294" spans="30:30" x14ac:dyDescent="0.3">
      <c r="AD17294" s="16"/>
    </row>
    <row r="17295" spans="30:30" x14ac:dyDescent="0.3">
      <c r="AD17295" s="16"/>
    </row>
    <row r="17296" spans="30:30" x14ac:dyDescent="0.3">
      <c r="AD17296" s="16"/>
    </row>
    <row r="17297" spans="30:30" x14ac:dyDescent="0.3">
      <c r="AD17297" s="16"/>
    </row>
    <row r="17298" spans="30:30" x14ac:dyDescent="0.3">
      <c r="AD17298" s="16"/>
    </row>
    <row r="17299" spans="30:30" x14ac:dyDescent="0.3">
      <c r="AD17299" s="16"/>
    </row>
    <row r="17300" spans="30:30" x14ac:dyDescent="0.3">
      <c r="AD17300" s="16"/>
    </row>
    <row r="17301" spans="30:30" x14ac:dyDescent="0.3">
      <c r="AD17301" s="16"/>
    </row>
    <row r="17302" spans="30:30" x14ac:dyDescent="0.3">
      <c r="AD17302" s="16"/>
    </row>
    <row r="17303" spans="30:30" x14ac:dyDescent="0.3">
      <c r="AD17303" s="16"/>
    </row>
    <row r="17304" spans="30:30" x14ac:dyDescent="0.3">
      <c r="AD17304" s="16"/>
    </row>
    <row r="17305" spans="30:30" x14ac:dyDescent="0.3">
      <c r="AD17305" s="16"/>
    </row>
    <row r="17306" spans="30:30" x14ac:dyDescent="0.3">
      <c r="AD17306" s="16"/>
    </row>
    <row r="17307" spans="30:30" x14ac:dyDescent="0.3">
      <c r="AD17307" s="16"/>
    </row>
    <row r="17308" spans="30:30" x14ac:dyDescent="0.3">
      <c r="AD17308" s="16"/>
    </row>
    <row r="17309" spans="30:30" x14ac:dyDescent="0.3">
      <c r="AD17309" s="16"/>
    </row>
    <row r="17310" spans="30:30" x14ac:dyDescent="0.3">
      <c r="AD17310" s="16"/>
    </row>
    <row r="17311" spans="30:30" x14ac:dyDescent="0.3">
      <c r="AD17311" s="16"/>
    </row>
    <row r="17312" spans="30:30" x14ac:dyDescent="0.3">
      <c r="AD17312" s="16"/>
    </row>
    <row r="17313" spans="30:30" x14ac:dyDescent="0.3">
      <c r="AD17313" s="16"/>
    </row>
    <row r="17314" spans="30:30" x14ac:dyDescent="0.3">
      <c r="AD17314" s="16"/>
    </row>
    <row r="17315" spans="30:30" x14ac:dyDescent="0.3">
      <c r="AD17315" s="16"/>
    </row>
    <row r="17316" spans="30:30" x14ac:dyDescent="0.3">
      <c r="AD17316" s="16"/>
    </row>
    <row r="17317" spans="30:30" x14ac:dyDescent="0.3">
      <c r="AD17317" s="16"/>
    </row>
    <row r="17318" spans="30:30" x14ac:dyDescent="0.3">
      <c r="AD17318" s="16"/>
    </row>
    <row r="17319" spans="30:30" x14ac:dyDescent="0.3">
      <c r="AD17319" s="16"/>
    </row>
    <row r="17320" spans="30:30" x14ac:dyDescent="0.3">
      <c r="AD17320" s="16"/>
    </row>
    <row r="17321" spans="30:30" x14ac:dyDescent="0.3">
      <c r="AD17321" s="16"/>
    </row>
    <row r="17322" spans="30:30" x14ac:dyDescent="0.3">
      <c r="AD17322" s="16"/>
    </row>
    <row r="17323" spans="30:30" x14ac:dyDescent="0.3">
      <c r="AD17323" s="16"/>
    </row>
    <row r="17324" spans="30:30" x14ac:dyDescent="0.3">
      <c r="AD17324" s="16"/>
    </row>
    <row r="17325" spans="30:30" x14ac:dyDescent="0.3">
      <c r="AD17325" s="16"/>
    </row>
    <row r="17326" spans="30:30" x14ac:dyDescent="0.3">
      <c r="AD17326" s="16"/>
    </row>
    <row r="17327" spans="30:30" x14ac:dyDescent="0.3">
      <c r="AD17327" s="16"/>
    </row>
    <row r="17328" spans="30:30" x14ac:dyDescent="0.3">
      <c r="AD17328" s="16"/>
    </row>
    <row r="17329" spans="30:30" x14ac:dyDescent="0.3">
      <c r="AD17329" s="16"/>
    </row>
    <row r="17330" spans="30:30" x14ac:dyDescent="0.3">
      <c r="AD17330" s="16"/>
    </row>
    <row r="17331" spans="30:30" x14ac:dyDescent="0.3">
      <c r="AD17331" s="16"/>
    </row>
    <row r="17332" spans="30:30" x14ac:dyDescent="0.3">
      <c r="AD17332" s="16"/>
    </row>
    <row r="17333" spans="30:30" x14ac:dyDescent="0.3">
      <c r="AD17333" s="16"/>
    </row>
    <row r="17334" spans="30:30" x14ac:dyDescent="0.3">
      <c r="AD17334" s="16"/>
    </row>
    <row r="17335" spans="30:30" x14ac:dyDescent="0.3">
      <c r="AD17335" s="16"/>
    </row>
    <row r="17336" spans="30:30" x14ac:dyDescent="0.3">
      <c r="AD17336" s="16"/>
    </row>
    <row r="17337" spans="30:30" x14ac:dyDescent="0.3">
      <c r="AD17337" s="16"/>
    </row>
    <row r="17338" spans="30:30" x14ac:dyDescent="0.3">
      <c r="AD17338" s="16"/>
    </row>
    <row r="17339" spans="30:30" x14ac:dyDescent="0.3">
      <c r="AD17339" s="16"/>
    </row>
    <row r="17340" spans="30:30" x14ac:dyDescent="0.3">
      <c r="AD17340" s="16"/>
    </row>
    <row r="17341" spans="30:30" x14ac:dyDescent="0.3">
      <c r="AD17341" s="16"/>
    </row>
    <row r="17342" spans="30:30" x14ac:dyDescent="0.3">
      <c r="AD17342" s="16"/>
    </row>
    <row r="17343" spans="30:30" x14ac:dyDescent="0.3">
      <c r="AD17343" s="16"/>
    </row>
    <row r="17344" spans="30:30" x14ac:dyDescent="0.3">
      <c r="AD17344" s="16"/>
    </row>
    <row r="17345" spans="30:30" x14ac:dyDescent="0.3">
      <c r="AD17345" s="16"/>
    </row>
    <row r="17346" spans="30:30" x14ac:dyDescent="0.3">
      <c r="AD17346" s="16"/>
    </row>
    <row r="17347" spans="30:30" x14ac:dyDescent="0.3">
      <c r="AD17347" s="16"/>
    </row>
    <row r="17348" spans="30:30" x14ac:dyDescent="0.3">
      <c r="AD17348" s="16"/>
    </row>
    <row r="17349" spans="30:30" x14ac:dyDescent="0.3">
      <c r="AD17349" s="16"/>
    </row>
    <row r="17350" spans="30:30" x14ac:dyDescent="0.3">
      <c r="AD17350" s="16"/>
    </row>
    <row r="17351" spans="30:30" x14ac:dyDescent="0.3">
      <c r="AD17351" s="16"/>
    </row>
    <row r="17352" spans="30:30" x14ac:dyDescent="0.3">
      <c r="AD17352" s="16"/>
    </row>
    <row r="17353" spans="30:30" x14ac:dyDescent="0.3">
      <c r="AD17353" s="16"/>
    </row>
    <row r="17354" spans="30:30" x14ac:dyDescent="0.3">
      <c r="AD17354" s="16"/>
    </row>
    <row r="17355" spans="30:30" x14ac:dyDescent="0.3">
      <c r="AD17355" s="16"/>
    </row>
    <row r="17356" spans="30:30" x14ac:dyDescent="0.3">
      <c r="AD17356" s="16"/>
    </row>
    <row r="17357" spans="30:30" x14ac:dyDescent="0.3">
      <c r="AD17357" s="16"/>
    </row>
    <row r="17358" spans="30:30" x14ac:dyDescent="0.3">
      <c r="AD17358" s="16"/>
    </row>
    <row r="17359" spans="30:30" x14ac:dyDescent="0.3">
      <c r="AD17359" s="16"/>
    </row>
    <row r="17360" spans="30:30" x14ac:dyDescent="0.3">
      <c r="AD17360" s="16"/>
    </row>
    <row r="17361" spans="30:30" x14ac:dyDescent="0.3">
      <c r="AD17361" s="16"/>
    </row>
    <row r="17362" spans="30:30" x14ac:dyDescent="0.3">
      <c r="AD17362" s="16"/>
    </row>
    <row r="17363" spans="30:30" x14ac:dyDescent="0.3">
      <c r="AD17363" s="16"/>
    </row>
    <row r="17364" spans="30:30" x14ac:dyDescent="0.3">
      <c r="AD17364" s="16"/>
    </row>
    <row r="17365" spans="30:30" x14ac:dyDescent="0.3">
      <c r="AD17365" s="16"/>
    </row>
    <row r="17366" spans="30:30" x14ac:dyDescent="0.3">
      <c r="AD17366" s="16"/>
    </row>
    <row r="17367" spans="30:30" x14ac:dyDescent="0.3">
      <c r="AD17367" s="16"/>
    </row>
    <row r="17368" spans="30:30" x14ac:dyDescent="0.3">
      <c r="AD17368" s="16"/>
    </row>
    <row r="17369" spans="30:30" x14ac:dyDescent="0.3">
      <c r="AD17369" s="16"/>
    </row>
    <row r="17370" spans="30:30" x14ac:dyDescent="0.3">
      <c r="AD17370" s="16"/>
    </row>
    <row r="17371" spans="30:30" x14ac:dyDescent="0.3">
      <c r="AD17371" s="16"/>
    </row>
    <row r="17372" spans="30:30" x14ac:dyDescent="0.3">
      <c r="AD17372" s="16"/>
    </row>
    <row r="17373" spans="30:30" x14ac:dyDescent="0.3">
      <c r="AD17373" s="16"/>
    </row>
    <row r="17374" spans="30:30" x14ac:dyDescent="0.3">
      <c r="AD17374" s="16"/>
    </row>
    <row r="17375" spans="30:30" x14ac:dyDescent="0.3">
      <c r="AD17375" s="16"/>
    </row>
    <row r="17376" spans="30:30" x14ac:dyDescent="0.3">
      <c r="AD17376" s="16"/>
    </row>
    <row r="17377" spans="30:30" x14ac:dyDescent="0.3">
      <c r="AD17377" s="16"/>
    </row>
    <row r="17378" spans="30:30" x14ac:dyDescent="0.3">
      <c r="AD17378" s="16"/>
    </row>
    <row r="17379" spans="30:30" x14ac:dyDescent="0.3">
      <c r="AD17379" s="16"/>
    </row>
    <row r="17380" spans="30:30" x14ac:dyDescent="0.3">
      <c r="AD17380" s="16"/>
    </row>
    <row r="17381" spans="30:30" x14ac:dyDescent="0.3">
      <c r="AD17381" s="16"/>
    </row>
    <row r="17382" spans="30:30" x14ac:dyDescent="0.3">
      <c r="AD17382" s="16"/>
    </row>
    <row r="17383" spans="30:30" x14ac:dyDescent="0.3">
      <c r="AD17383" s="16"/>
    </row>
    <row r="17384" spans="30:30" x14ac:dyDescent="0.3">
      <c r="AD17384" s="16"/>
    </row>
    <row r="17385" spans="30:30" x14ac:dyDescent="0.3">
      <c r="AD17385" s="16"/>
    </row>
    <row r="17386" spans="30:30" x14ac:dyDescent="0.3">
      <c r="AD17386" s="16"/>
    </row>
    <row r="17387" spans="30:30" x14ac:dyDescent="0.3">
      <c r="AD17387" s="16"/>
    </row>
    <row r="17388" spans="30:30" x14ac:dyDescent="0.3">
      <c r="AD17388" s="16"/>
    </row>
    <row r="17389" spans="30:30" x14ac:dyDescent="0.3">
      <c r="AD17389" s="16"/>
    </row>
    <row r="17390" spans="30:30" x14ac:dyDescent="0.3">
      <c r="AD17390" s="16"/>
    </row>
    <row r="17391" spans="30:30" x14ac:dyDescent="0.3">
      <c r="AD17391" s="16"/>
    </row>
    <row r="17392" spans="30:30" x14ac:dyDescent="0.3">
      <c r="AD17392" s="16"/>
    </row>
    <row r="17393" spans="30:30" x14ac:dyDescent="0.3">
      <c r="AD17393" s="16"/>
    </row>
    <row r="17394" spans="30:30" x14ac:dyDescent="0.3">
      <c r="AD17394" s="16"/>
    </row>
    <row r="17395" spans="30:30" x14ac:dyDescent="0.3">
      <c r="AD17395" s="16"/>
    </row>
    <row r="17396" spans="30:30" x14ac:dyDescent="0.3">
      <c r="AD17396" s="16"/>
    </row>
    <row r="17397" spans="30:30" x14ac:dyDescent="0.3">
      <c r="AD17397" s="16"/>
    </row>
    <row r="17398" spans="30:30" x14ac:dyDescent="0.3">
      <c r="AD17398" s="16"/>
    </row>
    <row r="17399" spans="30:30" x14ac:dyDescent="0.3">
      <c r="AD17399" s="16"/>
    </row>
    <row r="17400" spans="30:30" x14ac:dyDescent="0.3">
      <c r="AD17400" s="16"/>
    </row>
    <row r="17401" spans="30:30" x14ac:dyDescent="0.3">
      <c r="AD17401" s="16"/>
    </row>
    <row r="17402" spans="30:30" x14ac:dyDescent="0.3">
      <c r="AD17402" s="16"/>
    </row>
    <row r="17403" spans="30:30" x14ac:dyDescent="0.3">
      <c r="AD17403" s="16"/>
    </row>
    <row r="17404" spans="30:30" x14ac:dyDescent="0.3">
      <c r="AD17404" s="16"/>
    </row>
    <row r="17405" spans="30:30" x14ac:dyDescent="0.3">
      <c r="AD17405" s="16"/>
    </row>
    <row r="17406" spans="30:30" x14ac:dyDescent="0.3">
      <c r="AD17406" s="16"/>
    </row>
    <row r="17407" spans="30:30" x14ac:dyDescent="0.3">
      <c r="AD17407" s="16"/>
    </row>
    <row r="17408" spans="30:30" x14ac:dyDescent="0.3">
      <c r="AD17408" s="16"/>
    </row>
    <row r="17409" spans="30:30" x14ac:dyDescent="0.3">
      <c r="AD17409" s="16"/>
    </row>
    <row r="17410" spans="30:30" x14ac:dyDescent="0.3">
      <c r="AD17410" s="16"/>
    </row>
    <row r="17411" spans="30:30" x14ac:dyDescent="0.3">
      <c r="AD17411" s="16"/>
    </row>
    <row r="17412" spans="30:30" x14ac:dyDescent="0.3">
      <c r="AD17412" s="16"/>
    </row>
    <row r="17413" spans="30:30" x14ac:dyDescent="0.3">
      <c r="AD17413" s="16"/>
    </row>
    <row r="17414" spans="30:30" x14ac:dyDescent="0.3">
      <c r="AD17414" s="16"/>
    </row>
    <row r="17415" spans="30:30" x14ac:dyDescent="0.3">
      <c r="AD17415" s="16"/>
    </row>
    <row r="17416" spans="30:30" x14ac:dyDescent="0.3">
      <c r="AD17416" s="16"/>
    </row>
    <row r="17417" spans="30:30" x14ac:dyDescent="0.3">
      <c r="AD17417" s="16"/>
    </row>
    <row r="17418" spans="30:30" x14ac:dyDescent="0.3">
      <c r="AD17418" s="16"/>
    </row>
    <row r="17419" spans="30:30" x14ac:dyDescent="0.3">
      <c r="AD17419" s="16"/>
    </row>
    <row r="17420" spans="30:30" x14ac:dyDescent="0.3">
      <c r="AD17420" s="16"/>
    </row>
    <row r="17421" spans="30:30" x14ac:dyDescent="0.3">
      <c r="AD17421" s="16"/>
    </row>
    <row r="17422" spans="30:30" x14ac:dyDescent="0.3">
      <c r="AD17422" s="16"/>
    </row>
    <row r="17423" spans="30:30" x14ac:dyDescent="0.3">
      <c r="AD17423" s="16"/>
    </row>
    <row r="17424" spans="30:30" x14ac:dyDescent="0.3">
      <c r="AD17424" s="16"/>
    </row>
    <row r="17425" spans="30:30" x14ac:dyDescent="0.3">
      <c r="AD17425" s="16"/>
    </row>
    <row r="17426" spans="30:30" x14ac:dyDescent="0.3">
      <c r="AD17426" s="16"/>
    </row>
    <row r="17427" spans="30:30" x14ac:dyDescent="0.3">
      <c r="AD17427" s="16"/>
    </row>
    <row r="17428" spans="30:30" x14ac:dyDescent="0.3">
      <c r="AD17428" s="16"/>
    </row>
    <row r="17429" spans="30:30" x14ac:dyDescent="0.3">
      <c r="AD17429" s="16"/>
    </row>
    <row r="17430" spans="30:30" x14ac:dyDescent="0.3">
      <c r="AD17430" s="16"/>
    </row>
    <row r="17431" spans="30:30" x14ac:dyDescent="0.3">
      <c r="AD17431" s="16"/>
    </row>
    <row r="17432" spans="30:30" x14ac:dyDescent="0.3">
      <c r="AD17432" s="16"/>
    </row>
    <row r="17433" spans="30:30" x14ac:dyDescent="0.3">
      <c r="AD17433" s="16"/>
    </row>
    <row r="17434" spans="30:30" x14ac:dyDescent="0.3">
      <c r="AD17434" s="16"/>
    </row>
    <row r="17435" spans="30:30" x14ac:dyDescent="0.3">
      <c r="AD17435" s="16"/>
    </row>
    <row r="17436" spans="30:30" x14ac:dyDescent="0.3">
      <c r="AD17436" s="16"/>
    </row>
    <row r="17437" spans="30:30" x14ac:dyDescent="0.3">
      <c r="AD17437" s="16"/>
    </row>
    <row r="17438" spans="30:30" x14ac:dyDescent="0.3">
      <c r="AD17438" s="16"/>
    </row>
    <row r="17439" spans="30:30" x14ac:dyDescent="0.3">
      <c r="AD17439" s="16"/>
    </row>
    <row r="17440" spans="30:30" x14ac:dyDescent="0.3">
      <c r="AD17440" s="16"/>
    </row>
    <row r="17441" spans="30:30" x14ac:dyDescent="0.3">
      <c r="AD17441" s="16"/>
    </row>
    <row r="17442" spans="30:30" x14ac:dyDescent="0.3">
      <c r="AD17442" s="16"/>
    </row>
    <row r="17443" spans="30:30" x14ac:dyDescent="0.3">
      <c r="AD17443" s="16"/>
    </row>
    <row r="17444" spans="30:30" x14ac:dyDescent="0.3">
      <c r="AD17444" s="16"/>
    </row>
    <row r="17445" spans="30:30" x14ac:dyDescent="0.3">
      <c r="AD17445" s="16"/>
    </row>
    <row r="17446" spans="30:30" x14ac:dyDescent="0.3">
      <c r="AD17446" s="16"/>
    </row>
    <row r="17447" spans="30:30" x14ac:dyDescent="0.3">
      <c r="AD17447" s="16"/>
    </row>
    <row r="17448" spans="30:30" x14ac:dyDescent="0.3">
      <c r="AD17448" s="16"/>
    </row>
    <row r="17449" spans="30:30" x14ac:dyDescent="0.3">
      <c r="AD17449" s="16"/>
    </row>
    <row r="17450" spans="30:30" x14ac:dyDescent="0.3">
      <c r="AD17450" s="16"/>
    </row>
    <row r="17451" spans="30:30" x14ac:dyDescent="0.3">
      <c r="AD17451" s="16"/>
    </row>
    <row r="17452" spans="30:30" x14ac:dyDescent="0.3">
      <c r="AD17452" s="16"/>
    </row>
    <row r="17453" spans="30:30" x14ac:dyDescent="0.3">
      <c r="AD17453" s="16"/>
    </row>
    <row r="17454" spans="30:30" x14ac:dyDescent="0.3">
      <c r="AD17454" s="16"/>
    </row>
    <row r="17455" spans="30:30" x14ac:dyDescent="0.3">
      <c r="AD17455" s="16"/>
    </row>
    <row r="17456" spans="30:30" x14ac:dyDescent="0.3">
      <c r="AD17456" s="16"/>
    </row>
    <row r="17457" spans="30:30" x14ac:dyDescent="0.3">
      <c r="AD17457" s="16"/>
    </row>
    <row r="17458" spans="30:30" x14ac:dyDescent="0.3">
      <c r="AD17458" s="16"/>
    </row>
    <row r="17459" spans="30:30" x14ac:dyDescent="0.3">
      <c r="AD17459" s="16"/>
    </row>
    <row r="17460" spans="30:30" x14ac:dyDescent="0.3">
      <c r="AD17460" s="16"/>
    </row>
    <row r="17461" spans="30:30" x14ac:dyDescent="0.3">
      <c r="AD17461" s="16"/>
    </row>
    <row r="17462" spans="30:30" x14ac:dyDescent="0.3">
      <c r="AD17462" s="16"/>
    </row>
    <row r="17463" spans="30:30" x14ac:dyDescent="0.3">
      <c r="AD17463" s="16"/>
    </row>
    <row r="17464" spans="30:30" x14ac:dyDescent="0.3">
      <c r="AD17464" s="16"/>
    </row>
    <row r="17465" spans="30:30" x14ac:dyDescent="0.3">
      <c r="AD17465" s="16"/>
    </row>
    <row r="17466" spans="30:30" x14ac:dyDescent="0.3">
      <c r="AD17466" s="16"/>
    </row>
    <row r="17467" spans="30:30" x14ac:dyDescent="0.3">
      <c r="AD17467" s="16"/>
    </row>
    <row r="17468" spans="30:30" x14ac:dyDescent="0.3">
      <c r="AD17468" s="16"/>
    </row>
    <row r="17469" spans="30:30" x14ac:dyDescent="0.3">
      <c r="AD17469" s="16"/>
    </row>
    <row r="17470" spans="30:30" x14ac:dyDescent="0.3">
      <c r="AD17470" s="16"/>
    </row>
    <row r="17471" spans="30:30" x14ac:dyDescent="0.3">
      <c r="AD17471" s="16"/>
    </row>
    <row r="17472" spans="30:30" x14ac:dyDescent="0.3">
      <c r="AD17472" s="16"/>
    </row>
    <row r="17473" spans="30:30" x14ac:dyDescent="0.3">
      <c r="AD17473" s="16"/>
    </row>
    <row r="17474" spans="30:30" x14ac:dyDescent="0.3">
      <c r="AD17474" s="16"/>
    </row>
    <row r="17475" spans="30:30" x14ac:dyDescent="0.3">
      <c r="AD17475" s="16"/>
    </row>
    <row r="17476" spans="30:30" x14ac:dyDescent="0.3">
      <c r="AD17476" s="16"/>
    </row>
    <row r="17477" spans="30:30" x14ac:dyDescent="0.3">
      <c r="AD17477" s="16"/>
    </row>
    <row r="17478" spans="30:30" x14ac:dyDescent="0.3">
      <c r="AD17478" s="16"/>
    </row>
    <row r="17479" spans="30:30" x14ac:dyDescent="0.3">
      <c r="AD17479" s="16"/>
    </row>
    <row r="17480" spans="30:30" x14ac:dyDescent="0.3">
      <c r="AD17480" s="16"/>
    </row>
    <row r="17481" spans="30:30" x14ac:dyDescent="0.3">
      <c r="AD17481" s="16"/>
    </row>
    <row r="17482" spans="30:30" x14ac:dyDescent="0.3">
      <c r="AD17482" s="16"/>
    </row>
    <row r="17483" spans="30:30" x14ac:dyDescent="0.3">
      <c r="AD17483" s="16"/>
    </row>
    <row r="17484" spans="30:30" x14ac:dyDescent="0.3">
      <c r="AD17484" s="16"/>
    </row>
    <row r="17485" spans="30:30" x14ac:dyDescent="0.3">
      <c r="AD17485" s="16"/>
    </row>
    <row r="17486" spans="30:30" x14ac:dyDescent="0.3">
      <c r="AD17486" s="16"/>
    </row>
    <row r="17487" spans="30:30" x14ac:dyDescent="0.3">
      <c r="AD17487" s="16"/>
    </row>
    <row r="17488" spans="30:30" x14ac:dyDescent="0.3">
      <c r="AD17488" s="16"/>
    </row>
    <row r="17489" spans="30:30" x14ac:dyDescent="0.3">
      <c r="AD17489" s="16"/>
    </row>
    <row r="17490" spans="30:30" x14ac:dyDescent="0.3">
      <c r="AD17490" s="16"/>
    </row>
    <row r="17491" spans="30:30" x14ac:dyDescent="0.3">
      <c r="AD17491" s="16"/>
    </row>
    <row r="17492" spans="30:30" x14ac:dyDescent="0.3">
      <c r="AD17492" s="16"/>
    </row>
    <row r="17493" spans="30:30" x14ac:dyDescent="0.3">
      <c r="AD17493" s="16"/>
    </row>
    <row r="17494" spans="30:30" x14ac:dyDescent="0.3">
      <c r="AD17494" s="16"/>
    </row>
    <row r="17495" spans="30:30" x14ac:dyDescent="0.3">
      <c r="AD17495" s="16"/>
    </row>
    <row r="17496" spans="30:30" x14ac:dyDescent="0.3">
      <c r="AD17496" s="16"/>
    </row>
    <row r="17497" spans="30:30" x14ac:dyDescent="0.3">
      <c r="AD17497" s="16"/>
    </row>
    <row r="17498" spans="30:30" x14ac:dyDescent="0.3">
      <c r="AD17498" s="16"/>
    </row>
    <row r="17499" spans="30:30" x14ac:dyDescent="0.3">
      <c r="AD17499" s="16"/>
    </row>
    <row r="17500" spans="30:30" x14ac:dyDescent="0.3">
      <c r="AD17500" s="16"/>
    </row>
    <row r="17501" spans="30:30" x14ac:dyDescent="0.3">
      <c r="AD17501" s="16"/>
    </row>
    <row r="17502" spans="30:30" x14ac:dyDescent="0.3">
      <c r="AD17502" s="16"/>
    </row>
    <row r="17503" spans="30:30" x14ac:dyDescent="0.3">
      <c r="AD17503" s="16"/>
    </row>
    <row r="17504" spans="30:30" x14ac:dyDescent="0.3">
      <c r="AD17504" s="16"/>
    </row>
    <row r="17505" spans="30:30" x14ac:dyDescent="0.3">
      <c r="AD17505" s="16"/>
    </row>
    <row r="17506" spans="30:30" x14ac:dyDescent="0.3">
      <c r="AD17506" s="16"/>
    </row>
    <row r="17507" spans="30:30" x14ac:dyDescent="0.3">
      <c r="AD17507" s="16"/>
    </row>
    <row r="17508" spans="30:30" x14ac:dyDescent="0.3">
      <c r="AD17508" s="16"/>
    </row>
    <row r="17509" spans="30:30" x14ac:dyDescent="0.3">
      <c r="AD17509" s="16"/>
    </row>
    <row r="17510" spans="30:30" x14ac:dyDescent="0.3">
      <c r="AD17510" s="16"/>
    </row>
    <row r="17511" spans="30:30" x14ac:dyDescent="0.3">
      <c r="AD17511" s="16"/>
    </row>
    <row r="17512" spans="30:30" x14ac:dyDescent="0.3">
      <c r="AD17512" s="16"/>
    </row>
    <row r="17513" spans="30:30" x14ac:dyDescent="0.3">
      <c r="AD17513" s="16"/>
    </row>
    <row r="17514" spans="30:30" x14ac:dyDescent="0.3">
      <c r="AD17514" s="16"/>
    </row>
    <row r="17515" spans="30:30" x14ac:dyDescent="0.3">
      <c r="AD17515" s="16"/>
    </row>
    <row r="17516" spans="30:30" x14ac:dyDescent="0.3">
      <c r="AD17516" s="16"/>
    </row>
    <row r="17517" spans="30:30" x14ac:dyDescent="0.3">
      <c r="AD17517" s="16"/>
    </row>
    <row r="17518" spans="30:30" x14ac:dyDescent="0.3">
      <c r="AD17518" s="16"/>
    </row>
    <row r="17519" spans="30:30" x14ac:dyDescent="0.3">
      <c r="AD17519" s="16"/>
    </row>
    <row r="17520" spans="30:30" x14ac:dyDescent="0.3">
      <c r="AD17520" s="16"/>
    </row>
    <row r="17521" spans="30:30" x14ac:dyDescent="0.3">
      <c r="AD17521" s="16"/>
    </row>
    <row r="17522" spans="30:30" x14ac:dyDescent="0.3">
      <c r="AD17522" s="16"/>
    </row>
    <row r="17523" spans="30:30" x14ac:dyDescent="0.3">
      <c r="AD17523" s="16"/>
    </row>
    <row r="17524" spans="30:30" x14ac:dyDescent="0.3">
      <c r="AD17524" s="16"/>
    </row>
    <row r="17525" spans="30:30" x14ac:dyDescent="0.3">
      <c r="AD17525" s="16"/>
    </row>
    <row r="17526" spans="30:30" x14ac:dyDescent="0.3">
      <c r="AD17526" s="16"/>
    </row>
    <row r="17527" spans="30:30" x14ac:dyDescent="0.3">
      <c r="AD17527" s="16"/>
    </row>
    <row r="17528" spans="30:30" x14ac:dyDescent="0.3">
      <c r="AD17528" s="16"/>
    </row>
    <row r="17529" spans="30:30" x14ac:dyDescent="0.3">
      <c r="AD17529" s="16"/>
    </row>
    <row r="17530" spans="30:30" x14ac:dyDescent="0.3">
      <c r="AD17530" s="16"/>
    </row>
    <row r="17531" spans="30:30" x14ac:dyDescent="0.3">
      <c r="AD17531" s="16"/>
    </row>
    <row r="17532" spans="30:30" x14ac:dyDescent="0.3">
      <c r="AD17532" s="16"/>
    </row>
    <row r="17533" spans="30:30" x14ac:dyDescent="0.3">
      <c r="AD17533" s="16"/>
    </row>
    <row r="17534" spans="30:30" x14ac:dyDescent="0.3">
      <c r="AD17534" s="16"/>
    </row>
    <row r="17535" spans="30:30" x14ac:dyDescent="0.3">
      <c r="AD17535" s="16"/>
    </row>
    <row r="17536" spans="30:30" x14ac:dyDescent="0.3">
      <c r="AD17536" s="16"/>
    </row>
    <row r="17537" spans="30:30" x14ac:dyDescent="0.3">
      <c r="AD17537" s="16"/>
    </row>
    <row r="17538" spans="30:30" x14ac:dyDescent="0.3">
      <c r="AD17538" s="16"/>
    </row>
    <row r="17539" spans="30:30" x14ac:dyDescent="0.3">
      <c r="AD17539" s="16"/>
    </row>
    <row r="17540" spans="30:30" x14ac:dyDescent="0.3">
      <c r="AD17540" s="16"/>
    </row>
    <row r="17541" spans="30:30" x14ac:dyDescent="0.3">
      <c r="AD17541" s="16"/>
    </row>
    <row r="17542" spans="30:30" x14ac:dyDescent="0.3">
      <c r="AD17542" s="16"/>
    </row>
    <row r="17543" spans="30:30" x14ac:dyDescent="0.3">
      <c r="AD17543" s="16"/>
    </row>
    <row r="17544" spans="30:30" x14ac:dyDescent="0.3">
      <c r="AD17544" s="16"/>
    </row>
    <row r="17545" spans="30:30" x14ac:dyDescent="0.3">
      <c r="AD17545" s="16"/>
    </row>
    <row r="17546" spans="30:30" x14ac:dyDescent="0.3">
      <c r="AD17546" s="16"/>
    </row>
    <row r="17547" spans="30:30" x14ac:dyDescent="0.3">
      <c r="AD17547" s="16"/>
    </row>
    <row r="17548" spans="30:30" x14ac:dyDescent="0.3">
      <c r="AD17548" s="16"/>
    </row>
    <row r="17549" spans="30:30" x14ac:dyDescent="0.3">
      <c r="AD17549" s="16"/>
    </row>
    <row r="17550" spans="30:30" x14ac:dyDescent="0.3">
      <c r="AD17550" s="16"/>
    </row>
    <row r="17551" spans="30:30" x14ac:dyDescent="0.3">
      <c r="AD17551" s="16"/>
    </row>
    <row r="17552" spans="30:30" x14ac:dyDescent="0.3">
      <c r="AD17552" s="16"/>
    </row>
    <row r="17553" spans="30:30" x14ac:dyDescent="0.3">
      <c r="AD17553" s="16"/>
    </row>
    <row r="17554" spans="30:30" x14ac:dyDescent="0.3">
      <c r="AD17554" s="16"/>
    </row>
    <row r="17555" spans="30:30" x14ac:dyDescent="0.3">
      <c r="AD17555" s="16"/>
    </row>
    <row r="17556" spans="30:30" x14ac:dyDescent="0.3">
      <c r="AD17556" s="16"/>
    </row>
    <row r="17557" spans="30:30" x14ac:dyDescent="0.3">
      <c r="AD17557" s="16"/>
    </row>
    <row r="17558" spans="30:30" x14ac:dyDescent="0.3">
      <c r="AD17558" s="16"/>
    </row>
    <row r="17559" spans="30:30" x14ac:dyDescent="0.3">
      <c r="AD17559" s="16"/>
    </row>
    <row r="17560" spans="30:30" x14ac:dyDescent="0.3">
      <c r="AD17560" s="16"/>
    </row>
    <row r="17561" spans="30:30" x14ac:dyDescent="0.3">
      <c r="AD17561" s="16"/>
    </row>
    <row r="17562" spans="30:30" x14ac:dyDescent="0.3">
      <c r="AD17562" s="16"/>
    </row>
    <row r="17563" spans="30:30" x14ac:dyDescent="0.3">
      <c r="AD17563" s="16"/>
    </row>
    <row r="17564" spans="30:30" x14ac:dyDescent="0.3">
      <c r="AD17564" s="16"/>
    </row>
    <row r="17565" spans="30:30" x14ac:dyDescent="0.3">
      <c r="AD17565" s="16"/>
    </row>
    <row r="17566" spans="30:30" x14ac:dyDescent="0.3">
      <c r="AD17566" s="16"/>
    </row>
    <row r="17567" spans="30:30" x14ac:dyDescent="0.3">
      <c r="AD17567" s="16"/>
    </row>
    <row r="17568" spans="30:30" x14ac:dyDescent="0.3">
      <c r="AD17568" s="16"/>
    </row>
    <row r="17569" spans="30:30" x14ac:dyDescent="0.3">
      <c r="AD17569" s="16"/>
    </row>
    <row r="17570" spans="30:30" x14ac:dyDescent="0.3">
      <c r="AD17570" s="16"/>
    </row>
    <row r="17571" spans="30:30" x14ac:dyDescent="0.3">
      <c r="AD17571" s="16"/>
    </row>
    <row r="17572" spans="30:30" x14ac:dyDescent="0.3">
      <c r="AD17572" s="16"/>
    </row>
    <row r="17573" spans="30:30" x14ac:dyDescent="0.3">
      <c r="AD17573" s="16"/>
    </row>
    <row r="17574" spans="30:30" x14ac:dyDescent="0.3">
      <c r="AD17574" s="16"/>
    </row>
    <row r="17575" spans="30:30" x14ac:dyDescent="0.3">
      <c r="AD17575" s="16"/>
    </row>
    <row r="17576" spans="30:30" x14ac:dyDescent="0.3">
      <c r="AD17576" s="16"/>
    </row>
    <row r="17577" spans="30:30" x14ac:dyDescent="0.3">
      <c r="AD17577" s="16"/>
    </row>
    <row r="17578" spans="30:30" x14ac:dyDescent="0.3">
      <c r="AD17578" s="16"/>
    </row>
    <row r="17579" spans="30:30" x14ac:dyDescent="0.3">
      <c r="AD17579" s="16"/>
    </row>
    <row r="17580" spans="30:30" x14ac:dyDescent="0.3">
      <c r="AD17580" s="16"/>
    </row>
    <row r="17581" spans="30:30" x14ac:dyDescent="0.3">
      <c r="AD17581" s="16"/>
    </row>
    <row r="17582" spans="30:30" x14ac:dyDescent="0.3">
      <c r="AD17582" s="16"/>
    </row>
    <row r="17583" spans="30:30" x14ac:dyDescent="0.3">
      <c r="AD17583" s="16"/>
    </row>
    <row r="17584" spans="30:30" x14ac:dyDescent="0.3">
      <c r="AD17584" s="16"/>
    </row>
    <row r="17585" spans="30:30" x14ac:dyDescent="0.3">
      <c r="AD17585" s="16"/>
    </row>
    <row r="17586" spans="30:30" x14ac:dyDescent="0.3">
      <c r="AD17586" s="16"/>
    </row>
    <row r="17587" spans="30:30" x14ac:dyDescent="0.3">
      <c r="AD17587" s="16"/>
    </row>
    <row r="17588" spans="30:30" x14ac:dyDescent="0.3">
      <c r="AD17588" s="16"/>
    </row>
    <row r="17589" spans="30:30" x14ac:dyDescent="0.3">
      <c r="AD17589" s="16"/>
    </row>
    <row r="17590" spans="30:30" x14ac:dyDescent="0.3">
      <c r="AD17590" s="16"/>
    </row>
    <row r="17591" spans="30:30" x14ac:dyDescent="0.3">
      <c r="AD17591" s="16"/>
    </row>
    <row r="17592" spans="30:30" x14ac:dyDescent="0.3">
      <c r="AD17592" s="16"/>
    </row>
    <row r="17593" spans="30:30" x14ac:dyDescent="0.3">
      <c r="AD17593" s="16"/>
    </row>
    <row r="17594" spans="30:30" x14ac:dyDescent="0.3">
      <c r="AD17594" s="16"/>
    </row>
    <row r="17595" spans="30:30" x14ac:dyDescent="0.3">
      <c r="AD17595" s="16"/>
    </row>
    <row r="17596" spans="30:30" x14ac:dyDescent="0.3">
      <c r="AD17596" s="16"/>
    </row>
    <row r="17597" spans="30:30" x14ac:dyDescent="0.3">
      <c r="AD17597" s="16"/>
    </row>
    <row r="17598" spans="30:30" x14ac:dyDescent="0.3">
      <c r="AD17598" s="16"/>
    </row>
    <row r="17599" spans="30:30" x14ac:dyDescent="0.3">
      <c r="AD17599" s="16"/>
    </row>
    <row r="17600" spans="30:30" x14ac:dyDescent="0.3">
      <c r="AD17600" s="16"/>
    </row>
    <row r="17601" spans="30:30" x14ac:dyDescent="0.3">
      <c r="AD17601" s="16"/>
    </row>
    <row r="17602" spans="30:30" x14ac:dyDescent="0.3">
      <c r="AD17602" s="16"/>
    </row>
    <row r="17603" spans="30:30" x14ac:dyDescent="0.3">
      <c r="AD17603" s="16"/>
    </row>
    <row r="17604" spans="30:30" x14ac:dyDescent="0.3">
      <c r="AD17604" s="16"/>
    </row>
    <row r="17605" spans="30:30" x14ac:dyDescent="0.3">
      <c r="AD17605" s="16"/>
    </row>
    <row r="17606" spans="30:30" x14ac:dyDescent="0.3">
      <c r="AD17606" s="16"/>
    </row>
    <row r="17607" spans="30:30" x14ac:dyDescent="0.3">
      <c r="AD17607" s="16"/>
    </row>
    <row r="17608" spans="30:30" x14ac:dyDescent="0.3">
      <c r="AD17608" s="16"/>
    </row>
    <row r="17609" spans="30:30" x14ac:dyDescent="0.3">
      <c r="AD17609" s="16"/>
    </row>
    <row r="17610" spans="30:30" x14ac:dyDescent="0.3">
      <c r="AD17610" s="16"/>
    </row>
    <row r="17611" spans="30:30" x14ac:dyDescent="0.3">
      <c r="AD17611" s="16"/>
    </row>
    <row r="17612" spans="30:30" x14ac:dyDescent="0.3">
      <c r="AD17612" s="16"/>
    </row>
    <row r="17613" spans="30:30" x14ac:dyDescent="0.3">
      <c r="AD17613" s="16"/>
    </row>
    <row r="17614" spans="30:30" x14ac:dyDescent="0.3">
      <c r="AD17614" s="16"/>
    </row>
    <row r="17615" spans="30:30" x14ac:dyDescent="0.3">
      <c r="AD17615" s="16"/>
    </row>
    <row r="17616" spans="30:30" x14ac:dyDescent="0.3">
      <c r="AD17616" s="16"/>
    </row>
    <row r="17617" spans="30:30" x14ac:dyDescent="0.3">
      <c r="AD17617" s="16"/>
    </row>
    <row r="17618" spans="30:30" x14ac:dyDescent="0.3">
      <c r="AD17618" s="16"/>
    </row>
    <row r="17619" spans="30:30" x14ac:dyDescent="0.3">
      <c r="AD17619" s="16"/>
    </row>
    <row r="17620" spans="30:30" x14ac:dyDescent="0.3">
      <c r="AD17620" s="16"/>
    </row>
    <row r="17621" spans="30:30" x14ac:dyDescent="0.3">
      <c r="AD17621" s="16"/>
    </row>
    <row r="17622" spans="30:30" x14ac:dyDescent="0.3">
      <c r="AD17622" s="16"/>
    </row>
    <row r="17623" spans="30:30" x14ac:dyDescent="0.3">
      <c r="AD17623" s="16"/>
    </row>
    <row r="17624" spans="30:30" x14ac:dyDescent="0.3">
      <c r="AD17624" s="16"/>
    </row>
    <row r="17625" spans="30:30" x14ac:dyDescent="0.3">
      <c r="AD17625" s="16"/>
    </row>
    <row r="17626" spans="30:30" x14ac:dyDescent="0.3">
      <c r="AD17626" s="16"/>
    </row>
    <row r="17627" spans="30:30" x14ac:dyDescent="0.3">
      <c r="AD17627" s="16"/>
    </row>
    <row r="17628" spans="30:30" x14ac:dyDescent="0.3">
      <c r="AD17628" s="16"/>
    </row>
    <row r="17629" spans="30:30" x14ac:dyDescent="0.3">
      <c r="AD17629" s="16"/>
    </row>
    <row r="17630" spans="30:30" x14ac:dyDescent="0.3">
      <c r="AD17630" s="16"/>
    </row>
    <row r="17631" spans="30:30" x14ac:dyDescent="0.3">
      <c r="AD17631" s="16"/>
    </row>
    <row r="17632" spans="30:30" x14ac:dyDescent="0.3">
      <c r="AD17632" s="16"/>
    </row>
    <row r="17633" spans="30:30" x14ac:dyDescent="0.3">
      <c r="AD17633" s="16"/>
    </row>
    <row r="17634" spans="30:30" x14ac:dyDescent="0.3">
      <c r="AD17634" s="16"/>
    </row>
    <row r="17635" spans="30:30" x14ac:dyDescent="0.3">
      <c r="AD17635" s="16"/>
    </row>
    <row r="17636" spans="30:30" x14ac:dyDescent="0.3">
      <c r="AD17636" s="16"/>
    </row>
    <row r="17637" spans="30:30" x14ac:dyDescent="0.3">
      <c r="AD17637" s="16"/>
    </row>
    <row r="17638" spans="30:30" x14ac:dyDescent="0.3">
      <c r="AD17638" s="16"/>
    </row>
    <row r="17639" spans="30:30" x14ac:dyDescent="0.3">
      <c r="AD17639" s="16"/>
    </row>
    <row r="17640" spans="30:30" x14ac:dyDescent="0.3">
      <c r="AD17640" s="16"/>
    </row>
    <row r="17641" spans="30:30" x14ac:dyDescent="0.3">
      <c r="AD17641" s="16"/>
    </row>
    <row r="17642" spans="30:30" x14ac:dyDescent="0.3">
      <c r="AD17642" s="16"/>
    </row>
    <row r="17643" spans="30:30" x14ac:dyDescent="0.3">
      <c r="AD17643" s="16"/>
    </row>
    <row r="17644" spans="30:30" x14ac:dyDescent="0.3">
      <c r="AD17644" s="16"/>
    </row>
    <row r="17645" spans="30:30" x14ac:dyDescent="0.3">
      <c r="AD17645" s="16"/>
    </row>
    <row r="17646" spans="30:30" x14ac:dyDescent="0.3">
      <c r="AD17646" s="16"/>
    </row>
    <row r="17647" spans="30:30" x14ac:dyDescent="0.3">
      <c r="AD17647" s="16"/>
    </row>
    <row r="17648" spans="30:30" x14ac:dyDescent="0.3">
      <c r="AD17648" s="16"/>
    </row>
    <row r="17649" spans="30:30" x14ac:dyDescent="0.3">
      <c r="AD17649" s="16"/>
    </row>
    <row r="17650" spans="30:30" x14ac:dyDescent="0.3">
      <c r="AD17650" s="16"/>
    </row>
    <row r="17651" spans="30:30" x14ac:dyDescent="0.3">
      <c r="AD17651" s="16"/>
    </row>
    <row r="17652" spans="30:30" x14ac:dyDescent="0.3">
      <c r="AD17652" s="16"/>
    </row>
    <row r="17653" spans="30:30" x14ac:dyDescent="0.3">
      <c r="AD17653" s="16"/>
    </row>
    <row r="17654" spans="30:30" x14ac:dyDescent="0.3">
      <c r="AD17654" s="16"/>
    </row>
    <row r="17655" spans="30:30" x14ac:dyDescent="0.3">
      <c r="AD17655" s="16"/>
    </row>
    <row r="17656" spans="30:30" x14ac:dyDescent="0.3">
      <c r="AD17656" s="16"/>
    </row>
    <row r="17657" spans="30:30" x14ac:dyDescent="0.3">
      <c r="AD17657" s="16"/>
    </row>
    <row r="17658" spans="30:30" x14ac:dyDescent="0.3">
      <c r="AD17658" s="16"/>
    </row>
    <row r="17659" spans="30:30" x14ac:dyDescent="0.3">
      <c r="AD17659" s="16"/>
    </row>
    <row r="17660" spans="30:30" x14ac:dyDescent="0.3">
      <c r="AD17660" s="16"/>
    </row>
    <row r="17661" spans="30:30" x14ac:dyDescent="0.3">
      <c r="AD17661" s="16"/>
    </row>
    <row r="17662" spans="30:30" x14ac:dyDescent="0.3">
      <c r="AD17662" s="16"/>
    </row>
    <row r="17663" spans="30:30" x14ac:dyDescent="0.3">
      <c r="AD17663" s="16"/>
    </row>
    <row r="17664" spans="30:30" x14ac:dyDescent="0.3">
      <c r="AD17664" s="16"/>
    </row>
    <row r="17665" spans="30:30" x14ac:dyDescent="0.3">
      <c r="AD17665" s="16"/>
    </row>
    <row r="17666" spans="30:30" x14ac:dyDescent="0.3">
      <c r="AD17666" s="16"/>
    </row>
    <row r="17667" spans="30:30" x14ac:dyDescent="0.3">
      <c r="AD17667" s="16"/>
    </row>
    <row r="17668" spans="30:30" x14ac:dyDescent="0.3">
      <c r="AD17668" s="16"/>
    </row>
    <row r="17669" spans="30:30" x14ac:dyDescent="0.3">
      <c r="AD17669" s="16"/>
    </row>
    <row r="17670" spans="30:30" x14ac:dyDescent="0.3">
      <c r="AD17670" s="16"/>
    </row>
    <row r="17671" spans="30:30" x14ac:dyDescent="0.3">
      <c r="AD17671" s="16"/>
    </row>
    <row r="17672" spans="30:30" x14ac:dyDescent="0.3">
      <c r="AD17672" s="16"/>
    </row>
    <row r="17673" spans="30:30" x14ac:dyDescent="0.3">
      <c r="AD17673" s="16"/>
    </row>
    <row r="17674" spans="30:30" x14ac:dyDescent="0.3">
      <c r="AD17674" s="16"/>
    </row>
    <row r="17675" spans="30:30" x14ac:dyDescent="0.3">
      <c r="AD17675" s="16"/>
    </row>
    <row r="17676" spans="30:30" x14ac:dyDescent="0.3">
      <c r="AD17676" s="16"/>
    </row>
    <row r="17677" spans="30:30" x14ac:dyDescent="0.3">
      <c r="AD17677" s="16"/>
    </row>
    <row r="17678" spans="30:30" x14ac:dyDescent="0.3">
      <c r="AD17678" s="16"/>
    </row>
    <row r="17679" spans="30:30" x14ac:dyDescent="0.3">
      <c r="AD17679" s="16"/>
    </row>
    <row r="17680" spans="30:30" x14ac:dyDescent="0.3">
      <c r="AD17680" s="16"/>
    </row>
    <row r="17681" spans="30:30" x14ac:dyDescent="0.3">
      <c r="AD17681" s="16"/>
    </row>
    <row r="17682" spans="30:30" x14ac:dyDescent="0.3">
      <c r="AD17682" s="16"/>
    </row>
    <row r="17683" spans="30:30" x14ac:dyDescent="0.3">
      <c r="AD17683" s="16"/>
    </row>
    <row r="17684" spans="30:30" x14ac:dyDescent="0.3">
      <c r="AD17684" s="16"/>
    </row>
    <row r="17685" spans="30:30" x14ac:dyDescent="0.3">
      <c r="AD17685" s="16"/>
    </row>
    <row r="17686" spans="30:30" x14ac:dyDescent="0.3">
      <c r="AD17686" s="16"/>
    </row>
    <row r="17687" spans="30:30" x14ac:dyDescent="0.3">
      <c r="AD17687" s="16"/>
    </row>
    <row r="17688" spans="30:30" x14ac:dyDescent="0.3">
      <c r="AD17688" s="16"/>
    </row>
    <row r="17689" spans="30:30" x14ac:dyDescent="0.3">
      <c r="AD17689" s="16"/>
    </row>
    <row r="17690" spans="30:30" x14ac:dyDescent="0.3">
      <c r="AD17690" s="16"/>
    </row>
    <row r="17691" spans="30:30" x14ac:dyDescent="0.3">
      <c r="AD17691" s="16"/>
    </row>
    <row r="17692" spans="30:30" x14ac:dyDescent="0.3">
      <c r="AD17692" s="16"/>
    </row>
    <row r="17693" spans="30:30" x14ac:dyDescent="0.3">
      <c r="AD17693" s="16"/>
    </row>
    <row r="17694" spans="30:30" x14ac:dyDescent="0.3">
      <c r="AD17694" s="16"/>
    </row>
    <row r="17695" spans="30:30" x14ac:dyDescent="0.3">
      <c r="AD17695" s="16"/>
    </row>
    <row r="17696" spans="30:30" x14ac:dyDescent="0.3">
      <c r="AD17696" s="16"/>
    </row>
    <row r="17697" spans="30:30" x14ac:dyDescent="0.3">
      <c r="AD17697" s="16"/>
    </row>
    <row r="17698" spans="30:30" x14ac:dyDescent="0.3">
      <c r="AD17698" s="16"/>
    </row>
    <row r="17699" spans="30:30" x14ac:dyDescent="0.3">
      <c r="AD17699" s="16"/>
    </row>
    <row r="17700" spans="30:30" x14ac:dyDescent="0.3">
      <c r="AD17700" s="16"/>
    </row>
    <row r="17701" spans="30:30" x14ac:dyDescent="0.3">
      <c r="AD17701" s="16"/>
    </row>
    <row r="17702" spans="30:30" x14ac:dyDescent="0.3">
      <c r="AD17702" s="16"/>
    </row>
    <row r="17703" spans="30:30" x14ac:dyDescent="0.3">
      <c r="AD17703" s="16"/>
    </row>
    <row r="17704" spans="30:30" x14ac:dyDescent="0.3">
      <c r="AD17704" s="16"/>
    </row>
    <row r="17705" spans="30:30" x14ac:dyDescent="0.3">
      <c r="AD17705" s="16"/>
    </row>
    <row r="17706" spans="30:30" x14ac:dyDescent="0.3">
      <c r="AD17706" s="16"/>
    </row>
    <row r="17707" spans="30:30" x14ac:dyDescent="0.3">
      <c r="AD17707" s="16"/>
    </row>
    <row r="17708" spans="30:30" x14ac:dyDescent="0.3">
      <c r="AD17708" s="16"/>
    </row>
    <row r="17709" spans="30:30" x14ac:dyDescent="0.3">
      <c r="AD17709" s="16"/>
    </row>
    <row r="17710" spans="30:30" x14ac:dyDescent="0.3">
      <c r="AD17710" s="16"/>
    </row>
    <row r="17711" spans="30:30" x14ac:dyDescent="0.3">
      <c r="AD17711" s="16"/>
    </row>
    <row r="17712" spans="30:30" x14ac:dyDescent="0.3">
      <c r="AD17712" s="16"/>
    </row>
    <row r="17713" spans="30:30" x14ac:dyDescent="0.3">
      <c r="AD17713" s="16"/>
    </row>
    <row r="17714" spans="30:30" x14ac:dyDescent="0.3">
      <c r="AD17714" s="16"/>
    </row>
    <row r="17715" spans="30:30" x14ac:dyDescent="0.3">
      <c r="AD17715" s="16"/>
    </row>
    <row r="17716" spans="30:30" x14ac:dyDescent="0.3">
      <c r="AD17716" s="16"/>
    </row>
    <row r="17717" spans="30:30" x14ac:dyDescent="0.3">
      <c r="AD17717" s="16"/>
    </row>
    <row r="17718" spans="30:30" x14ac:dyDescent="0.3">
      <c r="AD17718" s="16"/>
    </row>
    <row r="17719" spans="30:30" x14ac:dyDescent="0.3">
      <c r="AD17719" s="16"/>
    </row>
    <row r="17720" spans="30:30" x14ac:dyDescent="0.3">
      <c r="AD17720" s="16"/>
    </row>
    <row r="17721" spans="30:30" x14ac:dyDescent="0.3">
      <c r="AD17721" s="16"/>
    </row>
    <row r="17722" spans="30:30" x14ac:dyDescent="0.3">
      <c r="AD17722" s="16"/>
    </row>
    <row r="17723" spans="30:30" x14ac:dyDescent="0.3">
      <c r="AD17723" s="16"/>
    </row>
    <row r="17724" spans="30:30" x14ac:dyDescent="0.3">
      <c r="AD17724" s="16"/>
    </row>
    <row r="17725" spans="30:30" x14ac:dyDescent="0.3">
      <c r="AD17725" s="16"/>
    </row>
    <row r="17726" spans="30:30" x14ac:dyDescent="0.3">
      <c r="AD17726" s="16"/>
    </row>
    <row r="17727" spans="30:30" x14ac:dyDescent="0.3">
      <c r="AD17727" s="16"/>
    </row>
    <row r="17728" spans="30:30" x14ac:dyDescent="0.3">
      <c r="AD17728" s="16"/>
    </row>
    <row r="17729" spans="30:30" x14ac:dyDescent="0.3">
      <c r="AD17729" s="16"/>
    </row>
    <row r="17730" spans="30:30" x14ac:dyDescent="0.3">
      <c r="AD17730" s="16"/>
    </row>
    <row r="17731" spans="30:30" x14ac:dyDescent="0.3">
      <c r="AD17731" s="16"/>
    </row>
    <row r="17732" spans="30:30" x14ac:dyDescent="0.3">
      <c r="AD17732" s="16"/>
    </row>
    <row r="17733" spans="30:30" x14ac:dyDescent="0.3">
      <c r="AD17733" s="16"/>
    </row>
    <row r="17734" spans="30:30" x14ac:dyDescent="0.3">
      <c r="AD17734" s="16"/>
    </row>
    <row r="17735" spans="30:30" x14ac:dyDescent="0.3">
      <c r="AD17735" s="16"/>
    </row>
    <row r="17736" spans="30:30" x14ac:dyDescent="0.3">
      <c r="AD17736" s="16"/>
    </row>
    <row r="17737" spans="30:30" x14ac:dyDescent="0.3">
      <c r="AD17737" s="16"/>
    </row>
    <row r="17738" spans="30:30" x14ac:dyDescent="0.3">
      <c r="AD17738" s="16"/>
    </row>
    <row r="17739" spans="30:30" x14ac:dyDescent="0.3">
      <c r="AD17739" s="16"/>
    </row>
    <row r="17740" spans="30:30" x14ac:dyDescent="0.3">
      <c r="AD17740" s="16"/>
    </row>
    <row r="17741" spans="30:30" x14ac:dyDescent="0.3">
      <c r="AD17741" s="16"/>
    </row>
    <row r="17742" spans="30:30" x14ac:dyDescent="0.3">
      <c r="AD17742" s="16"/>
    </row>
    <row r="17743" spans="30:30" x14ac:dyDescent="0.3">
      <c r="AD17743" s="16"/>
    </row>
    <row r="17744" spans="30:30" x14ac:dyDescent="0.3">
      <c r="AD17744" s="16"/>
    </row>
    <row r="17745" spans="30:30" x14ac:dyDescent="0.3">
      <c r="AD17745" s="16"/>
    </row>
    <row r="17746" spans="30:30" x14ac:dyDescent="0.3">
      <c r="AD17746" s="16"/>
    </row>
    <row r="17747" spans="30:30" x14ac:dyDescent="0.3">
      <c r="AD17747" s="16"/>
    </row>
    <row r="17748" spans="30:30" x14ac:dyDescent="0.3">
      <c r="AD17748" s="16"/>
    </row>
    <row r="17749" spans="30:30" x14ac:dyDescent="0.3">
      <c r="AD17749" s="16"/>
    </row>
    <row r="17750" spans="30:30" x14ac:dyDescent="0.3">
      <c r="AD17750" s="16"/>
    </row>
    <row r="17751" spans="30:30" x14ac:dyDescent="0.3">
      <c r="AD17751" s="16"/>
    </row>
    <row r="17752" spans="30:30" x14ac:dyDescent="0.3">
      <c r="AD17752" s="16"/>
    </row>
    <row r="17753" spans="30:30" x14ac:dyDescent="0.3">
      <c r="AD17753" s="16"/>
    </row>
    <row r="17754" spans="30:30" x14ac:dyDescent="0.3">
      <c r="AD17754" s="16"/>
    </row>
    <row r="17755" spans="30:30" x14ac:dyDescent="0.3">
      <c r="AD17755" s="16"/>
    </row>
    <row r="17756" spans="30:30" x14ac:dyDescent="0.3">
      <c r="AD17756" s="16"/>
    </row>
    <row r="17757" spans="30:30" x14ac:dyDescent="0.3">
      <c r="AD17757" s="16"/>
    </row>
    <row r="17758" spans="30:30" x14ac:dyDescent="0.3">
      <c r="AD17758" s="16"/>
    </row>
    <row r="17759" spans="30:30" x14ac:dyDescent="0.3">
      <c r="AD17759" s="16"/>
    </row>
    <row r="17760" spans="30:30" x14ac:dyDescent="0.3">
      <c r="AD17760" s="16"/>
    </row>
    <row r="17761" spans="30:30" x14ac:dyDescent="0.3">
      <c r="AD17761" s="16"/>
    </row>
    <row r="17762" spans="30:30" x14ac:dyDescent="0.3">
      <c r="AD17762" s="16"/>
    </row>
    <row r="17763" spans="30:30" x14ac:dyDescent="0.3">
      <c r="AD17763" s="16"/>
    </row>
    <row r="17764" spans="30:30" x14ac:dyDescent="0.3">
      <c r="AD17764" s="16"/>
    </row>
    <row r="17765" spans="30:30" x14ac:dyDescent="0.3">
      <c r="AD17765" s="16"/>
    </row>
    <row r="17766" spans="30:30" x14ac:dyDescent="0.3">
      <c r="AD17766" s="16"/>
    </row>
    <row r="17767" spans="30:30" x14ac:dyDescent="0.3">
      <c r="AD17767" s="16"/>
    </row>
    <row r="17768" spans="30:30" x14ac:dyDescent="0.3">
      <c r="AD17768" s="16"/>
    </row>
    <row r="17769" spans="30:30" x14ac:dyDescent="0.3">
      <c r="AD17769" s="16"/>
    </row>
    <row r="17770" spans="30:30" x14ac:dyDescent="0.3">
      <c r="AD17770" s="16"/>
    </row>
    <row r="17771" spans="30:30" x14ac:dyDescent="0.3">
      <c r="AD17771" s="16"/>
    </row>
    <row r="17772" spans="30:30" x14ac:dyDescent="0.3">
      <c r="AD17772" s="16"/>
    </row>
    <row r="17773" spans="30:30" x14ac:dyDescent="0.3">
      <c r="AD17773" s="16"/>
    </row>
    <row r="17774" spans="30:30" x14ac:dyDescent="0.3">
      <c r="AD17774" s="16"/>
    </row>
    <row r="17775" spans="30:30" x14ac:dyDescent="0.3">
      <c r="AD17775" s="16"/>
    </row>
    <row r="17776" spans="30:30" x14ac:dyDescent="0.3">
      <c r="AD17776" s="16"/>
    </row>
    <row r="17777" spans="30:30" x14ac:dyDescent="0.3">
      <c r="AD17777" s="16"/>
    </row>
    <row r="17778" spans="30:30" x14ac:dyDescent="0.3">
      <c r="AD17778" s="16"/>
    </row>
    <row r="17779" spans="30:30" x14ac:dyDescent="0.3">
      <c r="AD17779" s="16"/>
    </row>
    <row r="17780" spans="30:30" x14ac:dyDescent="0.3">
      <c r="AD17780" s="16"/>
    </row>
    <row r="17781" spans="30:30" x14ac:dyDescent="0.3">
      <c r="AD17781" s="16"/>
    </row>
    <row r="17782" spans="30:30" x14ac:dyDescent="0.3">
      <c r="AD17782" s="16"/>
    </row>
    <row r="17783" spans="30:30" x14ac:dyDescent="0.3">
      <c r="AD17783" s="16"/>
    </row>
    <row r="17784" spans="30:30" x14ac:dyDescent="0.3">
      <c r="AD17784" s="16"/>
    </row>
    <row r="17785" spans="30:30" x14ac:dyDescent="0.3">
      <c r="AD17785" s="16"/>
    </row>
    <row r="17786" spans="30:30" x14ac:dyDescent="0.3">
      <c r="AD17786" s="16"/>
    </row>
    <row r="17787" spans="30:30" x14ac:dyDescent="0.3">
      <c r="AD17787" s="16"/>
    </row>
    <row r="17788" spans="30:30" x14ac:dyDescent="0.3">
      <c r="AD17788" s="16"/>
    </row>
    <row r="17789" spans="30:30" x14ac:dyDescent="0.3">
      <c r="AD17789" s="16"/>
    </row>
    <row r="17790" spans="30:30" x14ac:dyDescent="0.3">
      <c r="AD17790" s="16"/>
    </row>
    <row r="17791" spans="30:30" x14ac:dyDescent="0.3">
      <c r="AD17791" s="16"/>
    </row>
    <row r="17792" spans="30:30" x14ac:dyDescent="0.3">
      <c r="AD17792" s="16"/>
    </row>
    <row r="17793" spans="30:30" x14ac:dyDescent="0.3">
      <c r="AD17793" s="16"/>
    </row>
    <row r="17794" spans="30:30" x14ac:dyDescent="0.3">
      <c r="AD17794" s="16"/>
    </row>
    <row r="17795" spans="30:30" x14ac:dyDescent="0.3">
      <c r="AD17795" s="16"/>
    </row>
    <row r="17796" spans="30:30" x14ac:dyDescent="0.3">
      <c r="AD17796" s="16"/>
    </row>
    <row r="17797" spans="30:30" x14ac:dyDescent="0.3">
      <c r="AD17797" s="16"/>
    </row>
    <row r="17798" spans="30:30" x14ac:dyDescent="0.3">
      <c r="AD17798" s="16"/>
    </row>
    <row r="17799" spans="30:30" x14ac:dyDescent="0.3">
      <c r="AD17799" s="16"/>
    </row>
    <row r="17800" spans="30:30" x14ac:dyDescent="0.3">
      <c r="AD17800" s="16"/>
    </row>
    <row r="17801" spans="30:30" x14ac:dyDescent="0.3">
      <c r="AD17801" s="16"/>
    </row>
    <row r="17802" spans="30:30" x14ac:dyDescent="0.3">
      <c r="AD17802" s="16"/>
    </row>
    <row r="17803" spans="30:30" x14ac:dyDescent="0.3">
      <c r="AD17803" s="16"/>
    </row>
    <row r="17804" spans="30:30" x14ac:dyDescent="0.3">
      <c r="AD17804" s="16"/>
    </row>
    <row r="17805" spans="30:30" x14ac:dyDescent="0.3">
      <c r="AD17805" s="16"/>
    </row>
    <row r="17806" spans="30:30" x14ac:dyDescent="0.3">
      <c r="AD17806" s="16"/>
    </row>
    <row r="17807" spans="30:30" x14ac:dyDescent="0.3">
      <c r="AD17807" s="16"/>
    </row>
    <row r="17808" spans="30:30" x14ac:dyDescent="0.3">
      <c r="AD17808" s="16"/>
    </row>
    <row r="17809" spans="30:30" x14ac:dyDescent="0.3">
      <c r="AD17809" s="16"/>
    </row>
    <row r="17810" spans="30:30" x14ac:dyDescent="0.3">
      <c r="AD17810" s="16"/>
    </row>
    <row r="17811" spans="30:30" x14ac:dyDescent="0.3">
      <c r="AD17811" s="16"/>
    </row>
    <row r="17812" spans="30:30" x14ac:dyDescent="0.3">
      <c r="AD17812" s="16"/>
    </row>
    <row r="17813" spans="30:30" x14ac:dyDescent="0.3">
      <c r="AD17813" s="16"/>
    </row>
    <row r="17814" spans="30:30" x14ac:dyDescent="0.3">
      <c r="AD17814" s="16"/>
    </row>
    <row r="17815" spans="30:30" x14ac:dyDescent="0.3">
      <c r="AD17815" s="16"/>
    </row>
    <row r="17816" spans="30:30" x14ac:dyDescent="0.3">
      <c r="AD17816" s="16"/>
    </row>
    <row r="17817" spans="30:30" x14ac:dyDescent="0.3">
      <c r="AD17817" s="16"/>
    </row>
    <row r="17818" spans="30:30" x14ac:dyDescent="0.3">
      <c r="AD17818" s="16"/>
    </row>
    <row r="17819" spans="30:30" x14ac:dyDescent="0.3">
      <c r="AD17819" s="16"/>
    </row>
    <row r="17820" spans="30:30" x14ac:dyDescent="0.3">
      <c r="AD17820" s="16"/>
    </row>
    <row r="17821" spans="30:30" x14ac:dyDescent="0.3">
      <c r="AD17821" s="16"/>
    </row>
    <row r="17822" spans="30:30" x14ac:dyDescent="0.3">
      <c r="AD17822" s="16"/>
    </row>
    <row r="17823" spans="30:30" x14ac:dyDescent="0.3">
      <c r="AD17823" s="16"/>
    </row>
    <row r="17824" spans="30:30" x14ac:dyDescent="0.3">
      <c r="AD17824" s="16"/>
    </row>
    <row r="17825" spans="30:30" x14ac:dyDescent="0.3">
      <c r="AD17825" s="16"/>
    </row>
    <row r="17826" spans="30:30" x14ac:dyDescent="0.3">
      <c r="AD17826" s="16"/>
    </row>
    <row r="17827" spans="30:30" x14ac:dyDescent="0.3">
      <c r="AD17827" s="16"/>
    </row>
    <row r="17828" spans="30:30" x14ac:dyDescent="0.3">
      <c r="AD17828" s="16"/>
    </row>
    <row r="17829" spans="30:30" x14ac:dyDescent="0.3">
      <c r="AD17829" s="16"/>
    </row>
    <row r="17830" spans="30:30" x14ac:dyDescent="0.3">
      <c r="AD17830" s="16"/>
    </row>
    <row r="17831" spans="30:30" x14ac:dyDescent="0.3">
      <c r="AD17831" s="16"/>
    </row>
    <row r="17832" spans="30:30" x14ac:dyDescent="0.3">
      <c r="AD17832" s="16"/>
    </row>
    <row r="17833" spans="30:30" x14ac:dyDescent="0.3">
      <c r="AD17833" s="16"/>
    </row>
    <row r="17834" spans="30:30" x14ac:dyDescent="0.3">
      <c r="AD17834" s="16"/>
    </row>
    <row r="17835" spans="30:30" x14ac:dyDescent="0.3">
      <c r="AD17835" s="16"/>
    </row>
    <row r="17836" spans="30:30" x14ac:dyDescent="0.3">
      <c r="AD17836" s="16"/>
    </row>
    <row r="17837" spans="30:30" x14ac:dyDescent="0.3">
      <c r="AD17837" s="16"/>
    </row>
    <row r="17838" spans="30:30" x14ac:dyDescent="0.3">
      <c r="AD17838" s="16"/>
    </row>
    <row r="17839" spans="30:30" x14ac:dyDescent="0.3">
      <c r="AD17839" s="16"/>
    </row>
    <row r="17840" spans="30:30" x14ac:dyDescent="0.3">
      <c r="AD17840" s="16"/>
    </row>
    <row r="17841" spans="30:30" x14ac:dyDescent="0.3">
      <c r="AD17841" s="16"/>
    </row>
    <row r="17842" spans="30:30" x14ac:dyDescent="0.3">
      <c r="AD17842" s="16"/>
    </row>
    <row r="17843" spans="30:30" x14ac:dyDescent="0.3">
      <c r="AD17843" s="16"/>
    </row>
    <row r="17844" spans="30:30" x14ac:dyDescent="0.3">
      <c r="AD17844" s="16"/>
    </row>
    <row r="17845" spans="30:30" x14ac:dyDescent="0.3">
      <c r="AD17845" s="16"/>
    </row>
    <row r="17846" spans="30:30" x14ac:dyDescent="0.3">
      <c r="AD17846" s="16"/>
    </row>
    <row r="17847" spans="30:30" x14ac:dyDescent="0.3">
      <c r="AD17847" s="16"/>
    </row>
    <row r="17848" spans="30:30" x14ac:dyDescent="0.3">
      <c r="AD17848" s="16"/>
    </row>
    <row r="17849" spans="30:30" x14ac:dyDescent="0.3">
      <c r="AD17849" s="16"/>
    </row>
    <row r="17850" spans="30:30" x14ac:dyDescent="0.3">
      <c r="AD17850" s="16"/>
    </row>
    <row r="17851" spans="30:30" x14ac:dyDescent="0.3">
      <c r="AD17851" s="16"/>
    </row>
    <row r="17852" spans="30:30" x14ac:dyDescent="0.3">
      <c r="AD17852" s="16"/>
    </row>
    <row r="17853" spans="30:30" x14ac:dyDescent="0.3">
      <c r="AD17853" s="16"/>
    </row>
    <row r="17854" spans="30:30" x14ac:dyDescent="0.3">
      <c r="AD17854" s="16"/>
    </row>
    <row r="17855" spans="30:30" x14ac:dyDescent="0.3">
      <c r="AD17855" s="16"/>
    </row>
    <row r="17856" spans="30:30" x14ac:dyDescent="0.3">
      <c r="AD17856" s="16"/>
    </row>
    <row r="17857" spans="30:30" x14ac:dyDescent="0.3">
      <c r="AD17857" s="16"/>
    </row>
    <row r="17858" spans="30:30" x14ac:dyDescent="0.3">
      <c r="AD17858" s="16"/>
    </row>
    <row r="17859" spans="30:30" x14ac:dyDescent="0.3">
      <c r="AD17859" s="16"/>
    </row>
    <row r="17860" spans="30:30" x14ac:dyDescent="0.3">
      <c r="AD17860" s="16"/>
    </row>
    <row r="17861" spans="30:30" x14ac:dyDescent="0.3">
      <c r="AD17861" s="16"/>
    </row>
    <row r="17862" spans="30:30" x14ac:dyDescent="0.3">
      <c r="AD17862" s="16"/>
    </row>
    <row r="17863" spans="30:30" x14ac:dyDescent="0.3">
      <c r="AD17863" s="16"/>
    </row>
    <row r="17864" spans="30:30" x14ac:dyDescent="0.3">
      <c r="AD17864" s="16"/>
    </row>
    <row r="17865" spans="30:30" x14ac:dyDescent="0.3">
      <c r="AD17865" s="16"/>
    </row>
    <row r="17866" spans="30:30" x14ac:dyDescent="0.3">
      <c r="AD17866" s="16"/>
    </row>
    <row r="17867" spans="30:30" x14ac:dyDescent="0.3">
      <c r="AD17867" s="16"/>
    </row>
    <row r="17868" spans="30:30" x14ac:dyDescent="0.3">
      <c r="AD17868" s="16"/>
    </row>
    <row r="17869" spans="30:30" x14ac:dyDescent="0.3">
      <c r="AD17869" s="16"/>
    </row>
    <row r="17870" spans="30:30" x14ac:dyDescent="0.3">
      <c r="AD17870" s="16"/>
    </row>
    <row r="17871" spans="30:30" x14ac:dyDescent="0.3">
      <c r="AD17871" s="16"/>
    </row>
    <row r="17872" spans="30:30" x14ac:dyDescent="0.3">
      <c r="AD17872" s="16"/>
    </row>
    <row r="17873" spans="30:30" x14ac:dyDescent="0.3">
      <c r="AD17873" s="16"/>
    </row>
    <row r="17874" spans="30:30" x14ac:dyDescent="0.3">
      <c r="AD17874" s="16"/>
    </row>
    <row r="17875" spans="30:30" x14ac:dyDescent="0.3">
      <c r="AD17875" s="16"/>
    </row>
    <row r="17876" spans="30:30" x14ac:dyDescent="0.3">
      <c r="AD17876" s="16"/>
    </row>
    <row r="17877" spans="30:30" x14ac:dyDescent="0.3">
      <c r="AD17877" s="16"/>
    </row>
    <row r="17878" spans="30:30" x14ac:dyDescent="0.3">
      <c r="AD17878" s="16"/>
    </row>
    <row r="17879" spans="30:30" x14ac:dyDescent="0.3">
      <c r="AD17879" s="16"/>
    </row>
    <row r="17880" spans="30:30" x14ac:dyDescent="0.3">
      <c r="AD17880" s="16"/>
    </row>
    <row r="17881" spans="30:30" x14ac:dyDescent="0.3">
      <c r="AD17881" s="16"/>
    </row>
    <row r="17882" spans="30:30" x14ac:dyDescent="0.3">
      <c r="AD17882" s="16"/>
    </row>
    <row r="17883" spans="30:30" x14ac:dyDescent="0.3">
      <c r="AD17883" s="16"/>
    </row>
    <row r="17884" spans="30:30" x14ac:dyDescent="0.3">
      <c r="AD17884" s="16"/>
    </row>
    <row r="17885" spans="30:30" x14ac:dyDescent="0.3">
      <c r="AD17885" s="16"/>
    </row>
    <row r="17886" spans="30:30" x14ac:dyDescent="0.3">
      <c r="AD17886" s="16"/>
    </row>
    <row r="17887" spans="30:30" x14ac:dyDescent="0.3">
      <c r="AD17887" s="16"/>
    </row>
    <row r="17888" spans="30:30" x14ac:dyDescent="0.3">
      <c r="AD17888" s="16"/>
    </row>
    <row r="17889" spans="30:30" x14ac:dyDescent="0.3">
      <c r="AD17889" s="16"/>
    </row>
    <row r="17890" spans="30:30" x14ac:dyDescent="0.3">
      <c r="AD17890" s="16"/>
    </row>
    <row r="17891" spans="30:30" x14ac:dyDescent="0.3">
      <c r="AD17891" s="16"/>
    </row>
    <row r="17892" spans="30:30" x14ac:dyDescent="0.3">
      <c r="AD17892" s="16"/>
    </row>
    <row r="17893" spans="30:30" x14ac:dyDescent="0.3">
      <c r="AD17893" s="16"/>
    </row>
    <row r="17894" spans="30:30" x14ac:dyDescent="0.3">
      <c r="AD17894" s="16"/>
    </row>
    <row r="17895" spans="30:30" x14ac:dyDescent="0.3">
      <c r="AD17895" s="16"/>
    </row>
    <row r="17896" spans="30:30" x14ac:dyDescent="0.3">
      <c r="AD17896" s="16"/>
    </row>
    <row r="17897" spans="30:30" x14ac:dyDescent="0.3">
      <c r="AD17897" s="16"/>
    </row>
    <row r="17898" spans="30:30" x14ac:dyDescent="0.3">
      <c r="AD17898" s="16"/>
    </row>
    <row r="17899" spans="30:30" x14ac:dyDescent="0.3">
      <c r="AD17899" s="16"/>
    </row>
    <row r="17900" spans="30:30" x14ac:dyDescent="0.3">
      <c r="AD17900" s="16"/>
    </row>
    <row r="17901" spans="30:30" x14ac:dyDescent="0.3">
      <c r="AD17901" s="16"/>
    </row>
    <row r="17902" spans="30:30" x14ac:dyDescent="0.3">
      <c r="AD17902" s="16"/>
    </row>
    <row r="17903" spans="30:30" x14ac:dyDescent="0.3">
      <c r="AD17903" s="16"/>
    </row>
    <row r="17904" spans="30:30" x14ac:dyDescent="0.3">
      <c r="AD17904" s="16"/>
    </row>
    <row r="17905" spans="30:30" x14ac:dyDescent="0.3">
      <c r="AD17905" s="16"/>
    </row>
    <row r="17906" spans="30:30" x14ac:dyDescent="0.3">
      <c r="AD17906" s="16"/>
    </row>
    <row r="17907" spans="30:30" x14ac:dyDescent="0.3">
      <c r="AD17907" s="16"/>
    </row>
    <row r="17908" spans="30:30" x14ac:dyDescent="0.3">
      <c r="AD17908" s="16"/>
    </row>
    <row r="17909" spans="30:30" x14ac:dyDescent="0.3">
      <c r="AD17909" s="16"/>
    </row>
    <row r="17910" spans="30:30" x14ac:dyDescent="0.3">
      <c r="AD17910" s="16"/>
    </row>
    <row r="17911" spans="30:30" x14ac:dyDescent="0.3">
      <c r="AD17911" s="16"/>
    </row>
    <row r="17912" spans="30:30" x14ac:dyDescent="0.3">
      <c r="AD17912" s="16"/>
    </row>
    <row r="17913" spans="30:30" x14ac:dyDescent="0.3">
      <c r="AD17913" s="16"/>
    </row>
    <row r="17914" spans="30:30" x14ac:dyDescent="0.3">
      <c r="AD17914" s="16"/>
    </row>
    <row r="17915" spans="30:30" x14ac:dyDescent="0.3">
      <c r="AD17915" s="16"/>
    </row>
    <row r="17916" spans="30:30" x14ac:dyDescent="0.3">
      <c r="AD17916" s="16"/>
    </row>
    <row r="17917" spans="30:30" x14ac:dyDescent="0.3">
      <c r="AD17917" s="16"/>
    </row>
    <row r="17918" spans="30:30" x14ac:dyDescent="0.3">
      <c r="AD17918" s="16"/>
    </row>
    <row r="17919" spans="30:30" x14ac:dyDescent="0.3">
      <c r="AD17919" s="16"/>
    </row>
    <row r="17920" spans="30:30" x14ac:dyDescent="0.3">
      <c r="AD17920" s="16"/>
    </row>
    <row r="17921" spans="30:30" x14ac:dyDescent="0.3">
      <c r="AD17921" s="16"/>
    </row>
    <row r="17922" spans="30:30" x14ac:dyDescent="0.3">
      <c r="AD17922" s="16"/>
    </row>
    <row r="17923" spans="30:30" x14ac:dyDescent="0.3">
      <c r="AD17923" s="16"/>
    </row>
    <row r="17924" spans="30:30" x14ac:dyDescent="0.3">
      <c r="AD17924" s="16"/>
    </row>
    <row r="17925" spans="30:30" x14ac:dyDescent="0.3">
      <c r="AD17925" s="16"/>
    </row>
    <row r="17926" spans="30:30" x14ac:dyDescent="0.3">
      <c r="AD17926" s="16"/>
    </row>
    <row r="17927" spans="30:30" x14ac:dyDescent="0.3">
      <c r="AD17927" s="16"/>
    </row>
    <row r="17928" spans="30:30" x14ac:dyDescent="0.3">
      <c r="AD17928" s="16"/>
    </row>
    <row r="17929" spans="30:30" x14ac:dyDescent="0.3">
      <c r="AD17929" s="16"/>
    </row>
    <row r="17930" spans="30:30" x14ac:dyDescent="0.3">
      <c r="AD17930" s="16"/>
    </row>
    <row r="17931" spans="30:30" x14ac:dyDescent="0.3">
      <c r="AD17931" s="16"/>
    </row>
    <row r="17932" spans="30:30" x14ac:dyDescent="0.3">
      <c r="AD17932" s="16"/>
    </row>
    <row r="17933" spans="30:30" x14ac:dyDescent="0.3">
      <c r="AD17933" s="16"/>
    </row>
    <row r="17934" spans="30:30" x14ac:dyDescent="0.3">
      <c r="AD17934" s="16"/>
    </row>
    <row r="17935" spans="30:30" x14ac:dyDescent="0.3">
      <c r="AD17935" s="16"/>
    </row>
    <row r="17936" spans="30:30" x14ac:dyDescent="0.3">
      <c r="AD17936" s="16"/>
    </row>
    <row r="17937" spans="30:30" x14ac:dyDescent="0.3">
      <c r="AD17937" s="16"/>
    </row>
    <row r="17938" spans="30:30" x14ac:dyDescent="0.3">
      <c r="AD17938" s="16"/>
    </row>
    <row r="17939" spans="30:30" x14ac:dyDescent="0.3">
      <c r="AD17939" s="16"/>
    </row>
    <row r="17940" spans="30:30" x14ac:dyDescent="0.3">
      <c r="AD17940" s="16"/>
    </row>
    <row r="17941" spans="30:30" x14ac:dyDescent="0.3">
      <c r="AD17941" s="16"/>
    </row>
    <row r="17942" spans="30:30" x14ac:dyDescent="0.3">
      <c r="AD17942" s="16"/>
    </row>
    <row r="17943" spans="30:30" x14ac:dyDescent="0.3">
      <c r="AD17943" s="16"/>
    </row>
    <row r="17944" spans="30:30" x14ac:dyDescent="0.3">
      <c r="AD17944" s="16"/>
    </row>
    <row r="17945" spans="30:30" x14ac:dyDescent="0.3">
      <c r="AD17945" s="16"/>
    </row>
    <row r="17946" spans="30:30" x14ac:dyDescent="0.3">
      <c r="AD17946" s="16"/>
    </row>
    <row r="17947" spans="30:30" x14ac:dyDescent="0.3">
      <c r="AD17947" s="16"/>
    </row>
    <row r="17948" spans="30:30" x14ac:dyDescent="0.3">
      <c r="AD17948" s="16"/>
    </row>
    <row r="17949" spans="30:30" x14ac:dyDescent="0.3">
      <c r="AD17949" s="16"/>
    </row>
    <row r="17950" spans="30:30" x14ac:dyDescent="0.3">
      <c r="AD17950" s="16"/>
    </row>
    <row r="17951" spans="30:30" x14ac:dyDescent="0.3">
      <c r="AD17951" s="16"/>
    </row>
    <row r="17952" spans="30:30" x14ac:dyDescent="0.3">
      <c r="AD17952" s="16"/>
    </row>
    <row r="17953" spans="30:30" x14ac:dyDescent="0.3">
      <c r="AD17953" s="16"/>
    </row>
    <row r="17954" spans="30:30" x14ac:dyDescent="0.3">
      <c r="AD17954" s="16"/>
    </row>
    <row r="17955" spans="30:30" x14ac:dyDescent="0.3">
      <c r="AD17955" s="16"/>
    </row>
    <row r="17956" spans="30:30" x14ac:dyDescent="0.3">
      <c r="AD17956" s="16"/>
    </row>
    <row r="17957" spans="30:30" x14ac:dyDescent="0.3">
      <c r="AD17957" s="16"/>
    </row>
    <row r="17958" spans="30:30" x14ac:dyDescent="0.3">
      <c r="AD17958" s="16"/>
    </row>
    <row r="17959" spans="30:30" x14ac:dyDescent="0.3">
      <c r="AD17959" s="16"/>
    </row>
    <row r="17960" spans="30:30" x14ac:dyDescent="0.3">
      <c r="AD17960" s="16"/>
    </row>
    <row r="17961" spans="30:30" x14ac:dyDescent="0.3">
      <c r="AD17961" s="16"/>
    </row>
    <row r="17962" spans="30:30" x14ac:dyDescent="0.3">
      <c r="AD17962" s="16"/>
    </row>
    <row r="17963" spans="30:30" x14ac:dyDescent="0.3">
      <c r="AD17963" s="16"/>
    </row>
    <row r="17964" spans="30:30" x14ac:dyDescent="0.3">
      <c r="AD17964" s="16"/>
    </row>
    <row r="17965" spans="30:30" x14ac:dyDescent="0.3">
      <c r="AD17965" s="16"/>
    </row>
    <row r="17966" spans="30:30" x14ac:dyDescent="0.3">
      <c r="AD17966" s="16"/>
    </row>
    <row r="17967" spans="30:30" x14ac:dyDescent="0.3">
      <c r="AD17967" s="16"/>
    </row>
    <row r="17968" spans="30:30" x14ac:dyDescent="0.3">
      <c r="AD17968" s="16"/>
    </row>
    <row r="17969" spans="30:30" x14ac:dyDescent="0.3">
      <c r="AD17969" s="16"/>
    </row>
    <row r="17970" spans="30:30" x14ac:dyDescent="0.3">
      <c r="AD17970" s="16"/>
    </row>
    <row r="17971" spans="30:30" x14ac:dyDescent="0.3">
      <c r="AD17971" s="16"/>
    </row>
    <row r="17972" spans="30:30" x14ac:dyDescent="0.3">
      <c r="AD17972" s="16"/>
    </row>
    <row r="17973" spans="30:30" x14ac:dyDescent="0.3">
      <c r="AD17973" s="16"/>
    </row>
    <row r="17974" spans="30:30" x14ac:dyDescent="0.3">
      <c r="AD17974" s="16"/>
    </row>
    <row r="17975" spans="30:30" x14ac:dyDescent="0.3">
      <c r="AD17975" s="16"/>
    </row>
    <row r="17976" spans="30:30" x14ac:dyDescent="0.3">
      <c r="AD17976" s="16"/>
    </row>
    <row r="17977" spans="30:30" x14ac:dyDescent="0.3">
      <c r="AD17977" s="16"/>
    </row>
    <row r="17978" spans="30:30" x14ac:dyDescent="0.3">
      <c r="AD17978" s="16"/>
    </row>
    <row r="17979" spans="30:30" x14ac:dyDescent="0.3">
      <c r="AD17979" s="16"/>
    </row>
    <row r="17980" spans="30:30" x14ac:dyDescent="0.3">
      <c r="AD17980" s="16"/>
    </row>
    <row r="17981" spans="30:30" x14ac:dyDescent="0.3">
      <c r="AD17981" s="16"/>
    </row>
    <row r="17982" spans="30:30" x14ac:dyDescent="0.3">
      <c r="AD17982" s="16"/>
    </row>
    <row r="17983" spans="30:30" x14ac:dyDescent="0.3">
      <c r="AD17983" s="16"/>
    </row>
    <row r="17984" spans="30:30" x14ac:dyDescent="0.3">
      <c r="AD17984" s="16"/>
    </row>
    <row r="17985" spans="30:30" x14ac:dyDescent="0.3">
      <c r="AD17985" s="16"/>
    </row>
    <row r="17986" spans="30:30" x14ac:dyDescent="0.3">
      <c r="AD17986" s="16"/>
    </row>
    <row r="17987" spans="30:30" x14ac:dyDescent="0.3">
      <c r="AD17987" s="16"/>
    </row>
    <row r="17988" spans="30:30" x14ac:dyDescent="0.3">
      <c r="AD17988" s="16"/>
    </row>
    <row r="17989" spans="30:30" x14ac:dyDescent="0.3">
      <c r="AD17989" s="16"/>
    </row>
    <row r="17990" spans="30:30" x14ac:dyDescent="0.3">
      <c r="AD17990" s="16"/>
    </row>
    <row r="17991" spans="30:30" x14ac:dyDescent="0.3">
      <c r="AD17991" s="16"/>
    </row>
    <row r="17992" spans="30:30" x14ac:dyDescent="0.3">
      <c r="AD17992" s="16"/>
    </row>
    <row r="17993" spans="30:30" x14ac:dyDescent="0.3">
      <c r="AD17993" s="16"/>
    </row>
    <row r="17994" spans="30:30" x14ac:dyDescent="0.3">
      <c r="AD17994" s="16"/>
    </row>
    <row r="17995" spans="30:30" x14ac:dyDescent="0.3">
      <c r="AD17995" s="16"/>
    </row>
    <row r="17996" spans="30:30" x14ac:dyDescent="0.3">
      <c r="AD17996" s="16"/>
    </row>
    <row r="17997" spans="30:30" x14ac:dyDescent="0.3">
      <c r="AD17997" s="16"/>
    </row>
    <row r="17998" spans="30:30" x14ac:dyDescent="0.3">
      <c r="AD17998" s="16"/>
    </row>
    <row r="17999" spans="30:30" x14ac:dyDescent="0.3">
      <c r="AD17999" s="16"/>
    </row>
    <row r="18000" spans="30:30" x14ac:dyDescent="0.3">
      <c r="AD18000" s="16"/>
    </row>
    <row r="18001" spans="30:30" x14ac:dyDescent="0.3">
      <c r="AD18001" s="16"/>
    </row>
    <row r="18002" spans="30:30" x14ac:dyDescent="0.3">
      <c r="AD18002" s="16"/>
    </row>
    <row r="18003" spans="30:30" x14ac:dyDescent="0.3">
      <c r="AD18003" s="16"/>
    </row>
    <row r="18004" spans="30:30" x14ac:dyDescent="0.3">
      <c r="AD18004" s="16"/>
    </row>
    <row r="18005" spans="30:30" x14ac:dyDescent="0.3">
      <c r="AD18005" s="16"/>
    </row>
    <row r="18006" spans="30:30" x14ac:dyDescent="0.3">
      <c r="AD18006" s="16"/>
    </row>
    <row r="18007" spans="30:30" x14ac:dyDescent="0.3">
      <c r="AD18007" s="16"/>
    </row>
    <row r="18008" spans="30:30" x14ac:dyDescent="0.3">
      <c r="AD18008" s="16"/>
    </row>
    <row r="18009" spans="30:30" x14ac:dyDescent="0.3">
      <c r="AD18009" s="16"/>
    </row>
    <row r="18010" spans="30:30" x14ac:dyDescent="0.3">
      <c r="AD18010" s="16"/>
    </row>
    <row r="18011" spans="30:30" x14ac:dyDescent="0.3">
      <c r="AD18011" s="16"/>
    </row>
    <row r="18012" spans="30:30" x14ac:dyDescent="0.3">
      <c r="AD18012" s="16"/>
    </row>
    <row r="18013" spans="30:30" x14ac:dyDescent="0.3">
      <c r="AD18013" s="16"/>
    </row>
    <row r="18014" spans="30:30" x14ac:dyDescent="0.3">
      <c r="AD18014" s="16"/>
    </row>
    <row r="18015" spans="30:30" x14ac:dyDescent="0.3">
      <c r="AD18015" s="16"/>
    </row>
    <row r="18016" spans="30:30" x14ac:dyDescent="0.3">
      <c r="AD18016" s="16"/>
    </row>
    <row r="18017" spans="30:30" x14ac:dyDescent="0.3">
      <c r="AD18017" s="16"/>
    </row>
    <row r="18018" spans="30:30" x14ac:dyDescent="0.3">
      <c r="AD18018" s="16"/>
    </row>
    <row r="18019" spans="30:30" x14ac:dyDescent="0.3">
      <c r="AD18019" s="16"/>
    </row>
    <row r="18020" spans="30:30" x14ac:dyDescent="0.3">
      <c r="AD18020" s="16"/>
    </row>
    <row r="18021" spans="30:30" x14ac:dyDescent="0.3">
      <c r="AD18021" s="16"/>
    </row>
    <row r="18022" spans="30:30" x14ac:dyDescent="0.3">
      <c r="AD18022" s="16"/>
    </row>
    <row r="18023" spans="30:30" x14ac:dyDescent="0.3">
      <c r="AD18023" s="16"/>
    </row>
    <row r="18024" spans="30:30" x14ac:dyDescent="0.3">
      <c r="AD18024" s="16"/>
    </row>
    <row r="18025" spans="30:30" x14ac:dyDescent="0.3">
      <c r="AD18025" s="16"/>
    </row>
    <row r="18026" spans="30:30" x14ac:dyDescent="0.3">
      <c r="AD18026" s="16"/>
    </row>
    <row r="18027" spans="30:30" x14ac:dyDescent="0.3">
      <c r="AD18027" s="16"/>
    </row>
    <row r="18028" spans="30:30" x14ac:dyDescent="0.3">
      <c r="AD18028" s="16"/>
    </row>
    <row r="18029" spans="30:30" x14ac:dyDescent="0.3">
      <c r="AD18029" s="16"/>
    </row>
    <row r="18030" spans="30:30" x14ac:dyDescent="0.3">
      <c r="AD18030" s="16"/>
    </row>
    <row r="18031" spans="30:30" x14ac:dyDescent="0.3">
      <c r="AD18031" s="16"/>
    </row>
    <row r="18032" spans="30:30" x14ac:dyDescent="0.3">
      <c r="AD18032" s="16"/>
    </row>
    <row r="18033" spans="30:30" x14ac:dyDescent="0.3">
      <c r="AD18033" s="16"/>
    </row>
    <row r="18034" spans="30:30" x14ac:dyDescent="0.3">
      <c r="AD18034" s="16"/>
    </row>
    <row r="18035" spans="30:30" x14ac:dyDescent="0.3">
      <c r="AD18035" s="16"/>
    </row>
    <row r="18036" spans="30:30" x14ac:dyDescent="0.3">
      <c r="AD18036" s="16"/>
    </row>
    <row r="18037" spans="30:30" x14ac:dyDescent="0.3">
      <c r="AD18037" s="16"/>
    </row>
    <row r="18038" spans="30:30" x14ac:dyDescent="0.3">
      <c r="AD18038" s="16"/>
    </row>
    <row r="18039" spans="30:30" x14ac:dyDescent="0.3">
      <c r="AD18039" s="16"/>
    </row>
    <row r="18040" spans="30:30" x14ac:dyDescent="0.3">
      <c r="AD18040" s="16"/>
    </row>
    <row r="18041" spans="30:30" x14ac:dyDescent="0.3">
      <c r="AD18041" s="16"/>
    </row>
    <row r="18042" spans="30:30" x14ac:dyDescent="0.3">
      <c r="AD18042" s="16"/>
    </row>
    <row r="18043" spans="30:30" x14ac:dyDescent="0.3">
      <c r="AD18043" s="16"/>
    </row>
    <row r="18044" spans="30:30" x14ac:dyDescent="0.3">
      <c r="AD18044" s="16"/>
    </row>
    <row r="18045" spans="30:30" x14ac:dyDescent="0.3">
      <c r="AD18045" s="16"/>
    </row>
    <row r="18046" spans="30:30" x14ac:dyDescent="0.3">
      <c r="AD18046" s="16"/>
    </row>
    <row r="18047" spans="30:30" x14ac:dyDescent="0.3">
      <c r="AD18047" s="16"/>
    </row>
    <row r="18048" spans="30:30" x14ac:dyDescent="0.3">
      <c r="AD18048" s="16"/>
    </row>
    <row r="18049" spans="30:30" x14ac:dyDescent="0.3">
      <c r="AD18049" s="16"/>
    </row>
    <row r="18050" spans="30:30" x14ac:dyDescent="0.3">
      <c r="AD18050" s="16"/>
    </row>
    <row r="18051" spans="30:30" x14ac:dyDescent="0.3">
      <c r="AD18051" s="16"/>
    </row>
    <row r="18052" spans="30:30" x14ac:dyDescent="0.3">
      <c r="AD18052" s="16"/>
    </row>
    <row r="18053" spans="30:30" x14ac:dyDescent="0.3">
      <c r="AD18053" s="16"/>
    </row>
    <row r="18054" spans="30:30" x14ac:dyDescent="0.3">
      <c r="AD18054" s="16"/>
    </row>
    <row r="18055" spans="30:30" x14ac:dyDescent="0.3">
      <c r="AD18055" s="16"/>
    </row>
    <row r="18056" spans="30:30" x14ac:dyDescent="0.3">
      <c r="AD18056" s="16"/>
    </row>
    <row r="18057" spans="30:30" x14ac:dyDescent="0.3">
      <c r="AD18057" s="16"/>
    </row>
    <row r="18058" spans="30:30" x14ac:dyDescent="0.3">
      <c r="AD18058" s="16"/>
    </row>
    <row r="18059" spans="30:30" x14ac:dyDescent="0.3">
      <c r="AD18059" s="16"/>
    </row>
    <row r="18060" spans="30:30" x14ac:dyDescent="0.3">
      <c r="AD18060" s="16"/>
    </row>
    <row r="18061" spans="30:30" x14ac:dyDescent="0.3">
      <c r="AD18061" s="16"/>
    </row>
    <row r="18062" spans="30:30" x14ac:dyDescent="0.3">
      <c r="AD18062" s="16"/>
    </row>
    <row r="18063" spans="30:30" x14ac:dyDescent="0.3">
      <c r="AD18063" s="16"/>
    </row>
    <row r="18064" spans="30:30" x14ac:dyDescent="0.3">
      <c r="AD18064" s="16"/>
    </row>
    <row r="18065" spans="30:30" x14ac:dyDescent="0.3">
      <c r="AD18065" s="16"/>
    </row>
    <row r="18066" spans="30:30" x14ac:dyDescent="0.3">
      <c r="AD18066" s="16"/>
    </row>
    <row r="18067" spans="30:30" x14ac:dyDescent="0.3">
      <c r="AD18067" s="16"/>
    </row>
    <row r="18068" spans="30:30" x14ac:dyDescent="0.3">
      <c r="AD18068" s="16"/>
    </row>
    <row r="18069" spans="30:30" x14ac:dyDescent="0.3">
      <c r="AD18069" s="16"/>
    </row>
    <row r="18070" spans="30:30" x14ac:dyDescent="0.3">
      <c r="AD18070" s="16"/>
    </row>
    <row r="18071" spans="30:30" x14ac:dyDescent="0.3">
      <c r="AD18071" s="16"/>
    </row>
    <row r="18072" spans="30:30" x14ac:dyDescent="0.3">
      <c r="AD18072" s="16"/>
    </row>
    <row r="18073" spans="30:30" x14ac:dyDescent="0.3">
      <c r="AD18073" s="16"/>
    </row>
    <row r="18074" spans="30:30" x14ac:dyDescent="0.3">
      <c r="AD18074" s="16"/>
    </row>
    <row r="18075" spans="30:30" x14ac:dyDescent="0.3">
      <c r="AD18075" s="16"/>
    </row>
    <row r="18076" spans="30:30" x14ac:dyDescent="0.3">
      <c r="AD18076" s="16"/>
    </row>
    <row r="18077" spans="30:30" x14ac:dyDescent="0.3">
      <c r="AD18077" s="16"/>
    </row>
    <row r="18078" spans="30:30" x14ac:dyDescent="0.3">
      <c r="AD18078" s="16"/>
    </row>
    <row r="18079" spans="30:30" x14ac:dyDescent="0.3">
      <c r="AD18079" s="16"/>
    </row>
    <row r="18080" spans="30:30" x14ac:dyDescent="0.3">
      <c r="AD18080" s="16"/>
    </row>
    <row r="18081" spans="30:30" x14ac:dyDescent="0.3">
      <c r="AD18081" s="16"/>
    </row>
    <row r="18082" spans="30:30" x14ac:dyDescent="0.3">
      <c r="AD18082" s="16"/>
    </row>
    <row r="18083" spans="30:30" x14ac:dyDescent="0.3">
      <c r="AD18083" s="16"/>
    </row>
    <row r="18084" spans="30:30" x14ac:dyDescent="0.3">
      <c r="AD18084" s="16"/>
    </row>
    <row r="18085" spans="30:30" x14ac:dyDescent="0.3">
      <c r="AD18085" s="16"/>
    </row>
    <row r="18086" spans="30:30" x14ac:dyDescent="0.3">
      <c r="AD18086" s="16"/>
    </row>
    <row r="18087" spans="30:30" x14ac:dyDescent="0.3">
      <c r="AD18087" s="16"/>
    </row>
    <row r="18088" spans="30:30" x14ac:dyDescent="0.3">
      <c r="AD18088" s="16"/>
    </row>
    <row r="18089" spans="30:30" x14ac:dyDescent="0.3">
      <c r="AD18089" s="16"/>
    </row>
    <row r="18090" spans="30:30" x14ac:dyDescent="0.3">
      <c r="AD18090" s="16"/>
    </row>
    <row r="18091" spans="30:30" x14ac:dyDescent="0.3">
      <c r="AD18091" s="16"/>
    </row>
    <row r="18092" spans="30:30" x14ac:dyDescent="0.3">
      <c r="AD18092" s="16"/>
    </row>
    <row r="18093" spans="30:30" x14ac:dyDescent="0.3">
      <c r="AD18093" s="16"/>
    </row>
    <row r="18094" spans="30:30" x14ac:dyDescent="0.3">
      <c r="AD18094" s="16"/>
    </row>
    <row r="18095" spans="30:30" x14ac:dyDescent="0.3">
      <c r="AD18095" s="16"/>
    </row>
    <row r="18096" spans="30:30" x14ac:dyDescent="0.3">
      <c r="AD18096" s="16"/>
    </row>
    <row r="18097" spans="30:30" x14ac:dyDescent="0.3">
      <c r="AD18097" s="16"/>
    </row>
    <row r="18098" spans="30:30" x14ac:dyDescent="0.3">
      <c r="AD18098" s="16"/>
    </row>
    <row r="18099" spans="30:30" x14ac:dyDescent="0.3">
      <c r="AD18099" s="16"/>
    </row>
    <row r="18100" spans="30:30" x14ac:dyDescent="0.3">
      <c r="AD18100" s="16"/>
    </row>
    <row r="18101" spans="30:30" x14ac:dyDescent="0.3">
      <c r="AD18101" s="16"/>
    </row>
    <row r="18102" spans="30:30" x14ac:dyDescent="0.3">
      <c r="AD18102" s="16"/>
    </row>
    <row r="18103" spans="30:30" x14ac:dyDescent="0.3">
      <c r="AD18103" s="16"/>
    </row>
    <row r="18104" spans="30:30" x14ac:dyDescent="0.3">
      <c r="AD18104" s="16"/>
    </row>
    <row r="18105" spans="30:30" x14ac:dyDescent="0.3">
      <c r="AD18105" s="16"/>
    </row>
    <row r="18106" spans="30:30" x14ac:dyDescent="0.3">
      <c r="AD18106" s="16"/>
    </row>
    <row r="18107" spans="30:30" x14ac:dyDescent="0.3">
      <c r="AD18107" s="16"/>
    </row>
    <row r="18108" spans="30:30" x14ac:dyDescent="0.3">
      <c r="AD18108" s="16"/>
    </row>
    <row r="18109" spans="30:30" x14ac:dyDescent="0.3">
      <c r="AD18109" s="16"/>
    </row>
    <row r="18110" spans="30:30" x14ac:dyDescent="0.3">
      <c r="AD18110" s="16"/>
    </row>
    <row r="18111" spans="30:30" x14ac:dyDescent="0.3">
      <c r="AD18111" s="16"/>
    </row>
    <row r="18112" spans="30:30" x14ac:dyDescent="0.3">
      <c r="AD18112" s="16"/>
    </row>
    <row r="18113" spans="30:30" x14ac:dyDescent="0.3">
      <c r="AD18113" s="16"/>
    </row>
    <row r="18114" spans="30:30" x14ac:dyDescent="0.3">
      <c r="AD18114" s="16"/>
    </row>
    <row r="18115" spans="30:30" x14ac:dyDescent="0.3">
      <c r="AD18115" s="16"/>
    </row>
    <row r="18116" spans="30:30" x14ac:dyDescent="0.3">
      <c r="AD18116" s="16"/>
    </row>
    <row r="18117" spans="30:30" x14ac:dyDescent="0.3">
      <c r="AD18117" s="16"/>
    </row>
    <row r="18118" spans="30:30" x14ac:dyDescent="0.3">
      <c r="AD18118" s="16"/>
    </row>
    <row r="18119" spans="30:30" x14ac:dyDescent="0.3">
      <c r="AD18119" s="16"/>
    </row>
    <row r="18120" spans="30:30" x14ac:dyDescent="0.3">
      <c r="AD18120" s="16"/>
    </row>
    <row r="18121" spans="30:30" x14ac:dyDescent="0.3">
      <c r="AD18121" s="16"/>
    </row>
    <row r="18122" spans="30:30" x14ac:dyDescent="0.3">
      <c r="AD18122" s="16"/>
    </row>
    <row r="18123" spans="30:30" x14ac:dyDescent="0.3">
      <c r="AD18123" s="16"/>
    </row>
    <row r="18124" spans="30:30" x14ac:dyDescent="0.3">
      <c r="AD18124" s="16"/>
    </row>
    <row r="18125" spans="30:30" x14ac:dyDescent="0.3">
      <c r="AD18125" s="16"/>
    </row>
    <row r="18126" spans="30:30" x14ac:dyDescent="0.3">
      <c r="AD18126" s="16"/>
    </row>
    <row r="18127" spans="30:30" x14ac:dyDescent="0.3">
      <c r="AD18127" s="16"/>
    </row>
    <row r="18128" spans="30:30" x14ac:dyDescent="0.3">
      <c r="AD18128" s="16"/>
    </row>
    <row r="18129" spans="30:30" x14ac:dyDescent="0.3">
      <c r="AD18129" s="16"/>
    </row>
    <row r="18130" spans="30:30" x14ac:dyDescent="0.3">
      <c r="AD18130" s="16"/>
    </row>
    <row r="18131" spans="30:30" x14ac:dyDescent="0.3">
      <c r="AD18131" s="16"/>
    </row>
    <row r="18132" spans="30:30" x14ac:dyDescent="0.3">
      <c r="AD18132" s="16"/>
    </row>
    <row r="18133" spans="30:30" x14ac:dyDescent="0.3">
      <c r="AD18133" s="16"/>
    </row>
    <row r="18134" spans="30:30" x14ac:dyDescent="0.3">
      <c r="AD18134" s="16"/>
    </row>
    <row r="18135" spans="30:30" x14ac:dyDescent="0.3">
      <c r="AD18135" s="16"/>
    </row>
    <row r="18136" spans="30:30" x14ac:dyDescent="0.3">
      <c r="AD18136" s="16"/>
    </row>
    <row r="18137" spans="30:30" x14ac:dyDescent="0.3">
      <c r="AD18137" s="16"/>
    </row>
    <row r="18138" spans="30:30" x14ac:dyDescent="0.3">
      <c r="AD18138" s="16"/>
    </row>
    <row r="18139" spans="30:30" x14ac:dyDescent="0.3">
      <c r="AD18139" s="16"/>
    </row>
    <row r="18140" spans="30:30" x14ac:dyDescent="0.3">
      <c r="AD18140" s="16"/>
    </row>
    <row r="18141" spans="30:30" x14ac:dyDescent="0.3">
      <c r="AD18141" s="16"/>
    </row>
    <row r="18142" spans="30:30" x14ac:dyDescent="0.3">
      <c r="AD18142" s="16"/>
    </row>
    <row r="18143" spans="30:30" x14ac:dyDescent="0.3">
      <c r="AD18143" s="16"/>
    </row>
    <row r="18144" spans="30:30" x14ac:dyDescent="0.3">
      <c r="AD18144" s="16"/>
    </row>
    <row r="18145" spans="30:30" x14ac:dyDescent="0.3">
      <c r="AD18145" s="16"/>
    </row>
    <row r="18146" spans="30:30" x14ac:dyDescent="0.3">
      <c r="AD18146" s="16"/>
    </row>
    <row r="18147" spans="30:30" x14ac:dyDescent="0.3">
      <c r="AD18147" s="16"/>
    </row>
    <row r="18148" spans="30:30" x14ac:dyDescent="0.3">
      <c r="AD18148" s="16"/>
    </row>
    <row r="18149" spans="30:30" x14ac:dyDescent="0.3">
      <c r="AD18149" s="16"/>
    </row>
    <row r="18150" spans="30:30" x14ac:dyDescent="0.3">
      <c r="AD18150" s="16"/>
    </row>
    <row r="18151" spans="30:30" x14ac:dyDescent="0.3">
      <c r="AD18151" s="16"/>
    </row>
    <row r="18152" spans="30:30" x14ac:dyDescent="0.3">
      <c r="AD18152" s="16"/>
    </row>
    <row r="18153" spans="30:30" x14ac:dyDescent="0.3">
      <c r="AD18153" s="16"/>
    </row>
    <row r="18154" spans="30:30" x14ac:dyDescent="0.3">
      <c r="AD18154" s="16"/>
    </row>
    <row r="18155" spans="30:30" x14ac:dyDescent="0.3">
      <c r="AD18155" s="16"/>
    </row>
    <row r="18156" spans="30:30" x14ac:dyDescent="0.3">
      <c r="AD18156" s="16"/>
    </row>
    <row r="18157" spans="30:30" x14ac:dyDescent="0.3">
      <c r="AD18157" s="16"/>
    </row>
    <row r="18158" spans="30:30" x14ac:dyDescent="0.3">
      <c r="AD18158" s="16"/>
    </row>
    <row r="18159" spans="30:30" x14ac:dyDescent="0.3">
      <c r="AD18159" s="16"/>
    </row>
    <row r="18160" spans="30:30" x14ac:dyDescent="0.3">
      <c r="AD18160" s="16"/>
    </row>
    <row r="18161" spans="30:30" x14ac:dyDescent="0.3">
      <c r="AD18161" s="16"/>
    </row>
    <row r="18162" spans="30:30" x14ac:dyDescent="0.3">
      <c r="AD18162" s="16"/>
    </row>
    <row r="18163" spans="30:30" x14ac:dyDescent="0.3">
      <c r="AD18163" s="16"/>
    </row>
    <row r="18164" spans="30:30" x14ac:dyDescent="0.3">
      <c r="AD18164" s="16"/>
    </row>
    <row r="18165" spans="30:30" x14ac:dyDescent="0.3">
      <c r="AD18165" s="16"/>
    </row>
    <row r="18166" spans="30:30" x14ac:dyDescent="0.3">
      <c r="AD18166" s="16"/>
    </row>
    <row r="18167" spans="30:30" x14ac:dyDescent="0.3">
      <c r="AD18167" s="16"/>
    </row>
    <row r="18168" spans="30:30" x14ac:dyDescent="0.3">
      <c r="AD18168" s="16"/>
    </row>
    <row r="18169" spans="30:30" x14ac:dyDescent="0.3">
      <c r="AD18169" s="16"/>
    </row>
    <row r="18170" spans="30:30" x14ac:dyDescent="0.3">
      <c r="AD18170" s="16"/>
    </row>
    <row r="18171" spans="30:30" x14ac:dyDescent="0.3">
      <c r="AD18171" s="16"/>
    </row>
    <row r="18172" spans="30:30" x14ac:dyDescent="0.3">
      <c r="AD18172" s="16"/>
    </row>
    <row r="18173" spans="30:30" x14ac:dyDescent="0.3">
      <c r="AD18173" s="16"/>
    </row>
    <row r="18174" spans="30:30" x14ac:dyDescent="0.3">
      <c r="AD18174" s="16"/>
    </row>
    <row r="18175" spans="30:30" x14ac:dyDescent="0.3">
      <c r="AD18175" s="16"/>
    </row>
    <row r="18176" spans="30:30" x14ac:dyDescent="0.3">
      <c r="AD18176" s="16"/>
    </row>
    <row r="18177" spans="30:30" x14ac:dyDescent="0.3">
      <c r="AD18177" s="16"/>
    </row>
    <row r="18178" spans="30:30" x14ac:dyDescent="0.3">
      <c r="AD18178" s="16"/>
    </row>
    <row r="18179" spans="30:30" x14ac:dyDescent="0.3">
      <c r="AD18179" s="16"/>
    </row>
    <row r="18180" spans="30:30" x14ac:dyDescent="0.3">
      <c r="AD18180" s="16"/>
    </row>
    <row r="18181" spans="30:30" x14ac:dyDescent="0.3">
      <c r="AD18181" s="16"/>
    </row>
    <row r="18182" spans="30:30" x14ac:dyDescent="0.3">
      <c r="AD18182" s="16"/>
    </row>
    <row r="18183" spans="30:30" x14ac:dyDescent="0.3">
      <c r="AD18183" s="16"/>
    </row>
    <row r="18184" spans="30:30" x14ac:dyDescent="0.3">
      <c r="AD18184" s="16"/>
    </row>
    <row r="18185" spans="30:30" x14ac:dyDescent="0.3">
      <c r="AD18185" s="16"/>
    </row>
    <row r="18186" spans="30:30" x14ac:dyDescent="0.3">
      <c r="AD18186" s="16"/>
    </row>
    <row r="18187" spans="30:30" x14ac:dyDescent="0.3">
      <c r="AD18187" s="16"/>
    </row>
    <row r="18188" spans="30:30" x14ac:dyDescent="0.3">
      <c r="AD18188" s="16"/>
    </row>
    <row r="18189" spans="30:30" x14ac:dyDescent="0.3">
      <c r="AD18189" s="16"/>
    </row>
    <row r="18190" spans="30:30" x14ac:dyDescent="0.3">
      <c r="AD18190" s="16"/>
    </row>
    <row r="18191" spans="30:30" x14ac:dyDescent="0.3">
      <c r="AD18191" s="16"/>
    </row>
    <row r="18192" spans="30:30" x14ac:dyDescent="0.3">
      <c r="AD18192" s="16"/>
    </row>
    <row r="18193" spans="30:30" x14ac:dyDescent="0.3">
      <c r="AD18193" s="16"/>
    </row>
    <row r="18194" spans="30:30" x14ac:dyDescent="0.3">
      <c r="AD18194" s="16"/>
    </row>
    <row r="18195" spans="30:30" x14ac:dyDescent="0.3">
      <c r="AD18195" s="16"/>
    </row>
    <row r="18196" spans="30:30" x14ac:dyDescent="0.3">
      <c r="AD18196" s="16"/>
    </row>
    <row r="18197" spans="30:30" x14ac:dyDescent="0.3">
      <c r="AD18197" s="16"/>
    </row>
    <row r="18198" spans="30:30" x14ac:dyDescent="0.3">
      <c r="AD18198" s="16"/>
    </row>
    <row r="18199" spans="30:30" x14ac:dyDescent="0.3">
      <c r="AD18199" s="16"/>
    </row>
    <row r="18200" spans="30:30" x14ac:dyDescent="0.3">
      <c r="AD18200" s="16"/>
    </row>
    <row r="18201" spans="30:30" x14ac:dyDescent="0.3">
      <c r="AD18201" s="16"/>
    </row>
    <row r="18202" spans="30:30" x14ac:dyDescent="0.3">
      <c r="AD18202" s="16"/>
    </row>
    <row r="18203" spans="30:30" x14ac:dyDescent="0.3">
      <c r="AD18203" s="16"/>
    </row>
    <row r="18204" spans="30:30" x14ac:dyDescent="0.3">
      <c r="AD18204" s="16"/>
    </row>
    <row r="18205" spans="30:30" x14ac:dyDescent="0.3">
      <c r="AD18205" s="16"/>
    </row>
    <row r="18206" spans="30:30" x14ac:dyDescent="0.3">
      <c r="AD18206" s="16"/>
    </row>
    <row r="18207" spans="30:30" x14ac:dyDescent="0.3">
      <c r="AD18207" s="16"/>
    </row>
    <row r="18208" spans="30:30" x14ac:dyDescent="0.3">
      <c r="AD18208" s="16"/>
    </row>
    <row r="18209" spans="30:30" x14ac:dyDescent="0.3">
      <c r="AD18209" s="16"/>
    </row>
    <row r="18210" spans="30:30" x14ac:dyDescent="0.3">
      <c r="AD18210" s="16"/>
    </row>
    <row r="18211" spans="30:30" x14ac:dyDescent="0.3">
      <c r="AD18211" s="16"/>
    </row>
    <row r="18212" spans="30:30" x14ac:dyDescent="0.3">
      <c r="AD18212" s="16"/>
    </row>
    <row r="18213" spans="30:30" x14ac:dyDescent="0.3">
      <c r="AD18213" s="16"/>
    </row>
    <row r="18214" spans="30:30" x14ac:dyDescent="0.3">
      <c r="AD18214" s="16"/>
    </row>
    <row r="18215" spans="30:30" x14ac:dyDescent="0.3">
      <c r="AD18215" s="16"/>
    </row>
    <row r="18216" spans="30:30" x14ac:dyDescent="0.3">
      <c r="AD18216" s="16"/>
    </row>
    <row r="18217" spans="30:30" x14ac:dyDescent="0.3">
      <c r="AD18217" s="16"/>
    </row>
    <row r="18218" spans="30:30" x14ac:dyDescent="0.3">
      <c r="AD18218" s="16"/>
    </row>
    <row r="18219" spans="30:30" x14ac:dyDescent="0.3">
      <c r="AD18219" s="16"/>
    </row>
    <row r="18220" spans="30:30" x14ac:dyDescent="0.3">
      <c r="AD18220" s="16"/>
    </row>
    <row r="18221" spans="30:30" x14ac:dyDescent="0.3">
      <c r="AD18221" s="16"/>
    </row>
    <row r="18222" spans="30:30" x14ac:dyDescent="0.3">
      <c r="AD18222" s="16"/>
    </row>
    <row r="18223" spans="30:30" x14ac:dyDescent="0.3">
      <c r="AD18223" s="16"/>
    </row>
    <row r="18224" spans="30:30" x14ac:dyDescent="0.3">
      <c r="AD18224" s="16"/>
    </row>
    <row r="18225" spans="30:30" x14ac:dyDescent="0.3">
      <c r="AD18225" s="16"/>
    </row>
    <row r="18226" spans="30:30" x14ac:dyDescent="0.3">
      <c r="AD18226" s="16"/>
    </row>
    <row r="18227" spans="30:30" x14ac:dyDescent="0.3">
      <c r="AD18227" s="16"/>
    </row>
    <row r="18228" spans="30:30" x14ac:dyDescent="0.3">
      <c r="AD18228" s="16"/>
    </row>
    <row r="18229" spans="30:30" x14ac:dyDescent="0.3">
      <c r="AD18229" s="16"/>
    </row>
    <row r="18230" spans="30:30" x14ac:dyDescent="0.3">
      <c r="AD18230" s="16"/>
    </row>
    <row r="18231" spans="30:30" x14ac:dyDescent="0.3">
      <c r="AD18231" s="16"/>
    </row>
    <row r="18232" spans="30:30" x14ac:dyDescent="0.3">
      <c r="AD18232" s="16"/>
    </row>
    <row r="18233" spans="30:30" x14ac:dyDescent="0.3">
      <c r="AD18233" s="16"/>
    </row>
    <row r="18234" spans="30:30" x14ac:dyDescent="0.3">
      <c r="AD18234" s="16"/>
    </row>
    <row r="18235" spans="30:30" x14ac:dyDescent="0.3">
      <c r="AD18235" s="16"/>
    </row>
    <row r="18236" spans="30:30" x14ac:dyDescent="0.3">
      <c r="AD18236" s="16"/>
    </row>
    <row r="18237" spans="30:30" x14ac:dyDescent="0.3">
      <c r="AD18237" s="16"/>
    </row>
    <row r="18238" spans="30:30" x14ac:dyDescent="0.3">
      <c r="AD18238" s="16"/>
    </row>
    <row r="18239" spans="30:30" x14ac:dyDescent="0.3">
      <c r="AD18239" s="16"/>
    </row>
    <row r="18240" spans="30:30" x14ac:dyDescent="0.3">
      <c r="AD18240" s="16"/>
    </row>
    <row r="18241" spans="30:30" x14ac:dyDescent="0.3">
      <c r="AD18241" s="16"/>
    </row>
    <row r="18242" spans="30:30" x14ac:dyDescent="0.3">
      <c r="AD18242" s="16"/>
    </row>
    <row r="18243" spans="30:30" x14ac:dyDescent="0.3">
      <c r="AD18243" s="16"/>
    </row>
    <row r="18244" spans="30:30" x14ac:dyDescent="0.3">
      <c r="AD18244" s="16"/>
    </row>
    <row r="18245" spans="30:30" x14ac:dyDescent="0.3">
      <c r="AD18245" s="16"/>
    </row>
    <row r="18246" spans="30:30" x14ac:dyDescent="0.3">
      <c r="AD18246" s="16"/>
    </row>
    <row r="18247" spans="30:30" x14ac:dyDescent="0.3">
      <c r="AD18247" s="16"/>
    </row>
    <row r="18248" spans="30:30" x14ac:dyDescent="0.3">
      <c r="AD18248" s="16"/>
    </row>
    <row r="18249" spans="30:30" x14ac:dyDescent="0.3">
      <c r="AD18249" s="16"/>
    </row>
    <row r="18250" spans="30:30" x14ac:dyDescent="0.3">
      <c r="AD18250" s="16"/>
    </row>
    <row r="18251" spans="30:30" x14ac:dyDescent="0.3">
      <c r="AD18251" s="16"/>
    </row>
    <row r="18252" spans="30:30" x14ac:dyDescent="0.3">
      <c r="AD18252" s="16"/>
    </row>
    <row r="18253" spans="30:30" x14ac:dyDescent="0.3">
      <c r="AD18253" s="16"/>
    </row>
    <row r="18254" spans="30:30" x14ac:dyDescent="0.3">
      <c r="AD18254" s="16"/>
    </row>
    <row r="18255" spans="30:30" x14ac:dyDescent="0.3">
      <c r="AD18255" s="16"/>
    </row>
    <row r="18256" spans="30:30" x14ac:dyDescent="0.3">
      <c r="AD18256" s="16"/>
    </row>
    <row r="18257" spans="30:30" x14ac:dyDescent="0.3">
      <c r="AD18257" s="16"/>
    </row>
    <row r="18258" spans="30:30" x14ac:dyDescent="0.3">
      <c r="AD18258" s="16"/>
    </row>
    <row r="18259" spans="30:30" x14ac:dyDescent="0.3">
      <c r="AD18259" s="16"/>
    </row>
    <row r="18260" spans="30:30" x14ac:dyDescent="0.3">
      <c r="AD18260" s="16"/>
    </row>
    <row r="18261" spans="30:30" x14ac:dyDescent="0.3">
      <c r="AD18261" s="16"/>
    </row>
    <row r="18262" spans="30:30" x14ac:dyDescent="0.3">
      <c r="AD18262" s="16"/>
    </row>
    <row r="18263" spans="30:30" x14ac:dyDescent="0.3">
      <c r="AD18263" s="16"/>
    </row>
    <row r="18264" spans="30:30" x14ac:dyDescent="0.3">
      <c r="AD18264" s="16"/>
    </row>
    <row r="18265" spans="30:30" x14ac:dyDescent="0.3">
      <c r="AD18265" s="16"/>
    </row>
    <row r="18266" spans="30:30" x14ac:dyDescent="0.3">
      <c r="AD18266" s="16"/>
    </row>
    <row r="18267" spans="30:30" x14ac:dyDescent="0.3">
      <c r="AD18267" s="16"/>
    </row>
    <row r="18268" spans="30:30" x14ac:dyDescent="0.3">
      <c r="AD18268" s="16"/>
    </row>
    <row r="18269" spans="30:30" x14ac:dyDescent="0.3">
      <c r="AD18269" s="16"/>
    </row>
    <row r="18270" spans="30:30" x14ac:dyDescent="0.3">
      <c r="AD18270" s="16"/>
    </row>
    <row r="18271" spans="30:30" x14ac:dyDescent="0.3">
      <c r="AD18271" s="16"/>
    </row>
    <row r="18272" spans="30:30" x14ac:dyDescent="0.3">
      <c r="AD18272" s="16"/>
    </row>
    <row r="18273" spans="30:30" x14ac:dyDescent="0.3">
      <c r="AD18273" s="16"/>
    </row>
    <row r="18274" spans="30:30" x14ac:dyDescent="0.3">
      <c r="AD18274" s="16"/>
    </row>
    <row r="18275" spans="30:30" x14ac:dyDescent="0.3">
      <c r="AD18275" s="16"/>
    </row>
    <row r="18276" spans="30:30" x14ac:dyDescent="0.3">
      <c r="AD18276" s="16"/>
    </row>
    <row r="18277" spans="30:30" x14ac:dyDescent="0.3">
      <c r="AD18277" s="16"/>
    </row>
    <row r="18278" spans="30:30" x14ac:dyDescent="0.3">
      <c r="AD18278" s="16"/>
    </row>
    <row r="18279" spans="30:30" x14ac:dyDescent="0.3">
      <c r="AD18279" s="16"/>
    </row>
    <row r="18280" spans="30:30" x14ac:dyDescent="0.3">
      <c r="AD18280" s="16"/>
    </row>
    <row r="18281" spans="30:30" x14ac:dyDescent="0.3">
      <c r="AD18281" s="16"/>
    </row>
    <row r="18282" spans="30:30" x14ac:dyDescent="0.3">
      <c r="AD18282" s="16"/>
    </row>
    <row r="18283" spans="30:30" x14ac:dyDescent="0.3">
      <c r="AD18283" s="16"/>
    </row>
    <row r="18284" spans="30:30" x14ac:dyDescent="0.3">
      <c r="AD18284" s="16"/>
    </row>
    <row r="18285" spans="30:30" x14ac:dyDescent="0.3">
      <c r="AD18285" s="16"/>
    </row>
    <row r="18286" spans="30:30" x14ac:dyDescent="0.3">
      <c r="AD18286" s="16"/>
    </row>
    <row r="18287" spans="30:30" x14ac:dyDescent="0.3">
      <c r="AD18287" s="16"/>
    </row>
    <row r="18288" spans="30:30" x14ac:dyDescent="0.3">
      <c r="AD18288" s="16"/>
    </row>
    <row r="18289" spans="30:30" x14ac:dyDescent="0.3">
      <c r="AD18289" s="16"/>
    </row>
    <row r="18290" spans="30:30" x14ac:dyDescent="0.3">
      <c r="AD18290" s="16"/>
    </row>
    <row r="18291" spans="30:30" x14ac:dyDescent="0.3">
      <c r="AD18291" s="16"/>
    </row>
    <row r="18292" spans="30:30" x14ac:dyDescent="0.3">
      <c r="AD18292" s="16"/>
    </row>
    <row r="18293" spans="30:30" x14ac:dyDescent="0.3">
      <c r="AD18293" s="16"/>
    </row>
    <row r="18294" spans="30:30" x14ac:dyDescent="0.3">
      <c r="AD18294" s="16"/>
    </row>
    <row r="18295" spans="30:30" x14ac:dyDescent="0.3">
      <c r="AD18295" s="16"/>
    </row>
    <row r="18296" spans="30:30" x14ac:dyDescent="0.3">
      <c r="AD18296" s="16"/>
    </row>
    <row r="18297" spans="30:30" x14ac:dyDescent="0.3">
      <c r="AD18297" s="16"/>
    </row>
    <row r="18298" spans="30:30" x14ac:dyDescent="0.3">
      <c r="AD18298" s="16"/>
    </row>
    <row r="18299" spans="30:30" x14ac:dyDescent="0.3">
      <c r="AD18299" s="16"/>
    </row>
    <row r="18300" spans="30:30" x14ac:dyDescent="0.3">
      <c r="AD18300" s="16"/>
    </row>
    <row r="18301" spans="30:30" x14ac:dyDescent="0.3">
      <c r="AD18301" s="16"/>
    </row>
    <row r="18302" spans="30:30" x14ac:dyDescent="0.3">
      <c r="AD18302" s="16"/>
    </row>
    <row r="18303" spans="30:30" x14ac:dyDescent="0.3">
      <c r="AD18303" s="16"/>
    </row>
    <row r="18304" spans="30:30" x14ac:dyDescent="0.3">
      <c r="AD18304" s="16"/>
    </row>
    <row r="18305" spans="30:30" x14ac:dyDescent="0.3">
      <c r="AD18305" s="16"/>
    </row>
    <row r="18306" spans="30:30" x14ac:dyDescent="0.3">
      <c r="AD18306" s="16"/>
    </row>
    <row r="18307" spans="30:30" x14ac:dyDescent="0.3">
      <c r="AD18307" s="16"/>
    </row>
    <row r="18308" spans="30:30" x14ac:dyDescent="0.3">
      <c r="AD18308" s="16"/>
    </row>
    <row r="18309" spans="30:30" x14ac:dyDescent="0.3">
      <c r="AD18309" s="16"/>
    </row>
    <row r="18310" spans="30:30" x14ac:dyDescent="0.3">
      <c r="AD18310" s="16"/>
    </row>
    <row r="18311" spans="30:30" x14ac:dyDescent="0.3">
      <c r="AD18311" s="16"/>
    </row>
    <row r="18312" spans="30:30" x14ac:dyDescent="0.3">
      <c r="AD18312" s="16"/>
    </row>
    <row r="18313" spans="30:30" x14ac:dyDescent="0.3">
      <c r="AD18313" s="16"/>
    </row>
    <row r="18314" spans="30:30" x14ac:dyDescent="0.3">
      <c r="AD18314" s="16"/>
    </row>
    <row r="18315" spans="30:30" x14ac:dyDescent="0.3">
      <c r="AD18315" s="16"/>
    </row>
    <row r="18316" spans="30:30" x14ac:dyDescent="0.3">
      <c r="AD18316" s="16"/>
    </row>
    <row r="18317" spans="30:30" x14ac:dyDescent="0.3">
      <c r="AD18317" s="16"/>
    </row>
    <row r="18318" spans="30:30" x14ac:dyDescent="0.3">
      <c r="AD18318" s="16"/>
    </row>
    <row r="18319" spans="30:30" x14ac:dyDescent="0.3">
      <c r="AD18319" s="16"/>
    </row>
    <row r="18320" spans="30:30" x14ac:dyDescent="0.3">
      <c r="AD18320" s="16"/>
    </row>
    <row r="18321" spans="30:30" x14ac:dyDescent="0.3">
      <c r="AD18321" s="16"/>
    </row>
    <row r="18322" spans="30:30" x14ac:dyDescent="0.3">
      <c r="AD18322" s="16"/>
    </row>
    <row r="18323" spans="30:30" x14ac:dyDescent="0.3">
      <c r="AD18323" s="16"/>
    </row>
    <row r="18324" spans="30:30" x14ac:dyDescent="0.3">
      <c r="AD18324" s="16"/>
    </row>
    <row r="18325" spans="30:30" x14ac:dyDescent="0.3">
      <c r="AD18325" s="16"/>
    </row>
    <row r="18326" spans="30:30" x14ac:dyDescent="0.3">
      <c r="AD18326" s="16"/>
    </row>
    <row r="18327" spans="30:30" x14ac:dyDescent="0.3">
      <c r="AD18327" s="16"/>
    </row>
    <row r="18328" spans="30:30" x14ac:dyDescent="0.3">
      <c r="AD18328" s="16"/>
    </row>
    <row r="18329" spans="30:30" x14ac:dyDescent="0.3">
      <c r="AD18329" s="16"/>
    </row>
    <row r="18330" spans="30:30" x14ac:dyDescent="0.3">
      <c r="AD18330" s="16"/>
    </row>
    <row r="18331" spans="30:30" x14ac:dyDescent="0.3">
      <c r="AD18331" s="16"/>
    </row>
    <row r="18332" spans="30:30" x14ac:dyDescent="0.3">
      <c r="AD18332" s="16"/>
    </row>
    <row r="18333" spans="30:30" x14ac:dyDescent="0.3">
      <c r="AD18333" s="16"/>
    </row>
    <row r="18334" spans="30:30" x14ac:dyDescent="0.3">
      <c r="AD18334" s="16"/>
    </row>
    <row r="18335" spans="30:30" x14ac:dyDescent="0.3">
      <c r="AD18335" s="16"/>
    </row>
    <row r="18336" spans="30:30" x14ac:dyDescent="0.3">
      <c r="AD18336" s="16"/>
    </row>
    <row r="18337" spans="30:30" x14ac:dyDescent="0.3">
      <c r="AD18337" s="16"/>
    </row>
    <row r="18338" spans="30:30" x14ac:dyDescent="0.3">
      <c r="AD18338" s="16"/>
    </row>
    <row r="18339" spans="30:30" x14ac:dyDescent="0.3">
      <c r="AD18339" s="16"/>
    </row>
    <row r="18340" spans="30:30" x14ac:dyDescent="0.3">
      <c r="AD18340" s="16"/>
    </row>
    <row r="18341" spans="30:30" x14ac:dyDescent="0.3">
      <c r="AD18341" s="16"/>
    </row>
    <row r="18342" spans="30:30" x14ac:dyDescent="0.3">
      <c r="AD18342" s="16"/>
    </row>
    <row r="18343" spans="30:30" x14ac:dyDescent="0.3">
      <c r="AD18343" s="16"/>
    </row>
    <row r="18344" spans="30:30" x14ac:dyDescent="0.3">
      <c r="AD18344" s="16"/>
    </row>
    <row r="18345" spans="30:30" x14ac:dyDescent="0.3">
      <c r="AD18345" s="16"/>
    </row>
    <row r="18346" spans="30:30" x14ac:dyDescent="0.3">
      <c r="AD18346" s="16"/>
    </row>
    <row r="18347" spans="30:30" x14ac:dyDescent="0.3">
      <c r="AD18347" s="16"/>
    </row>
    <row r="18348" spans="30:30" x14ac:dyDescent="0.3">
      <c r="AD18348" s="16"/>
    </row>
    <row r="18349" spans="30:30" x14ac:dyDescent="0.3">
      <c r="AD18349" s="16"/>
    </row>
    <row r="18350" spans="30:30" x14ac:dyDescent="0.3">
      <c r="AD18350" s="16"/>
    </row>
    <row r="18351" spans="30:30" x14ac:dyDescent="0.3">
      <c r="AD18351" s="16"/>
    </row>
    <row r="18352" spans="30:30" x14ac:dyDescent="0.3">
      <c r="AD18352" s="16"/>
    </row>
    <row r="18353" spans="30:30" x14ac:dyDescent="0.3">
      <c r="AD18353" s="16"/>
    </row>
    <row r="18354" spans="30:30" x14ac:dyDescent="0.3">
      <c r="AD18354" s="16"/>
    </row>
    <row r="18355" spans="30:30" x14ac:dyDescent="0.3">
      <c r="AD18355" s="16"/>
    </row>
    <row r="18356" spans="30:30" x14ac:dyDescent="0.3">
      <c r="AD18356" s="16"/>
    </row>
    <row r="18357" spans="30:30" x14ac:dyDescent="0.3">
      <c r="AD18357" s="16"/>
    </row>
    <row r="18358" spans="30:30" x14ac:dyDescent="0.3">
      <c r="AD18358" s="16"/>
    </row>
    <row r="18359" spans="30:30" x14ac:dyDescent="0.3">
      <c r="AD18359" s="16"/>
    </row>
    <row r="18360" spans="30:30" x14ac:dyDescent="0.3">
      <c r="AD18360" s="16"/>
    </row>
    <row r="18361" spans="30:30" x14ac:dyDescent="0.3">
      <c r="AD18361" s="16"/>
    </row>
    <row r="18362" spans="30:30" x14ac:dyDescent="0.3">
      <c r="AD18362" s="16"/>
    </row>
    <row r="18363" spans="30:30" x14ac:dyDescent="0.3">
      <c r="AD18363" s="16"/>
    </row>
    <row r="18364" spans="30:30" x14ac:dyDescent="0.3">
      <c r="AD18364" s="16"/>
    </row>
    <row r="18365" spans="30:30" x14ac:dyDescent="0.3">
      <c r="AD18365" s="16"/>
    </row>
    <row r="18366" spans="30:30" x14ac:dyDescent="0.3">
      <c r="AD18366" s="16"/>
    </row>
    <row r="18367" spans="30:30" x14ac:dyDescent="0.3">
      <c r="AD18367" s="16"/>
    </row>
    <row r="18368" spans="30:30" x14ac:dyDescent="0.3">
      <c r="AD18368" s="16"/>
    </row>
    <row r="18369" spans="30:30" x14ac:dyDescent="0.3">
      <c r="AD18369" s="16"/>
    </row>
    <row r="18370" spans="30:30" x14ac:dyDescent="0.3">
      <c r="AD18370" s="16"/>
    </row>
    <row r="18371" spans="30:30" x14ac:dyDescent="0.3">
      <c r="AD18371" s="16"/>
    </row>
    <row r="18372" spans="30:30" x14ac:dyDescent="0.3">
      <c r="AD18372" s="16"/>
    </row>
    <row r="18373" spans="30:30" x14ac:dyDescent="0.3">
      <c r="AD18373" s="16"/>
    </row>
    <row r="18374" spans="30:30" x14ac:dyDescent="0.3">
      <c r="AD18374" s="16"/>
    </row>
    <row r="18375" spans="30:30" x14ac:dyDescent="0.3">
      <c r="AD18375" s="16"/>
    </row>
    <row r="18376" spans="30:30" x14ac:dyDescent="0.3">
      <c r="AD18376" s="16"/>
    </row>
    <row r="18377" spans="30:30" x14ac:dyDescent="0.3">
      <c r="AD18377" s="16"/>
    </row>
    <row r="18378" spans="30:30" x14ac:dyDescent="0.3">
      <c r="AD18378" s="16"/>
    </row>
    <row r="18379" spans="30:30" x14ac:dyDescent="0.3">
      <c r="AD18379" s="16"/>
    </row>
    <row r="18380" spans="30:30" x14ac:dyDescent="0.3">
      <c r="AD18380" s="16"/>
    </row>
    <row r="18381" spans="30:30" x14ac:dyDescent="0.3">
      <c r="AD18381" s="16"/>
    </row>
    <row r="18382" spans="30:30" x14ac:dyDescent="0.3">
      <c r="AD18382" s="16"/>
    </row>
    <row r="18383" spans="30:30" x14ac:dyDescent="0.3">
      <c r="AD18383" s="16"/>
    </row>
    <row r="18384" spans="30:30" x14ac:dyDescent="0.3">
      <c r="AD18384" s="16"/>
    </row>
    <row r="18385" spans="30:30" x14ac:dyDescent="0.3">
      <c r="AD18385" s="16"/>
    </row>
    <row r="18386" spans="30:30" x14ac:dyDescent="0.3">
      <c r="AD18386" s="16"/>
    </row>
    <row r="18387" spans="30:30" x14ac:dyDescent="0.3">
      <c r="AD18387" s="16"/>
    </row>
    <row r="18388" spans="30:30" x14ac:dyDescent="0.3">
      <c r="AD18388" s="16"/>
    </row>
    <row r="18389" spans="30:30" x14ac:dyDescent="0.3">
      <c r="AD18389" s="16"/>
    </row>
    <row r="18390" spans="30:30" x14ac:dyDescent="0.3">
      <c r="AD18390" s="16"/>
    </row>
    <row r="18391" spans="30:30" x14ac:dyDescent="0.3">
      <c r="AD18391" s="16"/>
    </row>
    <row r="18392" spans="30:30" x14ac:dyDescent="0.3">
      <c r="AD18392" s="16"/>
    </row>
    <row r="18393" spans="30:30" x14ac:dyDescent="0.3">
      <c r="AD18393" s="16"/>
    </row>
    <row r="18394" spans="30:30" x14ac:dyDescent="0.3">
      <c r="AD18394" s="16"/>
    </row>
    <row r="18395" spans="30:30" x14ac:dyDescent="0.3">
      <c r="AD18395" s="16"/>
    </row>
    <row r="18396" spans="30:30" x14ac:dyDescent="0.3">
      <c r="AD18396" s="16"/>
    </row>
    <row r="18397" spans="30:30" x14ac:dyDescent="0.3">
      <c r="AD18397" s="16"/>
    </row>
    <row r="18398" spans="30:30" x14ac:dyDescent="0.3">
      <c r="AD18398" s="16"/>
    </row>
    <row r="18399" spans="30:30" x14ac:dyDescent="0.3">
      <c r="AD18399" s="16"/>
    </row>
    <row r="18400" spans="30:30" x14ac:dyDescent="0.3">
      <c r="AD18400" s="16"/>
    </row>
    <row r="18401" spans="30:30" x14ac:dyDescent="0.3">
      <c r="AD18401" s="16"/>
    </row>
    <row r="18402" spans="30:30" x14ac:dyDescent="0.3">
      <c r="AD18402" s="16"/>
    </row>
    <row r="18403" spans="30:30" x14ac:dyDescent="0.3">
      <c r="AD18403" s="16"/>
    </row>
    <row r="18404" spans="30:30" x14ac:dyDescent="0.3">
      <c r="AD18404" s="16"/>
    </row>
    <row r="18405" spans="30:30" x14ac:dyDescent="0.3">
      <c r="AD18405" s="16"/>
    </row>
    <row r="18406" spans="30:30" x14ac:dyDescent="0.3">
      <c r="AD18406" s="16"/>
    </row>
    <row r="18407" spans="30:30" x14ac:dyDescent="0.3">
      <c r="AD18407" s="16"/>
    </row>
    <row r="18408" spans="30:30" x14ac:dyDescent="0.3">
      <c r="AD18408" s="16"/>
    </row>
    <row r="18409" spans="30:30" x14ac:dyDescent="0.3">
      <c r="AD18409" s="16"/>
    </row>
    <row r="18410" spans="30:30" x14ac:dyDescent="0.3">
      <c r="AD18410" s="16"/>
    </row>
    <row r="18411" spans="30:30" x14ac:dyDescent="0.3">
      <c r="AD18411" s="16"/>
    </row>
    <row r="18412" spans="30:30" x14ac:dyDescent="0.3">
      <c r="AD18412" s="16"/>
    </row>
    <row r="18413" spans="30:30" x14ac:dyDescent="0.3">
      <c r="AD18413" s="16"/>
    </row>
    <row r="18414" spans="30:30" x14ac:dyDescent="0.3">
      <c r="AD18414" s="16"/>
    </row>
    <row r="18415" spans="30:30" x14ac:dyDescent="0.3">
      <c r="AD18415" s="16"/>
    </row>
    <row r="18416" spans="30:30" x14ac:dyDescent="0.3">
      <c r="AD18416" s="16"/>
    </row>
    <row r="18417" spans="30:30" x14ac:dyDescent="0.3">
      <c r="AD18417" s="16"/>
    </row>
    <row r="18418" spans="30:30" x14ac:dyDescent="0.3">
      <c r="AD18418" s="16"/>
    </row>
    <row r="18419" spans="30:30" x14ac:dyDescent="0.3">
      <c r="AD18419" s="16"/>
    </row>
    <row r="18420" spans="30:30" x14ac:dyDescent="0.3">
      <c r="AD18420" s="16"/>
    </row>
    <row r="18421" spans="30:30" x14ac:dyDescent="0.3">
      <c r="AD18421" s="16"/>
    </row>
    <row r="18422" spans="30:30" x14ac:dyDescent="0.3">
      <c r="AD18422" s="16"/>
    </row>
    <row r="18423" spans="30:30" x14ac:dyDescent="0.3">
      <c r="AD18423" s="16"/>
    </row>
    <row r="18424" spans="30:30" x14ac:dyDescent="0.3">
      <c r="AD18424" s="16"/>
    </row>
    <row r="18425" spans="30:30" x14ac:dyDescent="0.3">
      <c r="AD18425" s="16"/>
    </row>
    <row r="18426" spans="30:30" x14ac:dyDescent="0.3">
      <c r="AD18426" s="16"/>
    </row>
    <row r="18427" spans="30:30" x14ac:dyDescent="0.3">
      <c r="AD18427" s="16"/>
    </row>
    <row r="18428" spans="30:30" x14ac:dyDescent="0.3">
      <c r="AD18428" s="16"/>
    </row>
    <row r="18429" spans="30:30" x14ac:dyDescent="0.3">
      <c r="AD18429" s="16"/>
    </row>
    <row r="18430" spans="30:30" x14ac:dyDescent="0.3">
      <c r="AD18430" s="16"/>
    </row>
    <row r="18431" spans="30:30" x14ac:dyDescent="0.3">
      <c r="AD18431" s="16"/>
    </row>
    <row r="18432" spans="30:30" x14ac:dyDescent="0.3">
      <c r="AD18432" s="16"/>
    </row>
    <row r="18433" spans="30:30" x14ac:dyDescent="0.3">
      <c r="AD18433" s="16"/>
    </row>
    <row r="18434" spans="30:30" x14ac:dyDescent="0.3">
      <c r="AD18434" s="16"/>
    </row>
    <row r="18435" spans="30:30" x14ac:dyDescent="0.3">
      <c r="AD18435" s="16"/>
    </row>
    <row r="18436" spans="30:30" x14ac:dyDescent="0.3">
      <c r="AD18436" s="16"/>
    </row>
    <row r="18437" spans="30:30" x14ac:dyDescent="0.3">
      <c r="AD18437" s="16"/>
    </row>
    <row r="18438" spans="30:30" x14ac:dyDescent="0.3">
      <c r="AD18438" s="16"/>
    </row>
    <row r="18439" spans="30:30" x14ac:dyDescent="0.3">
      <c r="AD18439" s="16"/>
    </row>
    <row r="18440" spans="30:30" x14ac:dyDescent="0.3">
      <c r="AD18440" s="16"/>
    </row>
    <row r="18441" spans="30:30" x14ac:dyDescent="0.3">
      <c r="AD18441" s="16"/>
    </row>
    <row r="18442" spans="30:30" x14ac:dyDescent="0.3">
      <c r="AD18442" s="16"/>
    </row>
    <row r="18443" spans="30:30" x14ac:dyDescent="0.3">
      <c r="AD18443" s="16"/>
    </row>
    <row r="18444" spans="30:30" x14ac:dyDescent="0.3">
      <c r="AD18444" s="16"/>
    </row>
    <row r="18445" spans="30:30" x14ac:dyDescent="0.3">
      <c r="AD18445" s="16"/>
    </row>
    <row r="18446" spans="30:30" x14ac:dyDescent="0.3">
      <c r="AD18446" s="16"/>
    </row>
    <row r="18447" spans="30:30" x14ac:dyDescent="0.3">
      <c r="AD18447" s="16"/>
    </row>
    <row r="18448" spans="30:30" x14ac:dyDescent="0.3">
      <c r="AD18448" s="16"/>
    </row>
    <row r="18449" spans="30:30" x14ac:dyDescent="0.3">
      <c r="AD18449" s="16"/>
    </row>
    <row r="18450" spans="30:30" x14ac:dyDescent="0.3">
      <c r="AD18450" s="16"/>
    </row>
    <row r="18451" spans="30:30" x14ac:dyDescent="0.3">
      <c r="AD18451" s="16"/>
    </row>
    <row r="18452" spans="30:30" x14ac:dyDescent="0.3">
      <c r="AD18452" s="16"/>
    </row>
    <row r="18453" spans="30:30" x14ac:dyDescent="0.3">
      <c r="AD18453" s="16"/>
    </row>
    <row r="18454" spans="30:30" x14ac:dyDescent="0.3">
      <c r="AD18454" s="16"/>
    </row>
    <row r="18455" spans="30:30" x14ac:dyDescent="0.3">
      <c r="AD18455" s="16"/>
    </row>
    <row r="18456" spans="30:30" x14ac:dyDescent="0.3">
      <c r="AD18456" s="16"/>
    </row>
    <row r="18457" spans="30:30" x14ac:dyDescent="0.3">
      <c r="AD18457" s="16"/>
    </row>
    <row r="18458" spans="30:30" x14ac:dyDescent="0.3">
      <c r="AD18458" s="16"/>
    </row>
    <row r="18459" spans="30:30" x14ac:dyDescent="0.3">
      <c r="AD18459" s="16"/>
    </row>
    <row r="18460" spans="30:30" x14ac:dyDescent="0.3">
      <c r="AD18460" s="16"/>
    </row>
    <row r="18461" spans="30:30" x14ac:dyDescent="0.3">
      <c r="AD18461" s="16"/>
    </row>
    <row r="18462" spans="30:30" x14ac:dyDescent="0.3">
      <c r="AD18462" s="16"/>
    </row>
    <row r="18463" spans="30:30" x14ac:dyDescent="0.3">
      <c r="AD18463" s="16"/>
    </row>
    <row r="18464" spans="30:30" x14ac:dyDescent="0.3">
      <c r="AD18464" s="16"/>
    </row>
    <row r="18465" spans="30:30" x14ac:dyDescent="0.3">
      <c r="AD18465" s="16"/>
    </row>
    <row r="18466" spans="30:30" x14ac:dyDescent="0.3">
      <c r="AD18466" s="16"/>
    </row>
    <row r="18467" spans="30:30" x14ac:dyDescent="0.3">
      <c r="AD18467" s="16"/>
    </row>
    <row r="18468" spans="30:30" x14ac:dyDescent="0.3">
      <c r="AD18468" s="16"/>
    </row>
    <row r="18469" spans="30:30" x14ac:dyDescent="0.3">
      <c r="AD18469" s="16"/>
    </row>
    <row r="18470" spans="30:30" x14ac:dyDescent="0.3">
      <c r="AD18470" s="16"/>
    </row>
    <row r="18471" spans="30:30" x14ac:dyDescent="0.3">
      <c r="AD18471" s="16"/>
    </row>
    <row r="18472" spans="30:30" x14ac:dyDescent="0.3">
      <c r="AD18472" s="16"/>
    </row>
    <row r="18473" spans="30:30" x14ac:dyDescent="0.3">
      <c r="AD18473" s="16"/>
    </row>
    <row r="18474" spans="30:30" x14ac:dyDescent="0.3">
      <c r="AD18474" s="16"/>
    </row>
    <row r="18475" spans="30:30" x14ac:dyDescent="0.3">
      <c r="AD18475" s="16"/>
    </row>
    <row r="18476" spans="30:30" x14ac:dyDescent="0.3">
      <c r="AD18476" s="16"/>
    </row>
    <row r="18477" spans="30:30" x14ac:dyDescent="0.3">
      <c r="AD18477" s="16"/>
    </row>
    <row r="18478" spans="30:30" x14ac:dyDescent="0.3">
      <c r="AD18478" s="16"/>
    </row>
    <row r="18479" spans="30:30" x14ac:dyDescent="0.3">
      <c r="AD18479" s="16"/>
    </row>
    <row r="18480" spans="30:30" x14ac:dyDescent="0.3">
      <c r="AD18480" s="16"/>
    </row>
    <row r="18481" spans="30:30" x14ac:dyDescent="0.3">
      <c r="AD18481" s="16"/>
    </row>
    <row r="18482" spans="30:30" x14ac:dyDescent="0.3">
      <c r="AD18482" s="16"/>
    </row>
    <row r="18483" spans="30:30" x14ac:dyDescent="0.3">
      <c r="AD18483" s="16"/>
    </row>
    <row r="18484" spans="30:30" x14ac:dyDescent="0.3">
      <c r="AD18484" s="16"/>
    </row>
    <row r="18485" spans="30:30" x14ac:dyDescent="0.3">
      <c r="AD18485" s="16"/>
    </row>
    <row r="18486" spans="30:30" x14ac:dyDescent="0.3">
      <c r="AD18486" s="16"/>
    </row>
    <row r="18487" spans="30:30" x14ac:dyDescent="0.3">
      <c r="AD18487" s="16"/>
    </row>
    <row r="18488" spans="30:30" x14ac:dyDescent="0.3">
      <c r="AD18488" s="16"/>
    </row>
    <row r="18489" spans="30:30" x14ac:dyDescent="0.3">
      <c r="AD18489" s="16"/>
    </row>
    <row r="18490" spans="30:30" x14ac:dyDescent="0.3">
      <c r="AD18490" s="16"/>
    </row>
    <row r="18491" spans="30:30" x14ac:dyDescent="0.3">
      <c r="AD18491" s="16"/>
    </row>
    <row r="18492" spans="30:30" x14ac:dyDescent="0.3">
      <c r="AD18492" s="16"/>
    </row>
    <row r="18493" spans="30:30" x14ac:dyDescent="0.3">
      <c r="AD18493" s="16"/>
    </row>
    <row r="18494" spans="30:30" x14ac:dyDescent="0.3">
      <c r="AD18494" s="16"/>
    </row>
    <row r="18495" spans="30:30" x14ac:dyDescent="0.3">
      <c r="AD18495" s="16"/>
    </row>
    <row r="18496" spans="30:30" x14ac:dyDescent="0.3">
      <c r="AD18496" s="16"/>
    </row>
    <row r="18497" spans="30:30" x14ac:dyDescent="0.3">
      <c r="AD18497" s="16"/>
    </row>
    <row r="18498" spans="30:30" x14ac:dyDescent="0.3">
      <c r="AD18498" s="16"/>
    </row>
    <row r="18499" spans="30:30" x14ac:dyDescent="0.3">
      <c r="AD18499" s="16"/>
    </row>
    <row r="18500" spans="30:30" x14ac:dyDescent="0.3">
      <c r="AD18500" s="16"/>
    </row>
    <row r="18501" spans="30:30" x14ac:dyDescent="0.3">
      <c r="AD18501" s="16"/>
    </row>
    <row r="18502" spans="30:30" x14ac:dyDescent="0.3">
      <c r="AD18502" s="16"/>
    </row>
    <row r="18503" spans="30:30" x14ac:dyDescent="0.3">
      <c r="AD18503" s="16"/>
    </row>
    <row r="18504" spans="30:30" x14ac:dyDescent="0.3">
      <c r="AD18504" s="16"/>
    </row>
    <row r="18505" spans="30:30" x14ac:dyDescent="0.3">
      <c r="AD18505" s="16"/>
    </row>
    <row r="18506" spans="30:30" x14ac:dyDescent="0.3">
      <c r="AD18506" s="16"/>
    </row>
    <row r="18507" spans="30:30" x14ac:dyDescent="0.3">
      <c r="AD18507" s="16"/>
    </row>
    <row r="18508" spans="30:30" x14ac:dyDescent="0.3">
      <c r="AD18508" s="16"/>
    </row>
    <row r="18509" spans="30:30" x14ac:dyDescent="0.3">
      <c r="AD18509" s="16"/>
    </row>
    <row r="18510" spans="30:30" x14ac:dyDescent="0.3">
      <c r="AD18510" s="16"/>
    </row>
    <row r="18511" spans="30:30" x14ac:dyDescent="0.3">
      <c r="AD18511" s="16"/>
    </row>
    <row r="18512" spans="30:30" x14ac:dyDescent="0.3">
      <c r="AD18512" s="16"/>
    </row>
    <row r="18513" spans="30:30" x14ac:dyDescent="0.3">
      <c r="AD18513" s="16"/>
    </row>
    <row r="18514" spans="30:30" x14ac:dyDescent="0.3">
      <c r="AD18514" s="16"/>
    </row>
    <row r="18515" spans="30:30" x14ac:dyDescent="0.3">
      <c r="AD18515" s="16"/>
    </row>
    <row r="18516" spans="30:30" x14ac:dyDescent="0.3">
      <c r="AD18516" s="16"/>
    </row>
    <row r="18517" spans="30:30" x14ac:dyDescent="0.3">
      <c r="AD18517" s="16"/>
    </row>
    <row r="18518" spans="30:30" x14ac:dyDescent="0.3">
      <c r="AD18518" s="16"/>
    </row>
    <row r="18519" spans="30:30" x14ac:dyDescent="0.3">
      <c r="AD18519" s="16"/>
    </row>
    <row r="18520" spans="30:30" x14ac:dyDescent="0.3">
      <c r="AD18520" s="16"/>
    </row>
    <row r="18521" spans="30:30" x14ac:dyDescent="0.3">
      <c r="AD18521" s="16"/>
    </row>
    <row r="18522" spans="30:30" x14ac:dyDescent="0.3">
      <c r="AD18522" s="16"/>
    </row>
    <row r="18523" spans="30:30" x14ac:dyDescent="0.3">
      <c r="AD18523" s="16"/>
    </row>
    <row r="18524" spans="30:30" x14ac:dyDescent="0.3">
      <c r="AD18524" s="16"/>
    </row>
    <row r="18525" spans="30:30" x14ac:dyDescent="0.3">
      <c r="AD18525" s="16"/>
    </row>
    <row r="18526" spans="30:30" x14ac:dyDescent="0.3">
      <c r="AD18526" s="16"/>
    </row>
    <row r="18527" spans="30:30" x14ac:dyDescent="0.3">
      <c r="AD18527" s="16"/>
    </row>
    <row r="18528" spans="30:30" x14ac:dyDescent="0.3">
      <c r="AD18528" s="16"/>
    </row>
    <row r="18529" spans="30:30" x14ac:dyDescent="0.3">
      <c r="AD18529" s="16"/>
    </row>
    <row r="18530" spans="30:30" x14ac:dyDescent="0.3">
      <c r="AD18530" s="16"/>
    </row>
    <row r="18531" spans="30:30" x14ac:dyDescent="0.3">
      <c r="AD18531" s="16"/>
    </row>
    <row r="18532" spans="30:30" x14ac:dyDescent="0.3">
      <c r="AD18532" s="16"/>
    </row>
    <row r="18533" spans="30:30" x14ac:dyDescent="0.3">
      <c r="AD18533" s="16"/>
    </row>
    <row r="18534" spans="30:30" x14ac:dyDescent="0.3">
      <c r="AD18534" s="16"/>
    </row>
    <row r="18535" spans="30:30" x14ac:dyDescent="0.3">
      <c r="AD18535" s="16"/>
    </row>
    <row r="18536" spans="30:30" x14ac:dyDescent="0.3">
      <c r="AD18536" s="16"/>
    </row>
    <row r="18537" spans="30:30" x14ac:dyDescent="0.3">
      <c r="AD18537" s="16"/>
    </row>
    <row r="18538" spans="30:30" x14ac:dyDescent="0.3">
      <c r="AD18538" s="16"/>
    </row>
    <row r="18539" spans="30:30" x14ac:dyDescent="0.3">
      <c r="AD18539" s="16"/>
    </row>
    <row r="18540" spans="30:30" x14ac:dyDescent="0.3">
      <c r="AD18540" s="16"/>
    </row>
    <row r="18541" spans="30:30" x14ac:dyDescent="0.3">
      <c r="AD18541" s="16"/>
    </row>
    <row r="18542" spans="30:30" x14ac:dyDescent="0.3">
      <c r="AD18542" s="16"/>
    </row>
    <row r="18543" spans="30:30" x14ac:dyDescent="0.3">
      <c r="AD18543" s="16"/>
    </row>
    <row r="18544" spans="30:30" x14ac:dyDescent="0.3">
      <c r="AD18544" s="16"/>
    </row>
    <row r="18545" spans="30:30" x14ac:dyDescent="0.3">
      <c r="AD18545" s="16"/>
    </row>
    <row r="18546" spans="30:30" x14ac:dyDescent="0.3">
      <c r="AD18546" s="16"/>
    </row>
    <row r="18547" spans="30:30" x14ac:dyDescent="0.3">
      <c r="AD18547" s="16"/>
    </row>
    <row r="18548" spans="30:30" x14ac:dyDescent="0.3">
      <c r="AD18548" s="16"/>
    </row>
    <row r="18549" spans="30:30" x14ac:dyDescent="0.3">
      <c r="AD18549" s="16"/>
    </row>
    <row r="18550" spans="30:30" x14ac:dyDescent="0.3">
      <c r="AD18550" s="16"/>
    </row>
    <row r="18551" spans="30:30" x14ac:dyDescent="0.3">
      <c r="AD18551" s="16"/>
    </row>
    <row r="18552" spans="30:30" x14ac:dyDescent="0.3">
      <c r="AD18552" s="16"/>
    </row>
    <row r="18553" spans="30:30" x14ac:dyDescent="0.3">
      <c r="AD18553" s="16"/>
    </row>
    <row r="18554" spans="30:30" x14ac:dyDescent="0.3">
      <c r="AD18554" s="16"/>
    </row>
    <row r="18555" spans="30:30" x14ac:dyDescent="0.3">
      <c r="AD18555" s="16"/>
    </row>
    <row r="18556" spans="30:30" x14ac:dyDescent="0.3">
      <c r="AD18556" s="16"/>
    </row>
    <row r="18557" spans="30:30" x14ac:dyDescent="0.3">
      <c r="AD18557" s="16"/>
    </row>
    <row r="18558" spans="30:30" x14ac:dyDescent="0.3">
      <c r="AD18558" s="16"/>
    </row>
    <row r="18559" spans="30:30" x14ac:dyDescent="0.3">
      <c r="AD18559" s="16"/>
    </row>
    <row r="18560" spans="30:30" x14ac:dyDescent="0.3">
      <c r="AD18560" s="16"/>
    </row>
    <row r="18561" spans="30:30" x14ac:dyDescent="0.3">
      <c r="AD18561" s="16"/>
    </row>
    <row r="18562" spans="30:30" x14ac:dyDescent="0.3">
      <c r="AD18562" s="16"/>
    </row>
    <row r="18563" spans="30:30" x14ac:dyDescent="0.3">
      <c r="AD18563" s="16"/>
    </row>
    <row r="18564" spans="30:30" x14ac:dyDescent="0.3">
      <c r="AD18564" s="16"/>
    </row>
    <row r="18565" spans="30:30" x14ac:dyDescent="0.3">
      <c r="AD18565" s="16"/>
    </row>
    <row r="18566" spans="30:30" x14ac:dyDescent="0.3">
      <c r="AD18566" s="16"/>
    </row>
    <row r="18567" spans="30:30" x14ac:dyDescent="0.3">
      <c r="AD18567" s="16"/>
    </row>
    <row r="18568" spans="30:30" x14ac:dyDescent="0.3">
      <c r="AD18568" s="16"/>
    </row>
    <row r="18569" spans="30:30" x14ac:dyDescent="0.3">
      <c r="AD18569" s="16"/>
    </row>
    <row r="18570" spans="30:30" x14ac:dyDescent="0.3">
      <c r="AD18570" s="16"/>
    </row>
    <row r="18571" spans="30:30" x14ac:dyDescent="0.3">
      <c r="AD18571" s="16"/>
    </row>
    <row r="18572" spans="30:30" x14ac:dyDescent="0.3">
      <c r="AD18572" s="16"/>
    </row>
    <row r="18573" spans="30:30" x14ac:dyDescent="0.3">
      <c r="AD18573" s="16"/>
    </row>
    <row r="18574" spans="30:30" x14ac:dyDescent="0.3">
      <c r="AD18574" s="16"/>
    </row>
    <row r="18575" spans="30:30" x14ac:dyDescent="0.3">
      <c r="AD18575" s="16"/>
    </row>
    <row r="18576" spans="30:30" x14ac:dyDescent="0.3">
      <c r="AD18576" s="16"/>
    </row>
    <row r="18577" spans="30:30" x14ac:dyDescent="0.3">
      <c r="AD18577" s="16"/>
    </row>
    <row r="18578" spans="30:30" x14ac:dyDescent="0.3">
      <c r="AD18578" s="16"/>
    </row>
    <row r="18579" spans="30:30" x14ac:dyDescent="0.3">
      <c r="AD18579" s="16"/>
    </row>
    <row r="18580" spans="30:30" x14ac:dyDescent="0.3">
      <c r="AD18580" s="16"/>
    </row>
    <row r="18581" spans="30:30" x14ac:dyDescent="0.3">
      <c r="AD18581" s="16"/>
    </row>
    <row r="18582" spans="30:30" x14ac:dyDescent="0.3">
      <c r="AD18582" s="16"/>
    </row>
    <row r="18583" spans="30:30" x14ac:dyDescent="0.3">
      <c r="AD18583" s="16"/>
    </row>
    <row r="18584" spans="30:30" x14ac:dyDescent="0.3">
      <c r="AD18584" s="16"/>
    </row>
    <row r="18585" spans="30:30" x14ac:dyDescent="0.3">
      <c r="AD18585" s="16"/>
    </row>
    <row r="18586" spans="30:30" x14ac:dyDescent="0.3">
      <c r="AD18586" s="16"/>
    </row>
    <row r="18587" spans="30:30" x14ac:dyDescent="0.3">
      <c r="AD18587" s="16"/>
    </row>
    <row r="18588" spans="30:30" x14ac:dyDescent="0.3">
      <c r="AD18588" s="16"/>
    </row>
    <row r="18589" spans="30:30" x14ac:dyDescent="0.3">
      <c r="AD18589" s="16"/>
    </row>
    <row r="18590" spans="30:30" x14ac:dyDescent="0.3">
      <c r="AD18590" s="16"/>
    </row>
    <row r="18591" spans="30:30" x14ac:dyDescent="0.3">
      <c r="AD18591" s="16"/>
    </row>
    <row r="18592" spans="30:30" x14ac:dyDescent="0.3">
      <c r="AD18592" s="16"/>
    </row>
    <row r="18593" spans="30:30" x14ac:dyDescent="0.3">
      <c r="AD18593" s="16"/>
    </row>
    <row r="18594" spans="30:30" x14ac:dyDescent="0.3">
      <c r="AD18594" s="16"/>
    </row>
    <row r="18595" spans="30:30" x14ac:dyDescent="0.3">
      <c r="AD18595" s="16"/>
    </row>
    <row r="18596" spans="30:30" x14ac:dyDescent="0.3">
      <c r="AD18596" s="16"/>
    </row>
    <row r="18597" spans="30:30" x14ac:dyDescent="0.3">
      <c r="AD18597" s="16"/>
    </row>
    <row r="18598" spans="30:30" x14ac:dyDescent="0.3">
      <c r="AD18598" s="16"/>
    </row>
    <row r="18599" spans="30:30" x14ac:dyDescent="0.3">
      <c r="AD18599" s="16"/>
    </row>
    <row r="18600" spans="30:30" x14ac:dyDescent="0.3">
      <c r="AD18600" s="16"/>
    </row>
    <row r="18601" spans="30:30" x14ac:dyDescent="0.3">
      <c r="AD18601" s="16"/>
    </row>
    <row r="18602" spans="30:30" x14ac:dyDescent="0.3">
      <c r="AD18602" s="16"/>
    </row>
    <row r="18603" spans="30:30" x14ac:dyDescent="0.3">
      <c r="AD18603" s="16"/>
    </row>
    <row r="18604" spans="30:30" x14ac:dyDescent="0.3">
      <c r="AD18604" s="16"/>
    </row>
    <row r="18605" spans="30:30" x14ac:dyDescent="0.3">
      <c r="AD18605" s="16"/>
    </row>
    <row r="18606" spans="30:30" x14ac:dyDescent="0.3">
      <c r="AD18606" s="16"/>
    </row>
    <row r="18607" spans="30:30" x14ac:dyDescent="0.3">
      <c r="AD18607" s="16"/>
    </row>
    <row r="18608" spans="30:30" x14ac:dyDescent="0.3">
      <c r="AD18608" s="16"/>
    </row>
    <row r="18609" spans="30:30" x14ac:dyDescent="0.3">
      <c r="AD18609" s="16"/>
    </row>
    <row r="18610" spans="30:30" x14ac:dyDescent="0.3">
      <c r="AD18610" s="16"/>
    </row>
    <row r="18611" spans="30:30" x14ac:dyDescent="0.3">
      <c r="AD18611" s="16"/>
    </row>
    <row r="18612" spans="30:30" x14ac:dyDescent="0.3">
      <c r="AD18612" s="16"/>
    </row>
    <row r="18613" spans="30:30" x14ac:dyDescent="0.3">
      <c r="AD18613" s="16"/>
    </row>
    <row r="18614" spans="30:30" x14ac:dyDescent="0.3">
      <c r="AD18614" s="16"/>
    </row>
    <row r="18615" spans="30:30" x14ac:dyDescent="0.3">
      <c r="AD18615" s="16"/>
    </row>
    <row r="18616" spans="30:30" x14ac:dyDescent="0.3">
      <c r="AD18616" s="16"/>
    </row>
    <row r="18617" spans="30:30" x14ac:dyDescent="0.3">
      <c r="AD18617" s="16"/>
    </row>
    <row r="18618" spans="30:30" x14ac:dyDescent="0.3">
      <c r="AD18618" s="16"/>
    </row>
    <row r="18619" spans="30:30" x14ac:dyDescent="0.3">
      <c r="AD18619" s="16"/>
    </row>
    <row r="18620" spans="30:30" x14ac:dyDescent="0.3">
      <c r="AD18620" s="16"/>
    </row>
    <row r="18621" spans="30:30" x14ac:dyDescent="0.3">
      <c r="AD18621" s="16"/>
    </row>
    <row r="18622" spans="30:30" x14ac:dyDescent="0.3">
      <c r="AD18622" s="16"/>
    </row>
    <row r="18623" spans="30:30" x14ac:dyDescent="0.3">
      <c r="AD18623" s="16"/>
    </row>
    <row r="18624" spans="30:30" x14ac:dyDescent="0.3">
      <c r="AD18624" s="16"/>
    </row>
    <row r="18625" spans="30:30" x14ac:dyDescent="0.3">
      <c r="AD18625" s="16"/>
    </row>
    <row r="18626" spans="30:30" x14ac:dyDescent="0.3">
      <c r="AD18626" s="16"/>
    </row>
    <row r="18627" spans="30:30" x14ac:dyDescent="0.3">
      <c r="AD18627" s="16"/>
    </row>
    <row r="18628" spans="30:30" x14ac:dyDescent="0.3">
      <c r="AD18628" s="16"/>
    </row>
    <row r="18629" spans="30:30" x14ac:dyDescent="0.3">
      <c r="AD18629" s="16"/>
    </row>
    <row r="18630" spans="30:30" x14ac:dyDescent="0.3">
      <c r="AD18630" s="16"/>
    </row>
    <row r="18631" spans="30:30" x14ac:dyDescent="0.3">
      <c r="AD18631" s="16"/>
    </row>
    <row r="18632" spans="30:30" x14ac:dyDescent="0.3">
      <c r="AD18632" s="16"/>
    </row>
    <row r="18633" spans="30:30" x14ac:dyDescent="0.3">
      <c r="AD18633" s="16"/>
    </row>
    <row r="18634" spans="30:30" x14ac:dyDescent="0.3">
      <c r="AD18634" s="16"/>
    </row>
    <row r="18635" spans="30:30" x14ac:dyDescent="0.3">
      <c r="AD18635" s="16"/>
    </row>
    <row r="18636" spans="30:30" x14ac:dyDescent="0.3">
      <c r="AD18636" s="16"/>
    </row>
    <row r="18637" spans="30:30" x14ac:dyDescent="0.3">
      <c r="AD18637" s="16"/>
    </row>
    <row r="18638" spans="30:30" x14ac:dyDescent="0.3">
      <c r="AD18638" s="16"/>
    </row>
    <row r="18639" spans="30:30" x14ac:dyDescent="0.3">
      <c r="AD18639" s="16"/>
    </row>
    <row r="18640" spans="30:30" x14ac:dyDescent="0.3">
      <c r="AD18640" s="16"/>
    </row>
    <row r="18641" spans="30:30" x14ac:dyDescent="0.3">
      <c r="AD18641" s="16"/>
    </row>
    <row r="18642" spans="30:30" x14ac:dyDescent="0.3">
      <c r="AD18642" s="16"/>
    </row>
    <row r="18643" spans="30:30" x14ac:dyDescent="0.3">
      <c r="AD18643" s="16"/>
    </row>
    <row r="18644" spans="30:30" x14ac:dyDescent="0.3">
      <c r="AD18644" s="16"/>
    </row>
    <row r="18645" spans="30:30" x14ac:dyDescent="0.3">
      <c r="AD18645" s="16"/>
    </row>
    <row r="18646" spans="30:30" x14ac:dyDescent="0.3">
      <c r="AD18646" s="16"/>
    </row>
    <row r="18647" spans="30:30" x14ac:dyDescent="0.3">
      <c r="AD18647" s="16"/>
    </row>
    <row r="18648" spans="30:30" x14ac:dyDescent="0.3">
      <c r="AD18648" s="16"/>
    </row>
    <row r="18649" spans="30:30" x14ac:dyDescent="0.3">
      <c r="AD18649" s="16"/>
    </row>
    <row r="18650" spans="30:30" x14ac:dyDescent="0.3">
      <c r="AD18650" s="16"/>
    </row>
    <row r="18651" spans="30:30" x14ac:dyDescent="0.3">
      <c r="AD18651" s="16"/>
    </row>
    <row r="18652" spans="30:30" x14ac:dyDescent="0.3">
      <c r="AD18652" s="16"/>
    </row>
    <row r="18653" spans="30:30" x14ac:dyDescent="0.3">
      <c r="AD18653" s="16"/>
    </row>
    <row r="18654" spans="30:30" x14ac:dyDescent="0.3">
      <c r="AD18654" s="16"/>
    </row>
    <row r="18655" spans="30:30" x14ac:dyDescent="0.3">
      <c r="AD18655" s="16"/>
    </row>
    <row r="18656" spans="30:30" x14ac:dyDescent="0.3">
      <c r="AD18656" s="16"/>
    </row>
    <row r="18657" spans="30:30" x14ac:dyDescent="0.3">
      <c r="AD18657" s="16"/>
    </row>
    <row r="18658" spans="30:30" x14ac:dyDescent="0.3">
      <c r="AD18658" s="16"/>
    </row>
    <row r="18659" spans="30:30" x14ac:dyDescent="0.3">
      <c r="AD18659" s="16"/>
    </row>
    <row r="18660" spans="30:30" x14ac:dyDescent="0.3">
      <c r="AD18660" s="16"/>
    </row>
    <row r="18661" spans="30:30" x14ac:dyDescent="0.3">
      <c r="AD18661" s="16"/>
    </row>
    <row r="18662" spans="30:30" x14ac:dyDescent="0.3">
      <c r="AD18662" s="16"/>
    </row>
    <row r="18663" spans="30:30" x14ac:dyDescent="0.3">
      <c r="AD18663" s="16"/>
    </row>
    <row r="18664" spans="30:30" x14ac:dyDescent="0.3">
      <c r="AD18664" s="16"/>
    </row>
    <row r="18665" spans="30:30" x14ac:dyDescent="0.3">
      <c r="AD18665" s="16"/>
    </row>
    <row r="18666" spans="30:30" x14ac:dyDescent="0.3">
      <c r="AD18666" s="16"/>
    </row>
    <row r="18667" spans="30:30" x14ac:dyDescent="0.3">
      <c r="AD18667" s="16"/>
    </row>
    <row r="18668" spans="30:30" x14ac:dyDescent="0.3">
      <c r="AD18668" s="16"/>
    </row>
    <row r="18669" spans="30:30" x14ac:dyDescent="0.3">
      <c r="AD18669" s="16"/>
    </row>
    <row r="18670" spans="30:30" x14ac:dyDescent="0.3">
      <c r="AD18670" s="16"/>
    </row>
    <row r="18671" spans="30:30" x14ac:dyDescent="0.3">
      <c r="AD18671" s="16"/>
    </row>
    <row r="18672" spans="30:30" x14ac:dyDescent="0.3">
      <c r="AD18672" s="16"/>
    </row>
    <row r="18673" spans="30:30" x14ac:dyDescent="0.3">
      <c r="AD18673" s="16"/>
    </row>
    <row r="18674" spans="30:30" x14ac:dyDescent="0.3">
      <c r="AD18674" s="16"/>
    </row>
    <row r="18675" spans="30:30" x14ac:dyDescent="0.3">
      <c r="AD18675" s="16"/>
    </row>
    <row r="18676" spans="30:30" x14ac:dyDescent="0.3">
      <c r="AD18676" s="16"/>
    </row>
    <row r="18677" spans="30:30" x14ac:dyDescent="0.3">
      <c r="AD18677" s="16"/>
    </row>
    <row r="18678" spans="30:30" x14ac:dyDescent="0.3">
      <c r="AD18678" s="16"/>
    </row>
    <row r="18679" spans="30:30" x14ac:dyDescent="0.3">
      <c r="AD18679" s="16"/>
    </row>
    <row r="18680" spans="30:30" x14ac:dyDescent="0.3">
      <c r="AD18680" s="16"/>
    </row>
    <row r="18681" spans="30:30" x14ac:dyDescent="0.3">
      <c r="AD18681" s="16"/>
    </row>
    <row r="18682" spans="30:30" x14ac:dyDescent="0.3">
      <c r="AD18682" s="16"/>
    </row>
    <row r="18683" spans="30:30" x14ac:dyDescent="0.3">
      <c r="AD18683" s="16"/>
    </row>
    <row r="18684" spans="30:30" x14ac:dyDescent="0.3">
      <c r="AD18684" s="16"/>
    </row>
    <row r="18685" spans="30:30" x14ac:dyDescent="0.3">
      <c r="AD18685" s="16"/>
    </row>
    <row r="18686" spans="30:30" x14ac:dyDescent="0.3">
      <c r="AD18686" s="16"/>
    </row>
    <row r="18687" spans="30:30" x14ac:dyDescent="0.3">
      <c r="AD18687" s="16"/>
    </row>
    <row r="18688" spans="30:30" x14ac:dyDescent="0.3">
      <c r="AD18688" s="16"/>
    </row>
    <row r="18689" spans="30:30" x14ac:dyDescent="0.3">
      <c r="AD18689" s="16"/>
    </row>
    <row r="18690" spans="30:30" x14ac:dyDescent="0.3">
      <c r="AD18690" s="16"/>
    </row>
    <row r="18691" spans="30:30" x14ac:dyDescent="0.3">
      <c r="AD18691" s="16"/>
    </row>
    <row r="18692" spans="30:30" x14ac:dyDescent="0.3">
      <c r="AD18692" s="16"/>
    </row>
    <row r="18693" spans="30:30" x14ac:dyDescent="0.3">
      <c r="AD18693" s="16"/>
    </row>
    <row r="18694" spans="30:30" x14ac:dyDescent="0.3">
      <c r="AD18694" s="16"/>
    </row>
    <row r="18695" spans="30:30" x14ac:dyDescent="0.3">
      <c r="AD18695" s="16"/>
    </row>
    <row r="18696" spans="30:30" x14ac:dyDescent="0.3">
      <c r="AD18696" s="16"/>
    </row>
    <row r="18697" spans="30:30" x14ac:dyDescent="0.3">
      <c r="AD18697" s="16"/>
    </row>
    <row r="18698" spans="30:30" x14ac:dyDescent="0.3">
      <c r="AD18698" s="16"/>
    </row>
    <row r="18699" spans="30:30" x14ac:dyDescent="0.3">
      <c r="AD18699" s="16"/>
    </row>
    <row r="18700" spans="30:30" x14ac:dyDescent="0.3">
      <c r="AD18700" s="16"/>
    </row>
    <row r="18701" spans="30:30" x14ac:dyDescent="0.3">
      <c r="AD18701" s="16"/>
    </row>
    <row r="18702" spans="30:30" x14ac:dyDescent="0.3">
      <c r="AD18702" s="16"/>
    </row>
    <row r="18703" spans="30:30" x14ac:dyDescent="0.3">
      <c r="AD18703" s="16"/>
    </row>
    <row r="18704" spans="30:30" x14ac:dyDescent="0.3">
      <c r="AD18704" s="16"/>
    </row>
    <row r="18705" spans="30:30" x14ac:dyDescent="0.3">
      <c r="AD18705" s="16"/>
    </row>
    <row r="18706" spans="30:30" x14ac:dyDescent="0.3">
      <c r="AD18706" s="16"/>
    </row>
    <row r="18707" spans="30:30" x14ac:dyDescent="0.3">
      <c r="AD18707" s="16"/>
    </row>
    <row r="18708" spans="30:30" x14ac:dyDescent="0.3">
      <c r="AD18708" s="16"/>
    </row>
    <row r="18709" spans="30:30" x14ac:dyDescent="0.3">
      <c r="AD18709" s="16"/>
    </row>
    <row r="18710" spans="30:30" x14ac:dyDescent="0.3">
      <c r="AD18710" s="16"/>
    </row>
    <row r="18711" spans="30:30" x14ac:dyDescent="0.3">
      <c r="AD18711" s="16"/>
    </row>
    <row r="18712" spans="30:30" x14ac:dyDescent="0.3">
      <c r="AD18712" s="16"/>
    </row>
    <row r="18713" spans="30:30" x14ac:dyDescent="0.3">
      <c r="AD18713" s="16"/>
    </row>
    <row r="18714" spans="30:30" x14ac:dyDescent="0.3">
      <c r="AD18714" s="16"/>
    </row>
    <row r="18715" spans="30:30" x14ac:dyDescent="0.3">
      <c r="AD18715" s="16"/>
    </row>
    <row r="18716" spans="30:30" x14ac:dyDescent="0.3">
      <c r="AD18716" s="16"/>
    </row>
    <row r="18717" spans="30:30" x14ac:dyDescent="0.3">
      <c r="AD18717" s="16"/>
    </row>
    <row r="18718" spans="30:30" x14ac:dyDescent="0.3">
      <c r="AD18718" s="16"/>
    </row>
    <row r="18719" spans="30:30" x14ac:dyDescent="0.3">
      <c r="AD18719" s="16"/>
    </row>
    <row r="18720" spans="30:30" x14ac:dyDescent="0.3">
      <c r="AD18720" s="16"/>
    </row>
    <row r="18721" spans="30:30" x14ac:dyDescent="0.3">
      <c r="AD18721" s="16"/>
    </row>
    <row r="18722" spans="30:30" x14ac:dyDescent="0.3">
      <c r="AD18722" s="16"/>
    </row>
    <row r="18723" spans="30:30" x14ac:dyDescent="0.3">
      <c r="AD18723" s="16"/>
    </row>
    <row r="18724" spans="30:30" x14ac:dyDescent="0.3">
      <c r="AD18724" s="16"/>
    </row>
    <row r="18725" spans="30:30" x14ac:dyDescent="0.3">
      <c r="AD18725" s="16"/>
    </row>
    <row r="18726" spans="30:30" x14ac:dyDescent="0.3">
      <c r="AD18726" s="16"/>
    </row>
    <row r="18727" spans="30:30" x14ac:dyDescent="0.3">
      <c r="AD18727" s="16"/>
    </row>
    <row r="18728" spans="30:30" x14ac:dyDescent="0.3">
      <c r="AD18728" s="16"/>
    </row>
    <row r="18729" spans="30:30" x14ac:dyDescent="0.3">
      <c r="AD18729" s="16"/>
    </row>
    <row r="18730" spans="30:30" x14ac:dyDescent="0.3">
      <c r="AD18730" s="16"/>
    </row>
    <row r="18731" spans="30:30" x14ac:dyDescent="0.3">
      <c r="AD18731" s="16"/>
    </row>
    <row r="18732" spans="30:30" x14ac:dyDescent="0.3">
      <c r="AD18732" s="16"/>
    </row>
    <row r="18733" spans="30:30" x14ac:dyDescent="0.3">
      <c r="AD18733" s="16"/>
    </row>
    <row r="18734" spans="30:30" x14ac:dyDescent="0.3">
      <c r="AD18734" s="16"/>
    </row>
    <row r="18735" spans="30:30" x14ac:dyDescent="0.3">
      <c r="AD18735" s="16"/>
    </row>
    <row r="18736" spans="30:30" x14ac:dyDescent="0.3">
      <c r="AD18736" s="16"/>
    </row>
    <row r="18737" spans="30:30" x14ac:dyDescent="0.3">
      <c r="AD18737" s="16"/>
    </row>
    <row r="18738" spans="30:30" x14ac:dyDescent="0.3">
      <c r="AD18738" s="16"/>
    </row>
    <row r="18739" spans="30:30" x14ac:dyDescent="0.3">
      <c r="AD18739" s="16"/>
    </row>
    <row r="18740" spans="30:30" x14ac:dyDescent="0.3">
      <c r="AD18740" s="16"/>
    </row>
    <row r="18741" spans="30:30" x14ac:dyDescent="0.3">
      <c r="AD18741" s="16"/>
    </row>
    <row r="18742" spans="30:30" x14ac:dyDescent="0.3">
      <c r="AD18742" s="16"/>
    </row>
    <row r="18743" spans="30:30" x14ac:dyDescent="0.3">
      <c r="AD18743" s="16"/>
    </row>
    <row r="18744" spans="30:30" x14ac:dyDescent="0.3">
      <c r="AD18744" s="16"/>
    </row>
    <row r="18745" spans="30:30" x14ac:dyDescent="0.3">
      <c r="AD18745" s="16"/>
    </row>
    <row r="18746" spans="30:30" x14ac:dyDescent="0.3">
      <c r="AD18746" s="16"/>
    </row>
    <row r="18747" spans="30:30" x14ac:dyDescent="0.3">
      <c r="AD18747" s="16"/>
    </row>
    <row r="18748" spans="30:30" x14ac:dyDescent="0.3">
      <c r="AD18748" s="16"/>
    </row>
    <row r="18749" spans="30:30" x14ac:dyDescent="0.3">
      <c r="AD18749" s="16"/>
    </row>
    <row r="18750" spans="30:30" x14ac:dyDescent="0.3">
      <c r="AD18750" s="16"/>
    </row>
    <row r="18751" spans="30:30" x14ac:dyDescent="0.3">
      <c r="AD18751" s="16"/>
    </row>
    <row r="18752" spans="30:30" x14ac:dyDescent="0.3">
      <c r="AD18752" s="16"/>
    </row>
    <row r="18753" spans="30:30" x14ac:dyDescent="0.3">
      <c r="AD18753" s="16"/>
    </row>
    <row r="18754" spans="30:30" x14ac:dyDescent="0.3">
      <c r="AD18754" s="16"/>
    </row>
    <row r="18755" spans="30:30" x14ac:dyDescent="0.3">
      <c r="AD18755" s="16"/>
    </row>
    <row r="18756" spans="30:30" x14ac:dyDescent="0.3">
      <c r="AD18756" s="16"/>
    </row>
    <row r="18757" spans="30:30" x14ac:dyDescent="0.3">
      <c r="AD18757" s="16"/>
    </row>
    <row r="18758" spans="30:30" x14ac:dyDescent="0.3">
      <c r="AD18758" s="16"/>
    </row>
    <row r="18759" spans="30:30" x14ac:dyDescent="0.3">
      <c r="AD18759" s="16"/>
    </row>
    <row r="18760" spans="30:30" x14ac:dyDescent="0.3">
      <c r="AD18760" s="16"/>
    </row>
    <row r="18761" spans="30:30" x14ac:dyDescent="0.3">
      <c r="AD18761" s="16"/>
    </row>
    <row r="18762" spans="30:30" x14ac:dyDescent="0.3">
      <c r="AD18762" s="16"/>
    </row>
    <row r="18763" spans="30:30" x14ac:dyDescent="0.3">
      <c r="AD18763" s="16"/>
    </row>
    <row r="18764" spans="30:30" x14ac:dyDescent="0.3">
      <c r="AD18764" s="16"/>
    </row>
    <row r="18765" spans="30:30" x14ac:dyDescent="0.3">
      <c r="AD18765" s="16"/>
    </row>
    <row r="18766" spans="30:30" x14ac:dyDescent="0.3">
      <c r="AD18766" s="16"/>
    </row>
    <row r="18767" spans="30:30" x14ac:dyDescent="0.3">
      <c r="AD18767" s="16"/>
    </row>
    <row r="18768" spans="30:30" x14ac:dyDescent="0.3">
      <c r="AD18768" s="16"/>
    </row>
    <row r="18769" spans="30:30" x14ac:dyDescent="0.3">
      <c r="AD18769" s="16"/>
    </row>
    <row r="18770" spans="30:30" x14ac:dyDescent="0.3">
      <c r="AD18770" s="16"/>
    </row>
    <row r="18771" spans="30:30" x14ac:dyDescent="0.3">
      <c r="AD18771" s="16"/>
    </row>
    <row r="18772" spans="30:30" x14ac:dyDescent="0.3">
      <c r="AD18772" s="16"/>
    </row>
    <row r="18773" spans="30:30" x14ac:dyDescent="0.3">
      <c r="AD18773" s="16"/>
    </row>
    <row r="18774" spans="30:30" x14ac:dyDescent="0.3">
      <c r="AD18774" s="16"/>
    </row>
    <row r="18775" spans="30:30" x14ac:dyDescent="0.3">
      <c r="AD18775" s="16"/>
    </row>
    <row r="18776" spans="30:30" x14ac:dyDescent="0.3">
      <c r="AD18776" s="16"/>
    </row>
    <row r="18777" spans="30:30" x14ac:dyDescent="0.3">
      <c r="AD18777" s="16"/>
    </row>
    <row r="18778" spans="30:30" x14ac:dyDescent="0.3">
      <c r="AD18778" s="16"/>
    </row>
    <row r="18779" spans="30:30" x14ac:dyDescent="0.3">
      <c r="AD18779" s="16"/>
    </row>
    <row r="18780" spans="30:30" x14ac:dyDescent="0.3">
      <c r="AD18780" s="16"/>
    </row>
    <row r="18781" spans="30:30" x14ac:dyDescent="0.3">
      <c r="AD18781" s="16"/>
    </row>
    <row r="18782" spans="30:30" x14ac:dyDescent="0.3">
      <c r="AD18782" s="16"/>
    </row>
    <row r="18783" spans="30:30" x14ac:dyDescent="0.3">
      <c r="AD18783" s="16"/>
    </row>
    <row r="18784" spans="30:30" x14ac:dyDescent="0.3">
      <c r="AD18784" s="16"/>
    </row>
    <row r="18785" spans="30:30" x14ac:dyDescent="0.3">
      <c r="AD18785" s="16"/>
    </row>
    <row r="18786" spans="30:30" x14ac:dyDescent="0.3">
      <c r="AD18786" s="16"/>
    </row>
    <row r="18787" spans="30:30" x14ac:dyDescent="0.3">
      <c r="AD18787" s="16"/>
    </row>
    <row r="18788" spans="30:30" x14ac:dyDescent="0.3">
      <c r="AD18788" s="16"/>
    </row>
    <row r="18789" spans="30:30" x14ac:dyDescent="0.3">
      <c r="AD18789" s="16"/>
    </row>
    <row r="18790" spans="30:30" x14ac:dyDescent="0.3">
      <c r="AD18790" s="16"/>
    </row>
    <row r="18791" spans="30:30" x14ac:dyDescent="0.3">
      <c r="AD18791" s="16"/>
    </row>
    <row r="18792" spans="30:30" x14ac:dyDescent="0.3">
      <c r="AD18792" s="16"/>
    </row>
    <row r="18793" spans="30:30" x14ac:dyDescent="0.3">
      <c r="AD18793" s="16"/>
    </row>
    <row r="18794" spans="30:30" x14ac:dyDescent="0.3">
      <c r="AD18794" s="16"/>
    </row>
    <row r="18795" spans="30:30" x14ac:dyDescent="0.3">
      <c r="AD18795" s="16"/>
    </row>
    <row r="18796" spans="30:30" x14ac:dyDescent="0.3">
      <c r="AD18796" s="16"/>
    </row>
    <row r="18797" spans="30:30" x14ac:dyDescent="0.3">
      <c r="AD18797" s="16"/>
    </row>
    <row r="18798" spans="30:30" x14ac:dyDescent="0.3">
      <c r="AD18798" s="16"/>
    </row>
    <row r="18799" spans="30:30" x14ac:dyDescent="0.3">
      <c r="AD18799" s="16"/>
    </row>
    <row r="18800" spans="30:30" x14ac:dyDescent="0.3">
      <c r="AD18800" s="16"/>
    </row>
    <row r="18801" spans="30:30" x14ac:dyDescent="0.3">
      <c r="AD18801" s="16"/>
    </row>
    <row r="18802" spans="30:30" x14ac:dyDescent="0.3">
      <c r="AD18802" s="16"/>
    </row>
    <row r="18803" spans="30:30" x14ac:dyDescent="0.3">
      <c r="AD18803" s="16"/>
    </row>
    <row r="18804" spans="30:30" x14ac:dyDescent="0.3">
      <c r="AD18804" s="16"/>
    </row>
    <row r="18805" spans="30:30" x14ac:dyDescent="0.3">
      <c r="AD18805" s="16"/>
    </row>
    <row r="18806" spans="30:30" x14ac:dyDescent="0.3">
      <c r="AD18806" s="16"/>
    </row>
    <row r="18807" spans="30:30" x14ac:dyDescent="0.3">
      <c r="AD18807" s="16"/>
    </row>
    <row r="18808" spans="30:30" x14ac:dyDescent="0.3">
      <c r="AD18808" s="16"/>
    </row>
    <row r="18809" spans="30:30" x14ac:dyDescent="0.3">
      <c r="AD18809" s="16"/>
    </row>
    <row r="18810" spans="30:30" x14ac:dyDescent="0.3">
      <c r="AD18810" s="16"/>
    </row>
    <row r="18811" spans="30:30" x14ac:dyDescent="0.3">
      <c r="AD18811" s="16"/>
    </row>
    <row r="18812" spans="30:30" x14ac:dyDescent="0.3">
      <c r="AD18812" s="16"/>
    </row>
    <row r="18813" spans="30:30" x14ac:dyDescent="0.3">
      <c r="AD18813" s="16"/>
    </row>
    <row r="18814" spans="30:30" x14ac:dyDescent="0.3">
      <c r="AD18814" s="16"/>
    </row>
    <row r="18815" spans="30:30" x14ac:dyDescent="0.3">
      <c r="AD18815" s="16"/>
    </row>
    <row r="18816" spans="30:30" x14ac:dyDescent="0.3">
      <c r="AD18816" s="16"/>
    </row>
    <row r="18817" spans="30:30" x14ac:dyDescent="0.3">
      <c r="AD18817" s="16"/>
    </row>
    <row r="18818" spans="30:30" x14ac:dyDescent="0.3">
      <c r="AD18818" s="16"/>
    </row>
    <row r="18819" spans="30:30" x14ac:dyDescent="0.3">
      <c r="AD18819" s="16"/>
    </row>
    <row r="18820" spans="30:30" x14ac:dyDescent="0.3">
      <c r="AD18820" s="16"/>
    </row>
    <row r="18821" spans="30:30" x14ac:dyDescent="0.3">
      <c r="AD18821" s="16"/>
    </row>
    <row r="18822" spans="30:30" x14ac:dyDescent="0.3">
      <c r="AD18822" s="16"/>
    </row>
    <row r="18823" spans="30:30" x14ac:dyDescent="0.3">
      <c r="AD18823" s="16"/>
    </row>
    <row r="18824" spans="30:30" x14ac:dyDescent="0.3">
      <c r="AD18824" s="16"/>
    </row>
    <row r="18825" spans="30:30" x14ac:dyDescent="0.3">
      <c r="AD18825" s="16"/>
    </row>
    <row r="18826" spans="30:30" x14ac:dyDescent="0.3">
      <c r="AD18826" s="16"/>
    </row>
    <row r="18827" spans="30:30" x14ac:dyDescent="0.3">
      <c r="AD18827" s="16"/>
    </row>
    <row r="18828" spans="30:30" x14ac:dyDescent="0.3">
      <c r="AD18828" s="16"/>
    </row>
    <row r="18829" spans="30:30" x14ac:dyDescent="0.3">
      <c r="AD18829" s="16"/>
    </row>
    <row r="18830" spans="30:30" x14ac:dyDescent="0.3">
      <c r="AD18830" s="16"/>
    </row>
    <row r="18831" spans="30:30" x14ac:dyDescent="0.3">
      <c r="AD18831" s="16"/>
    </row>
    <row r="18832" spans="30:30" x14ac:dyDescent="0.3">
      <c r="AD18832" s="16"/>
    </row>
    <row r="18833" spans="30:30" x14ac:dyDescent="0.3">
      <c r="AD18833" s="16"/>
    </row>
    <row r="18834" spans="30:30" x14ac:dyDescent="0.3">
      <c r="AD18834" s="16"/>
    </row>
    <row r="18835" spans="30:30" x14ac:dyDescent="0.3">
      <c r="AD18835" s="16"/>
    </row>
    <row r="18836" spans="30:30" x14ac:dyDescent="0.3">
      <c r="AD18836" s="16"/>
    </row>
    <row r="18837" spans="30:30" x14ac:dyDescent="0.3">
      <c r="AD18837" s="16"/>
    </row>
    <row r="18838" spans="30:30" x14ac:dyDescent="0.3">
      <c r="AD18838" s="16"/>
    </row>
    <row r="18839" spans="30:30" x14ac:dyDescent="0.3">
      <c r="AD18839" s="16"/>
    </row>
    <row r="18840" spans="30:30" x14ac:dyDescent="0.3">
      <c r="AD18840" s="16"/>
    </row>
    <row r="18841" spans="30:30" x14ac:dyDescent="0.3">
      <c r="AD18841" s="16"/>
    </row>
    <row r="18842" spans="30:30" x14ac:dyDescent="0.3">
      <c r="AD18842" s="16"/>
    </row>
    <row r="18843" spans="30:30" x14ac:dyDescent="0.3">
      <c r="AD18843" s="16"/>
    </row>
    <row r="18844" spans="30:30" x14ac:dyDescent="0.3">
      <c r="AD18844" s="16"/>
    </row>
    <row r="18845" spans="30:30" x14ac:dyDescent="0.3">
      <c r="AD18845" s="16"/>
    </row>
    <row r="18846" spans="30:30" x14ac:dyDescent="0.3">
      <c r="AD18846" s="16"/>
    </row>
    <row r="18847" spans="30:30" x14ac:dyDescent="0.3">
      <c r="AD18847" s="16"/>
    </row>
    <row r="18848" spans="30:30" x14ac:dyDescent="0.3">
      <c r="AD18848" s="16"/>
    </row>
    <row r="18849" spans="30:30" x14ac:dyDescent="0.3">
      <c r="AD18849" s="16"/>
    </row>
    <row r="18850" spans="30:30" x14ac:dyDescent="0.3">
      <c r="AD18850" s="16"/>
    </row>
    <row r="18851" spans="30:30" x14ac:dyDescent="0.3">
      <c r="AD18851" s="16"/>
    </row>
    <row r="18852" spans="30:30" x14ac:dyDescent="0.3">
      <c r="AD18852" s="16"/>
    </row>
    <row r="18853" spans="30:30" x14ac:dyDescent="0.3">
      <c r="AD18853" s="16"/>
    </row>
    <row r="18854" spans="30:30" x14ac:dyDescent="0.3">
      <c r="AD18854" s="16"/>
    </row>
    <row r="18855" spans="30:30" x14ac:dyDescent="0.3">
      <c r="AD18855" s="16"/>
    </row>
    <row r="18856" spans="30:30" x14ac:dyDescent="0.3">
      <c r="AD18856" s="16"/>
    </row>
    <row r="18857" spans="30:30" x14ac:dyDescent="0.3">
      <c r="AD18857" s="16"/>
    </row>
    <row r="18858" spans="30:30" x14ac:dyDescent="0.3">
      <c r="AD18858" s="16"/>
    </row>
    <row r="18859" spans="30:30" x14ac:dyDescent="0.3">
      <c r="AD18859" s="16"/>
    </row>
    <row r="18860" spans="30:30" x14ac:dyDescent="0.3">
      <c r="AD18860" s="16"/>
    </row>
    <row r="18861" spans="30:30" x14ac:dyDescent="0.3">
      <c r="AD18861" s="16"/>
    </row>
    <row r="18862" spans="30:30" x14ac:dyDescent="0.3">
      <c r="AD18862" s="16"/>
    </row>
    <row r="18863" spans="30:30" x14ac:dyDescent="0.3">
      <c r="AD18863" s="16"/>
    </row>
    <row r="18864" spans="30:30" x14ac:dyDescent="0.3">
      <c r="AD18864" s="16"/>
    </row>
    <row r="18865" spans="30:30" x14ac:dyDescent="0.3">
      <c r="AD18865" s="16"/>
    </row>
    <row r="18866" spans="30:30" x14ac:dyDescent="0.3">
      <c r="AD18866" s="16"/>
    </row>
    <row r="18867" spans="30:30" x14ac:dyDescent="0.3">
      <c r="AD18867" s="16"/>
    </row>
    <row r="18868" spans="30:30" x14ac:dyDescent="0.3">
      <c r="AD18868" s="16"/>
    </row>
    <row r="18869" spans="30:30" x14ac:dyDescent="0.3">
      <c r="AD18869" s="16"/>
    </row>
    <row r="18870" spans="30:30" x14ac:dyDescent="0.3">
      <c r="AD18870" s="16"/>
    </row>
    <row r="18871" spans="30:30" x14ac:dyDescent="0.3">
      <c r="AD18871" s="16"/>
    </row>
    <row r="18872" spans="30:30" x14ac:dyDescent="0.3">
      <c r="AD18872" s="16"/>
    </row>
    <row r="18873" spans="30:30" x14ac:dyDescent="0.3">
      <c r="AD18873" s="16"/>
    </row>
    <row r="18874" spans="30:30" x14ac:dyDescent="0.3">
      <c r="AD18874" s="16"/>
    </row>
    <row r="18875" spans="30:30" x14ac:dyDescent="0.3">
      <c r="AD18875" s="16"/>
    </row>
    <row r="18876" spans="30:30" x14ac:dyDescent="0.3">
      <c r="AD18876" s="16"/>
    </row>
    <row r="18877" spans="30:30" x14ac:dyDescent="0.3">
      <c r="AD18877" s="16"/>
    </row>
    <row r="18878" spans="30:30" x14ac:dyDescent="0.3">
      <c r="AD18878" s="16"/>
    </row>
    <row r="18879" spans="30:30" x14ac:dyDescent="0.3">
      <c r="AD18879" s="16"/>
    </row>
    <row r="18880" spans="30:30" x14ac:dyDescent="0.3">
      <c r="AD18880" s="16"/>
    </row>
    <row r="18881" spans="30:30" x14ac:dyDescent="0.3">
      <c r="AD18881" s="16"/>
    </row>
    <row r="18882" spans="30:30" x14ac:dyDescent="0.3">
      <c r="AD18882" s="16"/>
    </row>
    <row r="18883" spans="30:30" x14ac:dyDescent="0.3">
      <c r="AD18883" s="16"/>
    </row>
    <row r="18884" spans="30:30" x14ac:dyDescent="0.3">
      <c r="AD18884" s="16"/>
    </row>
    <row r="18885" spans="30:30" x14ac:dyDescent="0.3">
      <c r="AD18885" s="16"/>
    </row>
    <row r="18886" spans="30:30" x14ac:dyDescent="0.3">
      <c r="AD18886" s="16"/>
    </row>
    <row r="18887" spans="30:30" x14ac:dyDescent="0.3">
      <c r="AD18887" s="16"/>
    </row>
    <row r="18888" spans="30:30" x14ac:dyDescent="0.3">
      <c r="AD18888" s="16"/>
    </row>
    <row r="18889" spans="30:30" x14ac:dyDescent="0.3">
      <c r="AD18889" s="16"/>
    </row>
    <row r="18890" spans="30:30" x14ac:dyDescent="0.3">
      <c r="AD18890" s="16"/>
    </row>
    <row r="18891" spans="30:30" x14ac:dyDescent="0.3">
      <c r="AD18891" s="16"/>
    </row>
    <row r="18892" spans="30:30" x14ac:dyDescent="0.3">
      <c r="AD18892" s="16"/>
    </row>
    <row r="18893" spans="30:30" x14ac:dyDescent="0.3">
      <c r="AD18893" s="16"/>
    </row>
    <row r="18894" spans="30:30" x14ac:dyDescent="0.3">
      <c r="AD18894" s="16"/>
    </row>
    <row r="18895" spans="30:30" x14ac:dyDescent="0.3">
      <c r="AD18895" s="16"/>
    </row>
    <row r="18896" spans="30:30" x14ac:dyDescent="0.3">
      <c r="AD18896" s="16"/>
    </row>
    <row r="18897" spans="30:30" x14ac:dyDescent="0.3">
      <c r="AD18897" s="16"/>
    </row>
    <row r="18898" spans="30:30" x14ac:dyDescent="0.3">
      <c r="AD18898" s="16"/>
    </row>
    <row r="18899" spans="30:30" x14ac:dyDescent="0.3">
      <c r="AD18899" s="16"/>
    </row>
    <row r="18900" spans="30:30" x14ac:dyDescent="0.3">
      <c r="AD18900" s="16"/>
    </row>
    <row r="18901" spans="30:30" x14ac:dyDescent="0.3">
      <c r="AD18901" s="16"/>
    </row>
    <row r="18902" spans="30:30" x14ac:dyDescent="0.3">
      <c r="AD18902" s="16"/>
    </row>
    <row r="18903" spans="30:30" x14ac:dyDescent="0.3">
      <c r="AD18903" s="16"/>
    </row>
    <row r="18904" spans="30:30" x14ac:dyDescent="0.3">
      <c r="AD18904" s="16"/>
    </row>
    <row r="18905" spans="30:30" x14ac:dyDescent="0.3">
      <c r="AD18905" s="16"/>
    </row>
    <row r="18906" spans="30:30" x14ac:dyDescent="0.3">
      <c r="AD18906" s="16"/>
    </row>
    <row r="18907" spans="30:30" x14ac:dyDescent="0.3">
      <c r="AD18907" s="16"/>
    </row>
    <row r="18908" spans="30:30" x14ac:dyDescent="0.3">
      <c r="AD18908" s="16"/>
    </row>
    <row r="18909" spans="30:30" x14ac:dyDescent="0.3">
      <c r="AD18909" s="16"/>
    </row>
    <row r="18910" spans="30:30" x14ac:dyDescent="0.3">
      <c r="AD18910" s="16"/>
    </row>
    <row r="18911" spans="30:30" x14ac:dyDescent="0.3">
      <c r="AD18911" s="16"/>
    </row>
    <row r="18912" spans="30:30" x14ac:dyDescent="0.3">
      <c r="AD18912" s="16"/>
    </row>
    <row r="18913" spans="30:30" x14ac:dyDescent="0.3">
      <c r="AD18913" s="16"/>
    </row>
    <row r="18914" spans="30:30" x14ac:dyDescent="0.3">
      <c r="AD18914" s="16"/>
    </row>
    <row r="18915" spans="30:30" x14ac:dyDescent="0.3">
      <c r="AD18915" s="16"/>
    </row>
    <row r="18916" spans="30:30" x14ac:dyDescent="0.3">
      <c r="AD18916" s="16"/>
    </row>
    <row r="18917" spans="30:30" x14ac:dyDescent="0.3">
      <c r="AD18917" s="16"/>
    </row>
    <row r="18918" spans="30:30" x14ac:dyDescent="0.3">
      <c r="AD18918" s="16"/>
    </row>
    <row r="18919" spans="30:30" x14ac:dyDescent="0.3">
      <c r="AD18919" s="16"/>
    </row>
    <row r="18920" spans="30:30" x14ac:dyDescent="0.3">
      <c r="AD18920" s="16"/>
    </row>
    <row r="18921" spans="30:30" x14ac:dyDescent="0.3">
      <c r="AD18921" s="16"/>
    </row>
    <row r="18922" spans="30:30" x14ac:dyDescent="0.3">
      <c r="AD18922" s="16"/>
    </row>
    <row r="18923" spans="30:30" x14ac:dyDescent="0.3">
      <c r="AD18923" s="16"/>
    </row>
    <row r="18924" spans="30:30" x14ac:dyDescent="0.3">
      <c r="AD18924" s="16"/>
    </row>
    <row r="18925" spans="30:30" x14ac:dyDescent="0.3">
      <c r="AD18925" s="16"/>
    </row>
    <row r="18926" spans="30:30" x14ac:dyDescent="0.3">
      <c r="AD18926" s="16"/>
    </row>
    <row r="18927" spans="30:30" x14ac:dyDescent="0.3">
      <c r="AD18927" s="16"/>
    </row>
    <row r="18928" spans="30:30" x14ac:dyDescent="0.3">
      <c r="AD18928" s="16"/>
    </row>
    <row r="18929" spans="30:30" x14ac:dyDescent="0.3">
      <c r="AD18929" s="16"/>
    </row>
    <row r="18930" spans="30:30" x14ac:dyDescent="0.3">
      <c r="AD18930" s="16"/>
    </row>
    <row r="18931" spans="30:30" x14ac:dyDescent="0.3">
      <c r="AD18931" s="16"/>
    </row>
    <row r="18932" spans="30:30" x14ac:dyDescent="0.3">
      <c r="AD18932" s="16"/>
    </row>
    <row r="18933" spans="30:30" x14ac:dyDescent="0.3">
      <c r="AD18933" s="16"/>
    </row>
    <row r="18934" spans="30:30" x14ac:dyDescent="0.3">
      <c r="AD18934" s="16"/>
    </row>
    <row r="18935" spans="30:30" x14ac:dyDescent="0.3">
      <c r="AD18935" s="16"/>
    </row>
    <row r="18936" spans="30:30" x14ac:dyDescent="0.3">
      <c r="AD18936" s="16"/>
    </row>
    <row r="18937" spans="30:30" x14ac:dyDescent="0.3">
      <c r="AD18937" s="16"/>
    </row>
    <row r="18938" spans="30:30" x14ac:dyDescent="0.3">
      <c r="AD18938" s="16"/>
    </row>
    <row r="18939" spans="30:30" x14ac:dyDescent="0.3">
      <c r="AD18939" s="16"/>
    </row>
    <row r="18940" spans="30:30" x14ac:dyDescent="0.3">
      <c r="AD18940" s="16"/>
    </row>
    <row r="18941" spans="30:30" x14ac:dyDescent="0.3">
      <c r="AD18941" s="16"/>
    </row>
    <row r="18942" spans="30:30" x14ac:dyDescent="0.3">
      <c r="AD18942" s="16"/>
    </row>
    <row r="18943" spans="30:30" x14ac:dyDescent="0.3">
      <c r="AD18943" s="16"/>
    </row>
    <row r="18944" spans="30:30" x14ac:dyDescent="0.3">
      <c r="AD18944" s="16"/>
    </row>
    <row r="18945" spans="30:30" x14ac:dyDescent="0.3">
      <c r="AD18945" s="16"/>
    </row>
    <row r="18946" spans="30:30" x14ac:dyDescent="0.3">
      <c r="AD18946" s="16"/>
    </row>
    <row r="18947" spans="30:30" x14ac:dyDescent="0.3">
      <c r="AD18947" s="16"/>
    </row>
    <row r="18948" spans="30:30" x14ac:dyDescent="0.3">
      <c r="AD18948" s="16"/>
    </row>
    <row r="18949" spans="30:30" x14ac:dyDescent="0.3">
      <c r="AD18949" s="16"/>
    </row>
    <row r="18950" spans="30:30" x14ac:dyDescent="0.3">
      <c r="AD18950" s="16"/>
    </row>
    <row r="18951" spans="30:30" x14ac:dyDescent="0.3">
      <c r="AD18951" s="16"/>
    </row>
    <row r="18952" spans="30:30" x14ac:dyDescent="0.3">
      <c r="AD18952" s="16"/>
    </row>
    <row r="18953" spans="30:30" x14ac:dyDescent="0.3">
      <c r="AD18953" s="16"/>
    </row>
    <row r="18954" spans="30:30" x14ac:dyDescent="0.3">
      <c r="AD18954" s="16"/>
    </row>
    <row r="18955" spans="30:30" x14ac:dyDescent="0.3">
      <c r="AD18955" s="16"/>
    </row>
    <row r="18956" spans="30:30" x14ac:dyDescent="0.3">
      <c r="AD18956" s="16"/>
    </row>
    <row r="18957" spans="30:30" x14ac:dyDescent="0.3">
      <c r="AD18957" s="16"/>
    </row>
    <row r="18958" spans="30:30" x14ac:dyDescent="0.3">
      <c r="AD18958" s="16"/>
    </row>
    <row r="18959" spans="30:30" x14ac:dyDescent="0.3">
      <c r="AD18959" s="16"/>
    </row>
    <row r="18960" spans="30:30" x14ac:dyDescent="0.3">
      <c r="AD18960" s="16"/>
    </row>
    <row r="18961" spans="30:30" x14ac:dyDescent="0.3">
      <c r="AD18961" s="16"/>
    </row>
    <row r="18962" spans="30:30" x14ac:dyDescent="0.3">
      <c r="AD18962" s="16"/>
    </row>
    <row r="18963" spans="30:30" x14ac:dyDescent="0.3">
      <c r="AD18963" s="16"/>
    </row>
    <row r="18964" spans="30:30" x14ac:dyDescent="0.3">
      <c r="AD18964" s="16"/>
    </row>
    <row r="18965" spans="30:30" x14ac:dyDescent="0.3">
      <c r="AD18965" s="16"/>
    </row>
    <row r="18966" spans="30:30" x14ac:dyDescent="0.3">
      <c r="AD18966" s="16"/>
    </row>
    <row r="18967" spans="30:30" x14ac:dyDescent="0.3">
      <c r="AD18967" s="16"/>
    </row>
    <row r="18968" spans="30:30" x14ac:dyDescent="0.3">
      <c r="AD18968" s="16"/>
    </row>
    <row r="18969" spans="30:30" x14ac:dyDescent="0.3">
      <c r="AD18969" s="16"/>
    </row>
    <row r="18970" spans="30:30" x14ac:dyDescent="0.3">
      <c r="AD18970" s="16"/>
    </row>
    <row r="18971" spans="30:30" x14ac:dyDescent="0.3">
      <c r="AD18971" s="16"/>
    </row>
    <row r="18972" spans="30:30" x14ac:dyDescent="0.3">
      <c r="AD18972" s="16"/>
    </row>
    <row r="18973" spans="30:30" x14ac:dyDescent="0.3">
      <c r="AD18973" s="16"/>
    </row>
    <row r="18974" spans="30:30" x14ac:dyDescent="0.3">
      <c r="AD18974" s="16"/>
    </row>
    <row r="18975" spans="30:30" x14ac:dyDescent="0.3">
      <c r="AD18975" s="16"/>
    </row>
    <row r="18976" spans="30:30" x14ac:dyDescent="0.3">
      <c r="AD18976" s="16"/>
    </row>
    <row r="18977" spans="30:30" x14ac:dyDescent="0.3">
      <c r="AD18977" s="16"/>
    </row>
    <row r="18978" spans="30:30" x14ac:dyDescent="0.3">
      <c r="AD18978" s="16"/>
    </row>
    <row r="18979" spans="30:30" x14ac:dyDescent="0.3">
      <c r="AD18979" s="16"/>
    </row>
    <row r="18980" spans="30:30" x14ac:dyDescent="0.3">
      <c r="AD18980" s="16"/>
    </row>
    <row r="18981" spans="30:30" x14ac:dyDescent="0.3">
      <c r="AD18981" s="16"/>
    </row>
    <row r="18982" spans="30:30" x14ac:dyDescent="0.3">
      <c r="AD18982" s="16"/>
    </row>
    <row r="18983" spans="30:30" x14ac:dyDescent="0.3">
      <c r="AD18983" s="16"/>
    </row>
    <row r="18984" spans="30:30" x14ac:dyDescent="0.3">
      <c r="AD18984" s="16"/>
    </row>
    <row r="18985" spans="30:30" x14ac:dyDescent="0.3">
      <c r="AD18985" s="16"/>
    </row>
    <row r="18986" spans="30:30" x14ac:dyDescent="0.3">
      <c r="AD18986" s="16"/>
    </row>
    <row r="18987" spans="30:30" x14ac:dyDescent="0.3">
      <c r="AD18987" s="16"/>
    </row>
    <row r="18988" spans="30:30" x14ac:dyDescent="0.3">
      <c r="AD18988" s="16"/>
    </row>
    <row r="18989" spans="30:30" x14ac:dyDescent="0.3">
      <c r="AD18989" s="16"/>
    </row>
    <row r="18990" spans="30:30" x14ac:dyDescent="0.3">
      <c r="AD18990" s="16"/>
    </row>
    <row r="18991" spans="30:30" x14ac:dyDescent="0.3">
      <c r="AD18991" s="16"/>
    </row>
    <row r="18992" spans="30:30" x14ac:dyDescent="0.3">
      <c r="AD18992" s="16"/>
    </row>
    <row r="18993" spans="30:30" x14ac:dyDescent="0.3">
      <c r="AD18993" s="16"/>
    </row>
    <row r="18994" spans="30:30" x14ac:dyDescent="0.3">
      <c r="AD18994" s="16"/>
    </row>
    <row r="18995" spans="30:30" x14ac:dyDescent="0.3">
      <c r="AD18995" s="16"/>
    </row>
    <row r="18996" spans="30:30" x14ac:dyDescent="0.3">
      <c r="AD18996" s="16"/>
    </row>
    <row r="18997" spans="30:30" x14ac:dyDescent="0.3">
      <c r="AD18997" s="16"/>
    </row>
    <row r="18998" spans="30:30" x14ac:dyDescent="0.3">
      <c r="AD18998" s="16"/>
    </row>
    <row r="18999" spans="30:30" x14ac:dyDescent="0.3">
      <c r="AD18999" s="16"/>
    </row>
    <row r="19000" spans="30:30" x14ac:dyDescent="0.3">
      <c r="AD19000" s="16"/>
    </row>
    <row r="19001" spans="30:30" x14ac:dyDescent="0.3">
      <c r="AD19001" s="16"/>
    </row>
    <row r="19002" spans="30:30" x14ac:dyDescent="0.3">
      <c r="AD19002" s="16"/>
    </row>
    <row r="19003" spans="30:30" x14ac:dyDescent="0.3">
      <c r="AD19003" s="16"/>
    </row>
    <row r="19004" spans="30:30" x14ac:dyDescent="0.3">
      <c r="AD19004" s="16"/>
    </row>
    <row r="19005" spans="30:30" x14ac:dyDescent="0.3">
      <c r="AD19005" s="16"/>
    </row>
    <row r="19006" spans="30:30" x14ac:dyDescent="0.3">
      <c r="AD19006" s="16"/>
    </row>
    <row r="19007" spans="30:30" x14ac:dyDescent="0.3">
      <c r="AD19007" s="16"/>
    </row>
    <row r="19008" spans="30:30" x14ac:dyDescent="0.3">
      <c r="AD19008" s="16"/>
    </row>
    <row r="19009" spans="30:30" x14ac:dyDescent="0.3">
      <c r="AD19009" s="16"/>
    </row>
    <row r="19010" spans="30:30" x14ac:dyDescent="0.3">
      <c r="AD19010" s="16"/>
    </row>
    <row r="19011" spans="30:30" x14ac:dyDescent="0.3">
      <c r="AD19011" s="16"/>
    </row>
    <row r="19012" spans="30:30" x14ac:dyDescent="0.3">
      <c r="AD19012" s="16"/>
    </row>
    <row r="19013" spans="30:30" x14ac:dyDescent="0.3">
      <c r="AD19013" s="16"/>
    </row>
    <row r="19014" spans="30:30" x14ac:dyDescent="0.3">
      <c r="AD19014" s="16"/>
    </row>
    <row r="19015" spans="30:30" x14ac:dyDescent="0.3">
      <c r="AD19015" s="16"/>
    </row>
    <row r="19016" spans="30:30" x14ac:dyDescent="0.3">
      <c r="AD19016" s="16"/>
    </row>
    <row r="19017" spans="30:30" x14ac:dyDescent="0.3">
      <c r="AD19017" s="16"/>
    </row>
    <row r="19018" spans="30:30" x14ac:dyDescent="0.3">
      <c r="AD19018" s="16"/>
    </row>
    <row r="19019" spans="30:30" x14ac:dyDescent="0.3">
      <c r="AD19019" s="16"/>
    </row>
    <row r="19020" spans="30:30" x14ac:dyDescent="0.3">
      <c r="AD19020" s="16"/>
    </row>
    <row r="19021" spans="30:30" x14ac:dyDescent="0.3">
      <c r="AD19021" s="16"/>
    </row>
    <row r="19022" spans="30:30" x14ac:dyDescent="0.3">
      <c r="AD19022" s="16"/>
    </row>
    <row r="19023" spans="30:30" x14ac:dyDescent="0.3">
      <c r="AD19023" s="16"/>
    </row>
    <row r="19024" spans="30:30" x14ac:dyDescent="0.3">
      <c r="AD19024" s="16"/>
    </row>
    <row r="19025" spans="30:30" x14ac:dyDescent="0.3">
      <c r="AD19025" s="16"/>
    </row>
    <row r="19026" spans="30:30" x14ac:dyDescent="0.3">
      <c r="AD19026" s="16"/>
    </row>
    <row r="19027" spans="30:30" x14ac:dyDescent="0.3">
      <c r="AD19027" s="16"/>
    </row>
    <row r="19028" spans="30:30" x14ac:dyDescent="0.3">
      <c r="AD19028" s="16"/>
    </row>
    <row r="19029" spans="30:30" x14ac:dyDescent="0.3">
      <c r="AD19029" s="16"/>
    </row>
    <row r="19030" spans="30:30" x14ac:dyDescent="0.3">
      <c r="AD19030" s="16"/>
    </row>
    <row r="19031" spans="30:30" x14ac:dyDescent="0.3">
      <c r="AD19031" s="16"/>
    </row>
    <row r="19032" spans="30:30" x14ac:dyDescent="0.3">
      <c r="AD19032" s="16"/>
    </row>
    <row r="19033" spans="30:30" x14ac:dyDescent="0.3">
      <c r="AD19033" s="16"/>
    </row>
    <row r="19034" spans="30:30" x14ac:dyDescent="0.3">
      <c r="AD19034" s="16"/>
    </row>
    <row r="19035" spans="30:30" x14ac:dyDescent="0.3">
      <c r="AD19035" s="16"/>
    </row>
    <row r="19036" spans="30:30" x14ac:dyDescent="0.3">
      <c r="AD19036" s="16"/>
    </row>
    <row r="19037" spans="30:30" x14ac:dyDescent="0.3">
      <c r="AD19037" s="16"/>
    </row>
    <row r="19038" spans="30:30" x14ac:dyDescent="0.3">
      <c r="AD19038" s="16"/>
    </row>
    <row r="19039" spans="30:30" x14ac:dyDescent="0.3">
      <c r="AD19039" s="16"/>
    </row>
    <row r="19040" spans="30:30" x14ac:dyDescent="0.3">
      <c r="AD19040" s="16"/>
    </row>
    <row r="19041" spans="30:30" x14ac:dyDescent="0.3">
      <c r="AD19041" s="16"/>
    </row>
    <row r="19042" spans="30:30" x14ac:dyDescent="0.3">
      <c r="AD19042" s="16"/>
    </row>
    <row r="19043" spans="30:30" x14ac:dyDescent="0.3">
      <c r="AD19043" s="16"/>
    </row>
    <row r="19044" spans="30:30" x14ac:dyDescent="0.3">
      <c r="AD19044" s="16"/>
    </row>
    <row r="19045" spans="30:30" x14ac:dyDescent="0.3">
      <c r="AD19045" s="16"/>
    </row>
    <row r="19046" spans="30:30" x14ac:dyDescent="0.3">
      <c r="AD19046" s="16"/>
    </row>
    <row r="19047" spans="30:30" x14ac:dyDescent="0.3">
      <c r="AD19047" s="16"/>
    </row>
    <row r="19048" spans="30:30" x14ac:dyDescent="0.3">
      <c r="AD19048" s="16"/>
    </row>
    <row r="19049" spans="30:30" x14ac:dyDescent="0.3">
      <c r="AD19049" s="16"/>
    </row>
    <row r="19050" spans="30:30" x14ac:dyDescent="0.3">
      <c r="AD19050" s="16"/>
    </row>
    <row r="19051" spans="30:30" x14ac:dyDescent="0.3">
      <c r="AD19051" s="16"/>
    </row>
    <row r="19052" spans="30:30" x14ac:dyDescent="0.3">
      <c r="AD19052" s="16"/>
    </row>
    <row r="19053" spans="30:30" x14ac:dyDescent="0.3">
      <c r="AD19053" s="16"/>
    </row>
    <row r="19054" spans="30:30" x14ac:dyDescent="0.3">
      <c r="AD19054" s="16"/>
    </row>
    <row r="19055" spans="30:30" x14ac:dyDescent="0.3">
      <c r="AD19055" s="16"/>
    </row>
    <row r="19056" spans="30:30" x14ac:dyDescent="0.3">
      <c r="AD19056" s="16"/>
    </row>
    <row r="19057" spans="30:30" x14ac:dyDescent="0.3">
      <c r="AD19057" s="16"/>
    </row>
    <row r="19058" spans="30:30" x14ac:dyDescent="0.3">
      <c r="AD19058" s="16"/>
    </row>
    <row r="19059" spans="30:30" x14ac:dyDescent="0.3">
      <c r="AD19059" s="16"/>
    </row>
    <row r="19060" spans="30:30" x14ac:dyDescent="0.3">
      <c r="AD19060" s="16"/>
    </row>
    <row r="19061" spans="30:30" x14ac:dyDescent="0.3">
      <c r="AD19061" s="16"/>
    </row>
    <row r="19062" spans="30:30" x14ac:dyDescent="0.3">
      <c r="AD19062" s="16"/>
    </row>
    <row r="19063" spans="30:30" x14ac:dyDescent="0.3">
      <c r="AD19063" s="16"/>
    </row>
    <row r="19064" spans="30:30" x14ac:dyDescent="0.3">
      <c r="AD19064" s="16"/>
    </row>
    <row r="19065" spans="30:30" x14ac:dyDescent="0.3">
      <c r="AD19065" s="16"/>
    </row>
    <row r="19066" spans="30:30" x14ac:dyDescent="0.3">
      <c r="AD19066" s="16"/>
    </row>
    <row r="19067" spans="30:30" x14ac:dyDescent="0.3">
      <c r="AD19067" s="16"/>
    </row>
    <row r="19068" spans="30:30" x14ac:dyDescent="0.3">
      <c r="AD19068" s="16"/>
    </row>
    <row r="19069" spans="30:30" x14ac:dyDescent="0.3">
      <c r="AD19069" s="16"/>
    </row>
    <row r="19070" spans="30:30" x14ac:dyDescent="0.3">
      <c r="AD19070" s="16"/>
    </row>
    <row r="19071" spans="30:30" x14ac:dyDescent="0.3">
      <c r="AD19071" s="16"/>
    </row>
    <row r="19072" spans="30:30" x14ac:dyDescent="0.3">
      <c r="AD19072" s="16"/>
    </row>
    <row r="19073" spans="30:30" x14ac:dyDescent="0.3">
      <c r="AD19073" s="16"/>
    </row>
    <row r="19074" spans="30:30" x14ac:dyDescent="0.3">
      <c r="AD19074" s="16"/>
    </row>
    <row r="19075" spans="30:30" x14ac:dyDescent="0.3">
      <c r="AD19075" s="16"/>
    </row>
    <row r="19076" spans="30:30" x14ac:dyDescent="0.3">
      <c r="AD19076" s="16"/>
    </row>
    <row r="19077" spans="30:30" x14ac:dyDescent="0.3">
      <c r="AD19077" s="16"/>
    </row>
    <row r="19078" spans="30:30" x14ac:dyDescent="0.3">
      <c r="AD19078" s="16"/>
    </row>
    <row r="19079" spans="30:30" x14ac:dyDescent="0.3">
      <c r="AD19079" s="16"/>
    </row>
    <row r="19080" spans="30:30" x14ac:dyDescent="0.3">
      <c r="AD19080" s="16"/>
    </row>
    <row r="19081" spans="30:30" x14ac:dyDescent="0.3">
      <c r="AD19081" s="16"/>
    </row>
    <row r="19082" spans="30:30" x14ac:dyDescent="0.3">
      <c r="AD19082" s="16"/>
    </row>
    <row r="19083" spans="30:30" x14ac:dyDescent="0.3">
      <c r="AD19083" s="16"/>
    </row>
    <row r="19084" spans="30:30" x14ac:dyDescent="0.3">
      <c r="AD19084" s="16"/>
    </row>
    <row r="19085" spans="30:30" x14ac:dyDescent="0.3">
      <c r="AD19085" s="16"/>
    </row>
    <row r="19086" spans="30:30" x14ac:dyDescent="0.3">
      <c r="AD19086" s="16"/>
    </row>
    <row r="19087" spans="30:30" x14ac:dyDescent="0.3">
      <c r="AD19087" s="16"/>
    </row>
    <row r="19088" spans="30:30" x14ac:dyDescent="0.3">
      <c r="AD19088" s="16"/>
    </row>
    <row r="19089" spans="30:30" x14ac:dyDescent="0.3">
      <c r="AD19089" s="16"/>
    </row>
    <row r="19090" spans="30:30" x14ac:dyDescent="0.3">
      <c r="AD19090" s="16"/>
    </row>
    <row r="19091" spans="30:30" x14ac:dyDescent="0.3">
      <c r="AD19091" s="16"/>
    </row>
    <row r="19092" spans="30:30" x14ac:dyDescent="0.3">
      <c r="AD19092" s="16"/>
    </row>
    <row r="19093" spans="30:30" x14ac:dyDescent="0.3">
      <c r="AD19093" s="16"/>
    </row>
    <row r="19094" spans="30:30" x14ac:dyDescent="0.3">
      <c r="AD19094" s="16"/>
    </row>
    <row r="19095" spans="30:30" x14ac:dyDescent="0.3">
      <c r="AD19095" s="16"/>
    </row>
    <row r="19096" spans="30:30" x14ac:dyDescent="0.3">
      <c r="AD19096" s="16"/>
    </row>
    <row r="19097" spans="30:30" x14ac:dyDescent="0.3">
      <c r="AD19097" s="16"/>
    </row>
    <row r="19098" spans="30:30" x14ac:dyDescent="0.3">
      <c r="AD19098" s="16"/>
    </row>
    <row r="19099" spans="30:30" x14ac:dyDescent="0.3">
      <c r="AD19099" s="16"/>
    </row>
    <row r="19100" spans="30:30" x14ac:dyDescent="0.3">
      <c r="AD19100" s="16"/>
    </row>
    <row r="19101" spans="30:30" x14ac:dyDescent="0.3">
      <c r="AD19101" s="16"/>
    </row>
    <row r="19102" spans="30:30" x14ac:dyDescent="0.3">
      <c r="AD19102" s="16"/>
    </row>
    <row r="19103" spans="30:30" x14ac:dyDescent="0.3">
      <c r="AD19103" s="16"/>
    </row>
    <row r="19104" spans="30:30" x14ac:dyDescent="0.3">
      <c r="AD19104" s="16"/>
    </row>
    <row r="19105" spans="30:30" x14ac:dyDescent="0.3">
      <c r="AD19105" s="16"/>
    </row>
    <row r="19106" spans="30:30" x14ac:dyDescent="0.3">
      <c r="AD19106" s="16"/>
    </row>
    <row r="19107" spans="30:30" x14ac:dyDescent="0.3">
      <c r="AD19107" s="16"/>
    </row>
    <row r="19108" spans="30:30" x14ac:dyDescent="0.3">
      <c r="AD19108" s="16"/>
    </row>
    <row r="19109" spans="30:30" x14ac:dyDescent="0.3">
      <c r="AD19109" s="16"/>
    </row>
    <row r="19110" spans="30:30" x14ac:dyDescent="0.3">
      <c r="AD19110" s="16"/>
    </row>
    <row r="19111" spans="30:30" x14ac:dyDescent="0.3">
      <c r="AD19111" s="16"/>
    </row>
    <row r="19112" spans="30:30" x14ac:dyDescent="0.3">
      <c r="AD19112" s="16"/>
    </row>
    <row r="19113" spans="30:30" x14ac:dyDescent="0.3">
      <c r="AD19113" s="16"/>
    </row>
    <row r="19114" spans="30:30" x14ac:dyDescent="0.3">
      <c r="AD19114" s="16"/>
    </row>
    <row r="19115" spans="30:30" x14ac:dyDescent="0.3">
      <c r="AD19115" s="16"/>
    </row>
    <row r="19116" spans="30:30" x14ac:dyDescent="0.3">
      <c r="AD19116" s="16"/>
    </row>
    <row r="19117" spans="30:30" x14ac:dyDescent="0.3">
      <c r="AD19117" s="16"/>
    </row>
    <row r="19118" spans="30:30" x14ac:dyDescent="0.3">
      <c r="AD19118" s="16"/>
    </row>
    <row r="19119" spans="30:30" x14ac:dyDescent="0.3">
      <c r="AD19119" s="16"/>
    </row>
    <row r="19120" spans="30:30" x14ac:dyDescent="0.3">
      <c r="AD19120" s="16"/>
    </row>
    <row r="19121" spans="30:30" x14ac:dyDescent="0.3">
      <c r="AD19121" s="16"/>
    </row>
    <row r="19122" spans="30:30" x14ac:dyDescent="0.3">
      <c r="AD19122" s="16"/>
    </row>
    <row r="19123" spans="30:30" x14ac:dyDescent="0.3">
      <c r="AD19123" s="16"/>
    </row>
    <row r="19124" spans="30:30" x14ac:dyDescent="0.3">
      <c r="AD19124" s="16"/>
    </row>
    <row r="19125" spans="30:30" x14ac:dyDescent="0.3">
      <c r="AD19125" s="16"/>
    </row>
    <row r="19126" spans="30:30" x14ac:dyDescent="0.3">
      <c r="AD19126" s="16"/>
    </row>
    <row r="19127" spans="30:30" x14ac:dyDescent="0.3">
      <c r="AD19127" s="16"/>
    </row>
    <row r="19128" spans="30:30" x14ac:dyDescent="0.3">
      <c r="AD19128" s="16"/>
    </row>
    <row r="19129" spans="30:30" x14ac:dyDescent="0.3">
      <c r="AD19129" s="16"/>
    </row>
    <row r="19130" spans="30:30" x14ac:dyDescent="0.3">
      <c r="AD19130" s="16"/>
    </row>
    <row r="19131" spans="30:30" x14ac:dyDescent="0.3">
      <c r="AD19131" s="16"/>
    </row>
    <row r="19132" spans="30:30" x14ac:dyDescent="0.3">
      <c r="AD19132" s="16"/>
    </row>
    <row r="19133" spans="30:30" x14ac:dyDescent="0.3">
      <c r="AD19133" s="16"/>
    </row>
    <row r="19134" spans="30:30" x14ac:dyDescent="0.3">
      <c r="AD19134" s="16"/>
    </row>
    <row r="19135" spans="30:30" x14ac:dyDescent="0.3">
      <c r="AD19135" s="16"/>
    </row>
    <row r="19136" spans="30:30" x14ac:dyDescent="0.3">
      <c r="AD19136" s="16"/>
    </row>
    <row r="19137" spans="30:30" x14ac:dyDescent="0.3">
      <c r="AD19137" s="16"/>
    </row>
    <row r="19138" spans="30:30" x14ac:dyDescent="0.3">
      <c r="AD19138" s="16"/>
    </row>
    <row r="19139" spans="30:30" x14ac:dyDescent="0.3">
      <c r="AD19139" s="16"/>
    </row>
    <row r="19140" spans="30:30" x14ac:dyDescent="0.3">
      <c r="AD19140" s="16"/>
    </row>
    <row r="19141" spans="30:30" x14ac:dyDescent="0.3">
      <c r="AD19141" s="16"/>
    </row>
    <row r="19142" spans="30:30" x14ac:dyDescent="0.3">
      <c r="AD19142" s="16"/>
    </row>
    <row r="19143" spans="30:30" x14ac:dyDescent="0.3">
      <c r="AD19143" s="16"/>
    </row>
    <row r="19144" spans="30:30" x14ac:dyDescent="0.3">
      <c r="AD19144" s="16"/>
    </row>
    <row r="19145" spans="30:30" x14ac:dyDescent="0.3">
      <c r="AD19145" s="16"/>
    </row>
    <row r="19146" spans="30:30" x14ac:dyDescent="0.3">
      <c r="AD19146" s="16"/>
    </row>
    <row r="19147" spans="30:30" x14ac:dyDescent="0.3">
      <c r="AD19147" s="16"/>
    </row>
    <row r="19148" spans="30:30" x14ac:dyDescent="0.3">
      <c r="AD19148" s="16"/>
    </row>
    <row r="19149" spans="30:30" x14ac:dyDescent="0.3">
      <c r="AD19149" s="16"/>
    </row>
    <row r="19150" spans="30:30" x14ac:dyDescent="0.3">
      <c r="AD19150" s="16"/>
    </row>
    <row r="19151" spans="30:30" x14ac:dyDescent="0.3">
      <c r="AD19151" s="16"/>
    </row>
    <row r="19152" spans="30:30" x14ac:dyDescent="0.3">
      <c r="AD19152" s="16"/>
    </row>
    <row r="19153" spans="30:30" x14ac:dyDescent="0.3">
      <c r="AD19153" s="16"/>
    </row>
    <row r="19154" spans="30:30" x14ac:dyDescent="0.3">
      <c r="AD19154" s="16"/>
    </row>
    <row r="19155" spans="30:30" x14ac:dyDescent="0.3">
      <c r="AD19155" s="16"/>
    </row>
    <row r="19156" spans="30:30" x14ac:dyDescent="0.3">
      <c r="AD19156" s="16"/>
    </row>
    <row r="19157" spans="30:30" x14ac:dyDescent="0.3">
      <c r="AD19157" s="16"/>
    </row>
    <row r="19158" spans="30:30" x14ac:dyDescent="0.3">
      <c r="AD19158" s="16"/>
    </row>
    <row r="19159" spans="30:30" x14ac:dyDescent="0.3">
      <c r="AD19159" s="16"/>
    </row>
    <row r="19160" spans="30:30" x14ac:dyDescent="0.3">
      <c r="AD19160" s="16"/>
    </row>
    <row r="19161" spans="30:30" x14ac:dyDescent="0.3">
      <c r="AD19161" s="16"/>
    </row>
    <row r="19162" spans="30:30" x14ac:dyDescent="0.3">
      <c r="AD19162" s="16"/>
    </row>
    <row r="19163" spans="30:30" x14ac:dyDescent="0.3">
      <c r="AD19163" s="16"/>
    </row>
    <row r="19164" spans="30:30" x14ac:dyDescent="0.3">
      <c r="AD19164" s="16"/>
    </row>
    <row r="19165" spans="30:30" x14ac:dyDescent="0.3">
      <c r="AD19165" s="16"/>
    </row>
    <row r="19166" spans="30:30" x14ac:dyDescent="0.3">
      <c r="AD19166" s="16"/>
    </row>
    <row r="19167" spans="30:30" x14ac:dyDescent="0.3">
      <c r="AD19167" s="16"/>
    </row>
    <row r="19168" spans="30:30" x14ac:dyDescent="0.3">
      <c r="AD19168" s="16"/>
    </row>
    <row r="19169" spans="30:30" x14ac:dyDescent="0.3">
      <c r="AD19169" s="16"/>
    </row>
    <row r="19170" spans="30:30" x14ac:dyDescent="0.3">
      <c r="AD19170" s="16"/>
    </row>
    <row r="19171" spans="30:30" x14ac:dyDescent="0.3">
      <c r="AD19171" s="16"/>
    </row>
    <row r="19172" spans="30:30" x14ac:dyDescent="0.3">
      <c r="AD19172" s="16"/>
    </row>
    <row r="19173" spans="30:30" x14ac:dyDescent="0.3">
      <c r="AD19173" s="16"/>
    </row>
    <row r="19174" spans="30:30" x14ac:dyDescent="0.3">
      <c r="AD19174" s="16"/>
    </row>
    <row r="19175" spans="30:30" x14ac:dyDescent="0.3">
      <c r="AD19175" s="16"/>
    </row>
    <row r="19176" spans="30:30" x14ac:dyDescent="0.3">
      <c r="AD19176" s="16"/>
    </row>
    <row r="19177" spans="30:30" x14ac:dyDescent="0.3">
      <c r="AD19177" s="16"/>
    </row>
    <row r="19178" spans="30:30" x14ac:dyDescent="0.3">
      <c r="AD19178" s="16"/>
    </row>
    <row r="19179" spans="30:30" x14ac:dyDescent="0.3">
      <c r="AD19179" s="16"/>
    </row>
    <row r="19180" spans="30:30" x14ac:dyDescent="0.3">
      <c r="AD19180" s="16"/>
    </row>
    <row r="19181" spans="30:30" x14ac:dyDescent="0.3">
      <c r="AD19181" s="16"/>
    </row>
    <row r="19182" spans="30:30" x14ac:dyDescent="0.3">
      <c r="AD19182" s="16"/>
    </row>
    <row r="19183" spans="30:30" x14ac:dyDescent="0.3">
      <c r="AD19183" s="16"/>
    </row>
    <row r="19184" spans="30:30" x14ac:dyDescent="0.3">
      <c r="AD19184" s="16"/>
    </row>
    <row r="19185" spans="30:30" x14ac:dyDescent="0.3">
      <c r="AD19185" s="16"/>
    </row>
    <row r="19186" spans="30:30" x14ac:dyDescent="0.3">
      <c r="AD19186" s="16"/>
    </row>
    <row r="19187" spans="30:30" x14ac:dyDescent="0.3">
      <c r="AD19187" s="16"/>
    </row>
    <row r="19188" spans="30:30" x14ac:dyDescent="0.3">
      <c r="AD19188" s="16"/>
    </row>
    <row r="19189" spans="30:30" x14ac:dyDescent="0.3">
      <c r="AD19189" s="16"/>
    </row>
    <row r="19190" spans="30:30" x14ac:dyDescent="0.3">
      <c r="AD19190" s="16"/>
    </row>
    <row r="19191" spans="30:30" x14ac:dyDescent="0.3">
      <c r="AD19191" s="16"/>
    </row>
    <row r="19192" spans="30:30" x14ac:dyDescent="0.3">
      <c r="AD19192" s="16"/>
    </row>
    <row r="19193" spans="30:30" x14ac:dyDescent="0.3">
      <c r="AD19193" s="16"/>
    </row>
    <row r="19194" spans="30:30" x14ac:dyDescent="0.3">
      <c r="AD19194" s="16"/>
    </row>
    <row r="19195" spans="30:30" x14ac:dyDescent="0.3">
      <c r="AD19195" s="16"/>
    </row>
    <row r="19196" spans="30:30" x14ac:dyDescent="0.3">
      <c r="AD19196" s="16"/>
    </row>
    <row r="19197" spans="30:30" x14ac:dyDescent="0.3">
      <c r="AD19197" s="16"/>
    </row>
    <row r="19198" spans="30:30" x14ac:dyDescent="0.3">
      <c r="AD19198" s="16"/>
    </row>
    <row r="19199" spans="30:30" x14ac:dyDescent="0.3">
      <c r="AD19199" s="16"/>
    </row>
    <row r="19200" spans="30:30" x14ac:dyDescent="0.3">
      <c r="AD19200" s="16"/>
    </row>
    <row r="19201" spans="30:30" x14ac:dyDescent="0.3">
      <c r="AD19201" s="16"/>
    </row>
    <row r="19202" spans="30:30" x14ac:dyDescent="0.3">
      <c r="AD19202" s="16"/>
    </row>
    <row r="19203" spans="30:30" x14ac:dyDescent="0.3">
      <c r="AD19203" s="16"/>
    </row>
    <row r="19204" spans="30:30" x14ac:dyDescent="0.3">
      <c r="AD19204" s="16"/>
    </row>
    <row r="19205" spans="30:30" x14ac:dyDescent="0.3">
      <c r="AD19205" s="16"/>
    </row>
    <row r="19206" spans="30:30" x14ac:dyDescent="0.3">
      <c r="AD19206" s="16"/>
    </row>
    <row r="19207" spans="30:30" x14ac:dyDescent="0.3">
      <c r="AD19207" s="16"/>
    </row>
    <row r="19208" spans="30:30" x14ac:dyDescent="0.3">
      <c r="AD19208" s="16"/>
    </row>
    <row r="19209" spans="30:30" x14ac:dyDescent="0.3">
      <c r="AD19209" s="16"/>
    </row>
    <row r="19210" spans="30:30" x14ac:dyDescent="0.3">
      <c r="AD19210" s="16"/>
    </row>
    <row r="19211" spans="30:30" x14ac:dyDescent="0.3">
      <c r="AD19211" s="16"/>
    </row>
    <row r="19212" spans="30:30" x14ac:dyDescent="0.3">
      <c r="AD19212" s="16"/>
    </row>
    <row r="19213" spans="30:30" x14ac:dyDescent="0.3">
      <c r="AD19213" s="16"/>
    </row>
    <row r="19214" spans="30:30" x14ac:dyDescent="0.3">
      <c r="AD19214" s="16"/>
    </row>
    <row r="19215" spans="30:30" x14ac:dyDescent="0.3">
      <c r="AD19215" s="16"/>
    </row>
    <row r="19216" spans="30:30" x14ac:dyDescent="0.3">
      <c r="AD19216" s="16"/>
    </row>
    <row r="19217" spans="30:30" x14ac:dyDescent="0.3">
      <c r="AD19217" s="16"/>
    </row>
    <row r="19218" spans="30:30" x14ac:dyDescent="0.3">
      <c r="AD19218" s="16"/>
    </row>
    <row r="19219" spans="30:30" x14ac:dyDescent="0.3">
      <c r="AD19219" s="16"/>
    </row>
    <row r="19220" spans="30:30" x14ac:dyDescent="0.3">
      <c r="AD19220" s="16"/>
    </row>
    <row r="19221" spans="30:30" x14ac:dyDescent="0.3">
      <c r="AD19221" s="16"/>
    </row>
    <row r="19222" spans="30:30" x14ac:dyDescent="0.3">
      <c r="AD19222" s="16"/>
    </row>
    <row r="19223" spans="30:30" x14ac:dyDescent="0.3">
      <c r="AD19223" s="16"/>
    </row>
    <row r="19224" spans="30:30" x14ac:dyDescent="0.3">
      <c r="AD19224" s="16"/>
    </row>
    <row r="19225" spans="30:30" x14ac:dyDescent="0.3">
      <c r="AD19225" s="16"/>
    </row>
    <row r="19226" spans="30:30" x14ac:dyDescent="0.3">
      <c r="AD19226" s="16"/>
    </row>
    <row r="19227" spans="30:30" x14ac:dyDescent="0.3">
      <c r="AD19227" s="16"/>
    </row>
    <row r="19228" spans="30:30" x14ac:dyDescent="0.3">
      <c r="AD19228" s="16"/>
    </row>
    <row r="19229" spans="30:30" x14ac:dyDescent="0.3">
      <c r="AD19229" s="16"/>
    </row>
    <row r="19230" spans="30:30" x14ac:dyDescent="0.3">
      <c r="AD19230" s="16"/>
    </row>
    <row r="19231" spans="30:30" x14ac:dyDescent="0.3">
      <c r="AD19231" s="16"/>
    </row>
    <row r="19232" spans="30:30" x14ac:dyDescent="0.3">
      <c r="AD19232" s="16"/>
    </row>
    <row r="19233" spans="30:30" x14ac:dyDescent="0.3">
      <c r="AD19233" s="16"/>
    </row>
    <row r="19234" spans="30:30" x14ac:dyDescent="0.3">
      <c r="AD19234" s="16"/>
    </row>
    <row r="19235" spans="30:30" x14ac:dyDescent="0.3">
      <c r="AD19235" s="16"/>
    </row>
    <row r="19236" spans="30:30" x14ac:dyDescent="0.3">
      <c r="AD19236" s="16"/>
    </row>
    <row r="19237" spans="30:30" x14ac:dyDescent="0.3">
      <c r="AD19237" s="16"/>
    </row>
    <row r="19238" spans="30:30" x14ac:dyDescent="0.3">
      <c r="AD19238" s="16"/>
    </row>
    <row r="19239" spans="30:30" x14ac:dyDescent="0.3">
      <c r="AD19239" s="16"/>
    </row>
    <row r="19240" spans="30:30" x14ac:dyDescent="0.3">
      <c r="AD19240" s="16"/>
    </row>
    <row r="19241" spans="30:30" x14ac:dyDescent="0.3">
      <c r="AD19241" s="16"/>
    </row>
    <row r="19242" spans="30:30" x14ac:dyDescent="0.3">
      <c r="AD19242" s="16"/>
    </row>
    <row r="19243" spans="30:30" x14ac:dyDescent="0.3">
      <c r="AD19243" s="16"/>
    </row>
    <row r="19244" spans="30:30" x14ac:dyDescent="0.3">
      <c r="AD19244" s="16"/>
    </row>
    <row r="19245" spans="30:30" x14ac:dyDescent="0.3">
      <c r="AD19245" s="16"/>
    </row>
    <row r="19246" spans="30:30" x14ac:dyDescent="0.3">
      <c r="AD19246" s="16"/>
    </row>
    <row r="19247" spans="30:30" x14ac:dyDescent="0.3">
      <c r="AD19247" s="16"/>
    </row>
    <row r="19248" spans="30:30" x14ac:dyDescent="0.3">
      <c r="AD19248" s="16"/>
    </row>
    <row r="19249" spans="30:30" x14ac:dyDescent="0.3">
      <c r="AD19249" s="16"/>
    </row>
    <row r="19250" spans="30:30" x14ac:dyDescent="0.3">
      <c r="AD19250" s="16"/>
    </row>
    <row r="19251" spans="30:30" x14ac:dyDescent="0.3">
      <c r="AD19251" s="16"/>
    </row>
    <row r="19252" spans="30:30" x14ac:dyDescent="0.3">
      <c r="AD19252" s="16"/>
    </row>
    <row r="19253" spans="30:30" x14ac:dyDescent="0.3">
      <c r="AD19253" s="16"/>
    </row>
    <row r="19254" spans="30:30" x14ac:dyDescent="0.3">
      <c r="AD19254" s="16"/>
    </row>
    <row r="19255" spans="30:30" x14ac:dyDescent="0.3">
      <c r="AD19255" s="16"/>
    </row>
    <row r="19256" spans="30:30" x14ac:dyDescent="0.3">
      <c r="AD19256" s="16"/>
    </row>
    <row r="19257" spans="30:30" x14ac:dyDescent="0.3">
      <c r="AD19257" s="16"/>
    </row>
    <row r="19258" spans="30:30" x14ac:dyDescent="0.3">
      <c r="AD19258" s="16"/>
    </row>
    <row r="19259" spans="30:30" x14ac:dyDescent="0.3">
      <c r="AD19259" s="16"/>
    </row>
    <row r="19260" spans="30:30" x14ac:dyDescent="0.3">
      <c r="AD19260" s="16"/>
    </row>
    <row r="19261" spans="30:30" x14ac:dyDescent="0.3">
      <c r="AD19261" s="16"/>
    </row>
    <row r="19262" spans="30:30" x14ac:dyDescent="0.3">
      <c r="AD19262" s="16"/>
    </row>
    <row r="19263" spans="30:30" x14ac:dyDescent="0.3">
      <c r="AD19263" s="16"/>
    </row>
    <row r="19264" spans="30:30" x14ac:dyDescent="0.3">
      <c r="AD19264" s="16"/>
    </row>
    <row r="19265" spans="30:30" x14ac:dyDescent="0.3">
      <c r="AD19265" s="16"/>
    </row>
    <row r="19266" spans="30:30" x14ac:dyDescent="0.3">
      <c r="AD19266" s="16"/>
    </row>
    <row r="19267" spans="30:30" x14ac:dyDescent="0.3">
      <c r="AD19267" s="16"/>
    </row>
    <row r="19268" spans="30:30" x14ac:dyDescent="0.3">
      <c r="AD19268" s="16"/>
    </row>
    <row r="19269" spans="30:30" x14ac:dyDescent="0.3">
      <c r="AD19269" s="16"/>
    </row>
    <row r="19270" spans="30:30" x14ac:dyDescent="0.3">
      <c r="AD19270" s="16"/>
    </row>
    <row r="19271" spans="30:30" x14ac:dyDescent="0.3">
      <c r="AD19271" s="16"/>
    </row>
    <row r="19272" spans="30:30" x14ac:dyDescent="0.3">
      <c r="AD19272" s="16"/>
    </row>
    <row r="19273" spans="30:30" x14ac:dyDescent="0.3">
      <c r="AD19273" s="16"/>
    </row>
    <row r="19274" spans="30:30" x14ac:dyDescent="0.3">
      <c r="AD19274" s="16"/>
    </row>
    <row r="19275" spans="30:30" x14ac:dyDescent="0.3">
      <c r="AD19275" s="16"/>
    </row>
    <row r="19276" spans="30:30" x14ac:dyDescent="0.3">
      <c r="AD19276" s="16"/>
    </row>
    <row r="19277" spans="30:30" x14ac:dyDescent="0.3">
      <c r="AD19277" s="16"/>
    </row>
    <row r="19278" spans="30:30" x14ac:dyDescent="0.3">
      <c r="AD19278" s="16"/>
    </row>
    <row r="19279" spans="30:30" x14ac:dyDescent="0.3">
      <c r="AD19279" s="16"/>
    </row>
    <row r="19280" spans="30:30" x14ac:dyDescent="0.3">
      <c r="AD19280" s="16"/>
    </row>
    <row r="19281" spans="30:30" x14ac:dyDescent="0.3">
      <c r="AD19281" s="16"/>
    </row>
    <row r="19282" spans="30:30" x14ac:dyDescent="0.3">
      <c r="AD19282" s="16"/>
    </row>
    <row r="19283" spans="30:30" x14ac:dyDescent="0.3">
      <c r="AD19283" s="16"/>
    </row>
    <row r="19284" spans="30:30" x14ac:dyDescent="0.3">
      <c r="AD19284" s="16"/>
    </row>
    <row r="19285" spans="30:30" x14ac:dyDescent="0.3">
      <c r="AD19285" s="16"/>
    </row>
    <row r="19286" spans="30:30" x14ac:dyDescent="0.3">
      <c r="AD19286" s="16"/>
    </row>
    <row r="19287" spans="30:30" x14ac:dyDescent="0.3">
      <c r="AD19287" s="16"/>
    </row>
    <row r="19288" spans="30:30" x14ac:dyDescent="0.3">
      <c r="AD19288" s="16"/>
    </row>
    <row r="19289" spans="30:30" x14ac:dyDescent="0.3">
      <c r="AD19289" s="16"/>
    </row>
    <row r="19290" spans="30:30" x14ac:dyDescent="0.3">
      <c r="AD19290" s="16"/>
    </row>
    <row r="19291" spans="30:30" x14ac:dyDescent="0.3">
      <c r="AD19291" s="16"/>
    </row>
    <row r="19292" spans="30:30" x14ac:dyDescent="0.3">
      <c r="AD19292" s="16"/>
    </row>
    <row r="19293" spans="30:30" x14ac:dyDescent="0.3">
      <c r="AD19293" s="16"/>
    </row>
    <row r="19294" spans="30:30" x14ac:dyDescent="0.3">
      <c r="AD19294" s="16"/>
    </row>
    <row r="19295" spans="30:30" x14ac:dyDescent="0.3">
      <c r="AD19295" s="16"/>
    </row>
    <row r="19296" spans="30:30" x14ac:dyDescent="0.3">
      <c r="AD19296" s="16"/>
    </row>
    <row r="19297" spans="30:30" x14ac:dyDescent="0.3">
      <c r="AD19297" s="16"/>
    </row>
    <row r="19298" spans="30:30" x14ac:dyDescent="0.3">
      <c r="AD19298" s="16"/>
    </row>
    <row r="19299" spans="30:30" x14ac:dyDescent="0.3">
      <c r="AD19299" s="16"/>
    </row>
    <row r="19300" spans="30:30" x14ac:dyDescent="0.3">
      <c r="AD19300" s="16"/>
    </row>
    <row r="19301" spans="30:30" x14ac:dyDescent="0.3">
      <c r="AD19301" s="16"/>
    </row>
    <row r="19302" spans="30:30" x14ac:dyDescent="0.3">
      <c r="AD19302" s="16"/>
    </row>
    <row r="19303" spans="30:30" x14ac:dyDescent="0.3">
      <c r="AD19303" s="16"/>
    </row>
    <row r="19304" spans="30:30" x14ac:dyDescent="0.3">
      <c r="AD19304" s="16"/>
    </row>
    <row r="19305" spans="30:30" x14ac:dyDescent="0.3">
      <c r="AD19305" s="16"/>
    </row>
    <row r="19306" spans="30:30" x14ac:dyDescent="0.3">
      <c r="AD19306" s="16"/>
    </row>
    <row r="19307" spans="30:30" x14ac:dyDescent="0.3">
      <c r="AD19307" s="16"/>
    </row>
    <row r="19308" spans="30:30" x14ac:dyDescent="0.3">
      <c r="AD19308" s="16"/>
    </row>
    <row r="19309" spans="30:30" x14ac:dyDescent="0.3">
      <c r="AD19309" s="16"/>
    </row>
    <row r="19310" spans="30:30" x14ac:dyDescent="0.3">
      <c r="AD19310" s="16"/>
    </row>
    <row r="19311" spans="30:30" x14ac:dyDescent="0.3">
      <c r="AD19311" s="16"/>
    </row>
    <row r="19312" spans="30:30" x14ac:dyDescent="0.3">
      <c r="AD19312" s="16"/>
    </row>
    <row r="19313" spans="30:30" x14ac:dyDescent="0.3">
      <c r="AD19313" s="16"/>
    </row>
    <row r="19314" spans="30:30" x14ac:dyDescent="0.3">
      <c r="AD19314" s="16"/>
    </row>
    <row r="19315" spans="30:30" x14ac:dyDescent="0.3">
      <c r="AD19315" s="16"/>
    </row>
    <row r="19316" spans="30:30" x14ac:dyDescent="0.3">
      <c r="AD19316" s="16"/>
    </row>
    <row r="19317" spans="30:30" x14ac:dyDescent="0.3">
      <c r="AD19317" s="16"/>
    </row>
    <row r="19318" spans="30:30" x14ac:dyDescent="0.3">
      <c r="AD19318" s="16"/>
    </row>
    <row r="19319" spans="30:30" x14ac:dyDescent="0.3">
      <c r="AD19319" s="16"/>
    </row>
    <row r="19320" spans="30:30" x14ac:dyDescent="0.3">
      <c r="AD19320" s="16"/>
    </row>
    <row r="19321" spans="30:30" x14ac:dyDescent="0.3">
      <c r="AD19321" s="16"/>
    </row>
    <row r="19322" spans="30:30" x14ac:dyDescent="0.3">
      <c r="AD19322" s="16"/>
    </row>
    <row r="19323" spans="30:30" x14ac:dyDescent="0.3">
      <c r="AD19323" s="16"/>
    </row>
    <row r="19324" spans="30:30" x14ac:dyDescent="0.3">
      <c r="AD19324" s="16"/>
    </row>
    <row r="19325" spans="30:30" x14ac:dyDescent="0.3">
      <c r="AD19325" s="16"/>
    </row>
    <row r="19326" spans="30:30" x14ac:dyDescent="0.3">
      <c r="AD19326" s="16"/>
    </row>
    <row r="19327" spans="30:30" x14ac:dyDescent="0.3">
      <c r="AD19327" s="16"/>
    </row>
    <row r="19328" spans="30:30" x14ac:dyDescent="0.3">
      <c r="AD19328" s="16"/>
    </row>
    <row r="19329" spans="30:30" x14ac:dyDescent="0.3">
      <c r="AD19329" s="16"/>
    </row>
    <row r="19330" spans="30:30" x14ac:dyDescent="0.3">
      <c r="AD19330" s="16"/>
    </row>
    <row r="19331" spans="30:30" x14ac:dyDescent="0.3">
      <c r="AD19331" s="16"/>
    </row>
    <row r="19332" spans="30:30" x14ac:dyDescent="0.3">
      <c r="AD19332" s="16"/>
    </row>
    <row r="19333" spans="30:30" x14ac:dyDescent="0.3">
      <c r="AD19333" s="16"/>
    </row>
    <row r="19334" spans="30:30" x14ac:dyDescent="0.3">
      <c r="AD19334" s="16"/>
    </row>
    <row r="19335" spans="30:30" x14ac:dyDescent="0.3">
      <c r="AD19335" s="16"/>
    </row>
    <row r="19336" spans="30:30" x14ac:dyDescent="0.3">
      <c r="AD19336" s="16"/>
    </row>
    <row r="19337" spans="30:30" x14ac:dyDescent="0.3">
      <c r="AD19337" s="16"/>
    </row>
    <row r="19338" spans="30:30" x14ac:dyDescent="0.3">
      <c r="AD19338" s="16"/>
    </row>
    <row r="19339" spans="30:30" x14ac:dyDescent="0.3">
      <c r="AD19339" s="16"/>
    </row>
    <row r="19340" spans="30:30" x14ac:dyDescent="0.3">
      <c r="AD19340" s="16"/>
    </row>
    <row r="19341" spans="30:30" x14ac:dyDescent="0.3">
      <c r="AD19341" s="16"/>
    </row>
    <row r="19342" spans="30:30" x14ac:dyDescent="0.3">
      <c r="AD19342" s="16"/>
    </row>
    <row r="19343" spans="30:30" x14ac:dyDescent="0.3">
      <c r="AD19343" s="16"/>
    </row>
    <row r="19344" spans="30:30" x14ac:dyDescent="0.3">
      <c r="AD19344" s="16"/>
    </row>
    <row r="19345" spans="30:30" x14ac:dyDescent="0.3">
      <c r="AD19345" s="16"/>
    </row>
    <row r="19346" spans="30:30" x14ac:dyDescent="0.3">
      <c r="AD19346" s="16"/>
    </row>
    <row r="19347" spans="30:30" x14ac:dyDescent="0.3">
      <c r="AD19347" s="16"/>
    </row>
    <row r="19348" spans="30:30" x14ac:dyDescent="0.3">
      <c r="AD19348" s="16"/>
    </row>
    <row r="19349" spans="30:30" x14ac:dyDescent="0.3">
      <c r="AD19349" s="16"/>
    </row>
    <row r="19350" spans="30:30" x14ac:dyDescent="0.3">
      <c r="AD19350" s="16"/>
    </row>
    <row r="19351" spans="30:30" x14ac:dyDescent="0.3">
      <c r="AD19351" s="16"/>
    </row>
    <row r="19352" spans="30:30" x14ac:dyDescent="0.3">
      <c r="AD19352" s="16"/>
    </row>
    <row r="19353" spans="30:30" x14ac:dyDescent="0.3">
      <c r="AD19353" s="16"/>
    </row>
    <row r="19354" spans="30:30" x14ac:dyDescent="0.3">
      <c r="AD19354" s="16"/>
    </row>
    <row r="19355" spans="30:30" x14ac:dyDescent="0.3">
      <c r="AD19355" s="16"/>
    </row>
    <row r="19356" spans="30:30" x14ac:dyDescent="0.3">
      <c r="AD19356" s="16"/>
    </row>
    <row r="19357" spans="30:30" x14ac:dyDescent="0.3">
      <c r="AD19357" s="16"/>
    </row>
    <row r="19358" spans="30:30" x14ac:dyDescent="0.3">
      <c r="AD19358" s="16"/>
    </row>
    <row r="19359" spans="30:30" x14ac:dyDescent="0.3">
      <c r="AD19359" s="16"/>
    </row>
    <row r="19360" spans="30:30" x14ac:dyDescent="0.3">
      <c r="AD19360" s="16"/>
    </row>
    <row r="19361" spans="30:30" x14ac:dyDescent="0.3">
      <c r="AD19361" s="16"/>
    </row>
    <row r="19362" spans="30:30" x14ac:dyDescent="0.3">
      <c r="AD19362" s="16"/>
    </row>
    <row r="19363" spans="30:30" x14ac:dyDescent="0.3">
      <c r="AD19363" s="16"/>
    </row>
    <row r="19364" spans="30:30" x14ac:dyDescent="0.3">
      <c r="AD19364" s="16"/>
    </row>
    <row r="19365" spans="30:30" x14ac:dyDescent="0.3">
      <c r="AD19365" s="16"/>
    </row>
    <row r="19366" spans="30:30" x14ac:dyDescent="0.3">
      <c r="AD19366" s="16"/>
    </row>
    <row r="19367" spans="30:30" x14ac:dyDescent="0.3">
      <c r="AD19367" s="16"/>
    </row>
    <row r="19368" spans="30:30" x14ac:dyDescent="0.3">
      <c r="AD19368" s="16"/>
    </row>
    <row r="19369" spans="30:30" x14ac:dyDescent="0.3">
      <c r="AD19369" s="16"/>
    </row>
    <row r="19370" spans="30:30" x14ac:dyDescent="0.3">
      <c r="AD19370" s="16"/>
    </row>
    <row r="19371" spans="30:30" x14ac:dyDescent="0.3">
      <c r="AD19371" s="16"/>
    </row>
    <row r="19372" spans="30:30" x14ac:dyDescent="0.3">
      <c r="AD19372" s="16"/>
    </row>
    <row r="19373" spans="30:30" x14ac:dyDescent="0.3">
      <c r="AD19373" s="16"/>
    </row>
    <row r="19374" spans="30:30" x14ac:dyDescent="0.3">
      <c r="AD19374" s="16"/>
    </row>
    <row r="19375" spans="30:30" x14ac:dyDescent="0.3">
      <c r="AD19375" s="16"/>
    </row>
    <row r="19376" spans="30:30" x14ac:dyDescent="0.3">
      <c r="AD19376" s="16"/>
    </row>
    <row r="19377" spans="30:30" x14ac:dyDescent="0.3">
      <c r="AD19377" s="16"/>
    </row>
    <row r="19378" spans="30:30" x14ac:dyDescent="0.3">
      <c r="AD19378" s="16"/>
    </row>
    <row r="19379" spans="30:30" x14ac:dyDescent="0.3">
      <c r="AD19379" s="16"/>
    </row>
    <row r="19380" spans="30:30" x14ac:dyDescent="0.3">
      <c r="AD19380" s="16"/>
    </row>
    <row r="19381" spans="30:30" x14ac:dyDescent="0.3">
      <c r="AD19381" s="16"/>
    </row>
    <row r="19382" spans="30:30" x14ac:dyDescent="0.3">
      <c r="AD19382" s="16"/>
    </row>
    <row r="19383" spans="30:30" x14ac:dyDescent="0.3">
      <c r="AD19383" s="16"/>
    </row>
    <row r="19384" spans="30:30" x14ac:dyDescent="0.3">
      <c r="AD19384" s="16"/>
    </row>
    <row r="19385" spans="30:30" x14ac:dyDescent="0.3">
      <c r="AD19385" s="16"/>
    </row>
    <row r="19386" spans="30:30" x14ac:dyDescent="0.3">
      <c r="AD19386" s="16"/>
    </row>
    <row r="19387" spans="30:30" x14ac:dyDescent="0.3">
      <c r="AD19387" s="16"/>
    </row>
    <row r="19388" spans="30:30" x14ac:dyDescent="0.3">
      <c r="AD19388" s="16"/>
    </row>
    <row r="19389" spans="30:30" x14ac:dyDescent="0.3">
      <c r="AD19389" s="16"/>
    </row>
    <row r="19390" spans="30:30" x14ac:dyDescent="0.3">
      <c r="AD19390" s="16"/>
    </row>
    <row r="19391" spans="30:30" x14ac:dyDescent="0.3">
      <c r="AD19391" s="16"/>
    </row>
    <row r="19392" spans="30:30" x14ac:dyDescent="0.3">
      <c r="AD19392" s="16"/>
    </row>
    <row r="19393" spans="30:30" x14ac:dyDescent="0.3">
      <c r="AD19393" s="16"/>
    </row>
    <row r="19394" spans="30:30" x14ac:dyDescent="0.3">
      <c r="AD19394" s="16"/>
    </row>
    <row r="19395" spans="30:30" x14ac:dyDescent="0.3">
      <c r="AD19395" s="16"/>
    </row>
    <row r="19396" spans="30:30" x14ac:dyDescent="0.3">
      <c r="AD19396" s="16"/>
    </row>
    <row r="19397" spans="30:30" x14ac:dyDescent="0.3">
      <c r="AD19397" s="16"/>
    </row>
    <row r="19398" spans="30:30" x14ac:dyDescent="0.3">
      <c r="AD19398" s="16"/>
    </row>
    <row r="19399" spans="30:30" x14ac:dyDescent="0.3">
      <c r="AD19399" s="16"/>
    </row>
    <row r="19400" spans="30:30" x14ac:dyDescent="0.3">
      <c r="AD19400" s="16"/>
    </row>
    <row r="19401" spans="30:30" x14ac:dyDescent="0.3">
      <c r="AD19401" s="16"/>
    </row>
    <row r="19402" spans="30:30" x14ac:dyDescent="0.3">
      <c r="AD19402" s="16"/>
    </row>
    <row r="19403" spans="30:30" x14ac:dyDescent="0.3">
      <c r="AD19403" s="16"/>
    </row>
    <row r="19404" spans="30:30" x14ac:dyDescent="0.3">
      <c r="AD19404" s="16"/>
    </row>
    <row r="19405" spans="30:30" x14ac:dyDescent="0.3">
      <c r="AD19405" s="16"/>
    </row>
    <row r="19406" spans="30:30" x14ac:dyDescent="0.3">
      <c r="AD19406" s="16"/>
    </row>
    <row r="19407" spans="30:30" x14ac:dyDescent="0.3">
      <c r="AD19407" s="16"/>
    </row>
    <row r="19408" spans="30:30" x14ac:dyDescent="0.3">
      <c r="AD19408" s="16"/>
    </row>
    <row r="19409" spans="30:30" x14ac:dyDescent="0.3">
      <c r="AD19409" s="16"/>
    </row>
    <row r="19410" spans="30:30" x14ac:dyDescent="0.3">
      <c r="AD19410" s="16"/>
    </row>
    <row r="19411" spans="30:30" x14ac:dyDescent="0.3">
      <c r="AD19411" s="16"/>
    </row>
    <row r="19412" spans="30:30" x14ac:dyDescent="0.3">
      <c r="AD19412" s="16"/>
    </row>
    <row r="19413" spans="30:30" x14ac:dyDescent="0.3">
      <c r="AD19413" s="16"/>
    </row>
    <row r="19414" spans="30:30" x14ac:dyDescent="0.3">
      <c r="AD19414" s="16"/>
    </row>
    <row r="19415" spans="30:30" x14ac:dyDescent="0.3">
      <c r="AD19415" s="16"/>
    </row>
    <row r="19416" spans="30:30" x14ac:dyDescent="0.3">
      <c r="AD19416" s="16"/>
    </row>
    <row r="19417" spans="30:30" x14ac:dyDescent="0.3">
      <c r="AD19417" s="16"/>
    </row>
    <row r="19418" spans="30:30" x14ac:dyDescent="0.3">
      <c r="AD19418" s="16"/>
    </row>
    <row r="19419" spans="30:30" x14ac:dyDescent="0.3">
      <c r="AD19419" s="16"/>
    </row>
    <row r="19420" spans="30:30" x14ac:dyDescent="0.3">
      <c r="AD19420" s="16"/>
    </row>
    <row r="19421" spans="30:30" x14ac:dyDescent="0.3">
      <c r="AD19421" s="16"/>
    </row>
    <row r="19422" spans="30:30" x14ac:dyDescent="0.3">
      <c r="AD19422" s="16"/>
    </row>
    <row r="19423" spans="30:30" x14ac:dyDescent="0.3">
      <c r="AD19423" s="16"/>
    </row>
    <row r="19424" spans="30:30" x14ac:dyDescent="0.3">
      <c r="AD19424" s="16"/>
    </row>
    <row r="19425" spans="30:30" x14ac:dyDescent="0.3">
      <c r="AD19425" s="16"/>
    </row>
    <row r="19426" spans="30:30" x14ac:dyDescent="0.3">
      <c r="AD19426" s="16"/>
    </row>
    <row r="19427" spans="30:30" x14ac:dyDescent="0.3">
      <c r="AD19427" s="16"/>
    </row>
    <row r="19428" spans="30:30" x14ac:dyDescent="0.3">
      <c r="AD19428" s="16"/>
    </row>
    <row r="19429" spans="30:30" x14ac:dyDescent="0.3">
      <c r="AD19429" s="16"/>
    </row>
    <row r="19430" spans="30:30" x14ac:dyDescent="0.3">
      <c r="AD19430" s="16"/>
    </row>
    <row r="19431" spans="30:30" x14ac:dyDescent="0.3">
      <c r="AD19431" s="16"/>
    </row>
    <row r="19432" spans="30:30" x14ac:dyDescent="0.3">
      <c r="AD19432" s="16"/>
    </row>
    <row r="19433" spans="30:30" x14ac:dyDescent="0.3">
      <c r="AD19433" s="16"/>
    </row>
    <row r="19434" spans="30:30" x14ac:dyDescent="0.3">
      <c r="AD19434" s="16"/>
    </row>
    <row r="19435" spans="30:30" x14ac:dyDescent="0.3">
      <c r="AD19435" s="16"/>
    </row>
    <row r="19436" spans="30:30" x14ac:dyDescent="0.3">
      <c r="AD19436" s="16"/>
    </row>
    <row r="19437" spans="30:30" x14ac:dyDescent="0.3">
      <c r="AD19437" s="16"/>
    </row>
    <row r="19438" spans="30:30" x14ac:dyDescent="0.3">
      <c r="AD19438" s="16"/>
    </row>
    <row r="19439" spans="30:30" x14ac:dyDescent="0.3">
      <c r="AD19439" s="16"/>
    </row>
    <row r="19440" spans="30:30" x14ac:dyDescent="0.3">
      <c r="AD19440" s="16"/>
    </row>
    <row r="19441" spans="30:30" x14ac:dyDescent="0.3">
      <c r="AD19441" s="16"/>
    </row>
    <row r="19442" spans="30:30" x14ac:dyDescent="0.3">
      <c r="AD19442" s="16"/>
    </row>
    <row r="19443" spans="30:30" x14ac:dyDescent="0.3">
      <c r="AD19443" s="16"/>
    </row>
    <row r="19444" spans="30:30" x14ac:dyDescent="0.3">
      <c r="AD19444" s="16"/>
    </row>
    <row r="19445" spans="30:30" x14ac:dyDescent="0.3">
      <c r="AD19445" s="16"/>
    </row>
    <row r="19446" spans="30:30" x14ac:dyDescent="0.3">
      <c r="AD19446" s="16"/>
    </row>
    <row r="19447" spans="30:30" x14ac:dyDescent="0.3">
      <c r="AD19447" s="16"/>
    </row>
    <row r="19448" spans="30:30" x14ac:dyDescent="0.3">
      <c r="AD19448" s="16"/>
    </row>
    <row r="19449" spans="30:30" x14ac:dyDescent="0.3">
      <c r="AD19449" s="16"/>
    </row>
    <row r="19450" spans="30:30" x14ac:dyDescent="0.3">
      <c r="AD19450" s="16"/>
    </row>
    <row r="19451" spans="30:30" x14ac:dyDescent="0.3">
      <c r="AD19451" s="16"/>
    </row>
    <row r="19452" spans="30:30" x14ac:dyDescent="0.3">
      <c r="AD19452" s="16"/>
    </row>
    <row r="19453" spans="30:30" x14ac:dyDescent="0.3">
      <c r="AD19453" s="16"/>
    </row>
    <row r="19454" spans="30:30" x14ac:dyDescent="0.3">
      <c r="AD19454" s="16"/>
    </row>
    <row r="19455" spans="30:30" x14ac:dyDescent="0.3">
      <c r="AD19455" s="16"/>
    </row>
    <row r="19456" spans="30:30" x14ac:dyDescent="0.3">
      <c r="AD19456" s="16"/>
    </row>
    <row r="19457" spans="30:30" x14ac:dyDescent="0.3">
      <c r="AD19457" s="16"/>
    </row>
    <row r="19458" spans="30:30" x14ac:dyDescent="0.3">
      <c r="AD19458" s="16"/>
    </row>
    <row r="19459" spans="30:30" x14ac:dyDescent="0.3">
      <c r="AD19459" s="16"/>
    </row>
    <row r="19460" spans="30:30" x14ac:dyDescent="0.3">
      <c r="AD19460" s="16"/>
    </row>
    <row r="19461" spans="30:30" x14ac:dyDescent="0.3">
      <c r="AD19461" s="16"/>
    </row>
    <row r="19462" spans="30:30" x14ac:dyDescent="0.3">
      <c r="AD19462" s="16"/>
    </row>
    <row r="19463" spans="30:30" x14ac:dyDescent="0.3">
      <c r="AD19463" s="16"/>
    </row>
    <row r="19464" spans="30:30" x14ac:dyDescent="0.3">
      <c r="AD19464" s="16"/>
    </row>
    <row r="19465" spans="30:30" x14ac:dyDescent="0.3">
      <c r="AD19465" s="16"/>
    </row>
    <row r="19466" spans="30:30" x14ac:dyDescent="0.3">
      <c r="AD19466" s="16"/>
    </row>
    <row r="19467" spans="30:30" x14ac:dyDescent="0.3">
      <c r="AD19467" s="16"/>
    </row>
    <row r="19468" spans="30:30" x14ac:dyDescent="0.3">
      <c r="AD19468" s="16"/>
    </row>
    <row r="19469" spans="30:30" x14ac:dyDescent="0.3">
      <c r="AD19469" s="16"/>
    </row>
    <row r="19470" spans="30:30" x14ac:dyDescent="0.3">
      <c r="AD19470" s="16"/>
    </row>
    <row r="19471" spans="30:30" x14ac:dyDescent="0.3">
      <c r="AD19471" s="16"/>
    </row>
    <row r="19472" spans="30:30" x14ac:dyDescent="0.3">
      <c r="AD19472" s="16"/>
    </row>
    <row r="19473" spans="30:30" x14ac:dyDescent="0.3">
      <c r="AD19473" s="16"/>
    </row>
    <row r="19474" spans="30:30" x14ac:dyDescent="0.3">
      <c r="AD19474" s="16"/>
    </row>
    <row r="19475" spans="30:30" x14ac:dyDescent="0.3">
      <c r="AD19475" s="16"/>
    </row>
    <row r="19476" spans="30:30" x14ac:dyDescent="0.3">
      <c r="AD19476" s="16"/>
    </row>
    <row r="19477" spans="30:30" x14ac:dyDescent="0.3">
      <c r="AD19477" s="16"/>
    </row>
    <row r="19478" spans="30:30" x14ac:dyDescent="0.3">
      <c r="AD19478" s="16"/>
    </row>
    <row r="19479" spans="30:30" x14ac:dyDescent="0.3">
      <c r="AD19479" s="16"/>
    </row>
    <row r="19480" spans="30:30" x14ac:dyDescent="0.3">
      <c r="AD19480" s="16"/>
    </row>
    <row r="19481" spans="30:30" x14ac:dyDescent="0.3">
      <c r="AD19481" s="16"/>
    </row>
    <row r="19482" spans="30:30" x14ac:dyDescent="0.3">
      <c r="AD19482" s="16"/>
    </row>
    <row r="19483" spans="30:30" x14ac:dyDescent="0.3">
      <c r="AD19483" s="16"/>
    </row>
    <row r="19484" spans="30:30" x14ac:dyDescent="0.3">
      <c r="AD19484" s="16"/>
    </row>
    <row r="19485" spans="30:30" x14ac:dyDescent="0.3">
      <c r="AD19485" s="16"/>
    </row>
    <row r="19486" spans="30:30" x14ac:dyDescent="0.3">
      <c r="AD19486" s="16"/>
    </row>
    <row r="19487" spans="30:30" x14ac:dyDescent="0.3">
      <c r="AD19487" s="16"/>
    </row>
    <row r="19488" spans="30:30" x14ac:dyDescent="0.3">
      <c r="AD19488" s="16"/>
    </row>
    <row r="19489" spans="30:30" x14ac:dyDescent="0.3">
      <c r="AD19489" s="16"/>
    </row>
    <row r="19490" spans="30:30" x14ac:dyDescent="0.3">
      <c r="AD19490" s="16"/>
    </row>
    <row r="19491" spans="30:30" x14ac:dyDescent="0.3">
      <c r="AD19491" s="16"/>
    </row>
    <row r="19492" spans="30:30" x14ac:dyDescent="0.3">
      <c r="AD19492" s="16"/>
    </row>
    <row r="19493" spans="30:30" x14ac:dyDescent="0.3">
      <c r="AD19493" s="16"/>
    </row>
    <row r="19494" spans="30:30" x14ac:dyDescent="0.3">
      <c r="AD19494" s="16"/>
    </row>
    <row r="19495" spans="30:30" x14ac:dyDescent="0.3">
      <c r="AD19495" s="16"/>
    </row>
    <row r="19496" spans="30:30" x14ac:dyDescent="0.3">
      <c r="AD19496" s="16"/>
    </row>
    <row r="19497" spans="30:30" x14ac:dyDescent="0.3">
      <c r="AD19497" s="16"/>
    </row>
    <row r="19498" spans="30:30" x14ac:dyDescent="0.3">
      <c r="AD19498" s="16"/>
    </row>
    <row r="19499" spans="30:30" x14ac:dyDescent="0.3">
      <c r="AD19499" s="16"/>
    </row>
    <row r="19500" spans="30:30" x14ac:dyDescent="0.3">
      <c r="AD19500" s="16"/>
    </row>
    <row r="19501" spans="30:30" x14ac:dyDescent="0.3">
      <c r="AD19501" s="16"/>
    </row>
    <row r="19502" spans="30:30" x14ac:dyDescent="0.3">
      <c r="AD19502" s="16"/>
    </row>
    <row r="19503" spans="30:30" x14ac:dyDescent="0.3">
      <c r="AD19503" s="16"/>
    </row>
    <row r="19504" spans="30:30" x14ac:dyDescent="0.3">
      <c r="AD19504" s="16"/>
    </row>
    <row r="19505" spans="30:30" x14ac:dyDescent="0.3">
      <c r="AD19505" s="16"/>
    </row>
    <row r="19506" spans="30:30" x14ac:dyDescent="0.3">
      <c r="AD19506" s="16"/>
    </row>
    <row r="19507" spans="30:30" x14ac:dyDescent="0.3">
      <c r="AD19507" s="16"/>
    </row>
    <row r="19508" spans="30:30" x14ac:dyDescent="0.3">
      <c r="AD19508" s="16"/>
    </row>
    <row r="19509" spans="30:30" x14ac:dyDescent="0.3">
      <c r="AD19509" s="16"/>
    </row>
    <row r="19510" spans="30:30" x14ac:dyDescent="0.3">
      <c r="AD19510" s="16"/>
    </row>
    <row r="19511" spans="30:30" x14ac:dyDescent="0.3">
      <c r="AD19511" s="16"/>
    </row>
    <row r="19512" spans="30:30" x14ac:dyDescent="0.3">
      <c r="AD19512" s="16"/>
    </row>
    <row r="19513" spans="30:30" x14ac:dyDescent="0.3">
      <c r="AD19513" s="16"/>
    </row>
    <row r="19514" spans="30:30" x14ac:dyDescent="0.3">
      <c r="AD19514" s="16"/>
    </row>
    <row r="19515" spans="30:30" x14ac:dyDescent="0.3">
      <c r="AD19515" s="16"/>
    </row>
    <row r="19516" spans="30:30" x14ac:dyDescent="0.3">
      <c r="AD19516" s="16"/>
    </row>
    <row r="19517" spans="30:30" x14ac:dyDescent="0.3">
      <c r="AD19517" s="16"/>
    </row>
    <row r="19518" spans="30:30" x14ac:dyDescent="0.3">
      <c r="AD19518" s="16"/>
    </row>
    <row r="19519" spans="30:30" x14ac:dyDescent="0.3">
      <c r="AD19519" s="16"/>
    </row>
    <row r="19520" spans="30:30" x14ac:dyDescent="0.3">
      <c r="AD19520" s="16"/>
    </row>
    <row r="19521" spans="30:30" x14ac:dyDescent="0.3">
      <c r="AD19521" s="16"/>
    </row>
    <row r="19522" spans="30:30" x14ac:dyDescent="0.3">
      <c r="AD19522" s="16"/>
    </row>
    <row r="19523" spans="30:30" x14ac:dyDescent="0.3">
      <c r="AD19523" s="16"/>
    </row>
    <row r="19524" spans="30:30" x14ac:dyDescent="0.3">
      <c r="AD19524" s="16"/>
    </row>
    <row r="19525" spans="30:30" x14ac:dyDescent="0.3">
      <c r="AD19525" s="16"/>
    </row>
    <row r="19526" spans="30:30" x14ac:dyDescent="0.3">
      <c r="AD19526" s="16"/>
    </row>
    <row r="19527" spans="30:30" x14ac:dyDescent="0.3">
      <c r="AD19527" s="16"/>
    </row>
    <row r="19528" spans="30:30" x14ac:dyDescent="0.3">
      <c r="AD19528" s="16"/>
    </row>
    <row r="19529" spans="30:30" x14ac:dyDescent="0.3">
      <c r="AD19529" s="16"/>
    </row>
    <row r="19530" spans="30:30" x14ac:dyDescent="0.3">
      <c r="AD19530" s="16"/>
    </row>
    <row r="19531" spans="30:30" x14ac:dyDescent="0.3">
      <c r="AD19531" s="16"/>
    </row>
    <row r="19532" spans="30:30" x14ac:dyDescent="0.3">
      <c r="AD19532" s="16"/>
    </row>
    <row r="19533" spans="30:30" x14ac:dyDescent="0.3">
      <c r="AD19533" s="16"/>
    </row>
    <row r="19534" spans="30:30" x14ac:dyDescent="0.3">
      <c r="AD19534" s="16"/>
    </row>
    <row r="19535" spans="30:30" x14ac:dyDescent="0.3">
      <c r="AD19535" s="16"/>
    </row>
    <row r="19536" spans="30:30" x14ac:dyDescent="0.3">
      <c r="AD19536" s="16"/>
    </row>
    <row r="19537" spans="30:30" x14ac:dyDescent="0.3">
      <c r="AD19537" s="16"/>
    </row>
    <row r="19538" spans="30:30" x14ac:dyDescent="0.3">
      <c r="AD19538" s="16"/>
    </row>
    <row r="19539" spans="30:30" x14ac:dyDescent="0.3">
      <c r="AD19539" s="16"/>
    </row>
    <row r="19540" spans="30:30" x14ac:dyDescent="0.3">
      <c r="AD19540" s="16"/>
    </row>
    <row r="19541" spans="30:30" x14ac:dyDescent="0.3">
      <c r="AD19541" s="16"/>
    </row>
    <row r="19542" spans="30:30" x14ac:dyDescent="0.3">
      <c r="AD19542" s="16"/>
    </row>
    <row r="19543" spans="30:30" x14ac:dyDescent="0.3">
      <c r="AD19543" s="16"/>
    </row>
    <row r="19544" spans="30:30" x14ac:dyDescent="0.3">
      <c r="AD19544" s="16"/>
    </row>
    <row r="19545" spans="30:30" x14ac:dyDescent="0.3">
      <c r="AD19545" s="16"/>
    </row>
    <row r="19546" spans="30:30" x14ac:dyDescent="0.3">
      <c r="AD19546" s="16"/>
    </row>
    <row r="19547" spans="30:30" x14ac:dyDescent="0.3">
      <c r="AD19547" s="16"/>
    </row>
    <row r="19548" spans="30:30" x14ac:dyDescent="0.3">
      <c r="AD19548" s="16"/>
    </row>
    <row r="19549" spans="30:30" x14ac:dyDescent="0.3">
      <c r="AD19549" s="16"/>
    </row>
    <row r="19550" spans="30:30" x14ac:dyDescent="0.3">
      <c r="AD19550" s="16"/>
    </row>
    <row r="19551" spans="30:30" x14ac:dyDescent="0.3">
      <c r="AD19551" s="16"/>
    </row>
    <row r="19552" spans="30:30" x14ac:dyDescent="0.3">
      <c r="AD19552" s="16"/>
    </row>
    <row r="19553" spans="30:30" x14ac:dyDescent="0.3">
      <c r="AD19553" s="16"/>
    </row>
    <row r="19554" spans="30:30" x14ac:dyDescent="0.3">
      <c r="AD19554" s="16"/>
    </row>
    <row r="19555" spans="30:30" x14ac:dyDescent="0.3">
      <c r="AD19555" s="16"/>
    </row>
    <row r="19556" spans="30:30" x14ac:dyDescent="0.3">
      <c r="AD19556" s="16"/>
    </row>
    <row r="19557" spans="30:30" x14ac:dyDescent="0.3">
      <c r="AD19557" s="16"/>
    </row>
    <row r="19558" spans="30:30" x14ac:dyDescent="0.3">
      <c r="AD19558" s="16"/>
    </row>
    <row r="19559" spans="30:30" x14ac:dyDescent="0.3">
      <c r="AD19559" s="16"/>
    </row>
    <row r="19560" spans="30:30" x14ac:dyDescent="0.3">
      <c r="AD19560" s="16"/>
    </row>
    <row r="19561" spans="30:30" x14ac:dyDescent="0.3">
      <c r="AD19561" s="16"/>
    </row>
    <row r="19562" spans="30:30" x14ac:dyDescent="0.3">
      <c r="AD19562" s="16"/>
    </row>
    <row r="19563" spans="30:30" x14ac:dyDescent="0.3">
      <c r="AD19563" s="16"/>
    </row>
    <row r="19564" spans="30:30" x14ac:dyDescent="0.3">
      <c r="AD19564" s="16"/>
    </row>
    <row r="19565" spans="30:30" x14ac:dyDescent="0.3">
      <c r="AD19565" s="16"/>
    </row>
    <row r="19566" spans="30:30" x14ac:dyDescent="0.3">
      <c r="AD19566" s="16"/>
    </row>
    <row r="19567" spans="30:30" x14ac:dyDescent="0.3">
      <c r="AD19567" s="16"/>
    </row>
    <row r="19568" spans="30:30" x14ac:dyDescent="0.3">
      <c r="AD19568" s="16"/>
    </row>
    <row r="19569" spans="30:30" x14ac:dyDescent="0.3">
      <c r="AD19569" s="16"/>
    </row>
    <row r="19570" spans="30:30" x14ac:dyDescent="0.3">
      <c r="AD19570" s="16"/>
    </row>
    <row r="19571" spans="30:30" x14ac:dyDescent="0.3">
      <c r="AD19571" s="16"/>
    </row>
    <row r="19572" spans="30:30" x14ac:dyDescent="0.3">
      <c r="AD19572" s="16"/>
    </row>
    <row r="19573" spans="30:30" x14ac:dyDescent="0.3">
      <c r="AD19573" s="16"/>
    </row>
    <row r="19574" spans="30:30" x14ac:dyDescent="0.3">
      <c r="AD19574" s="16"/>
    </row>
    <row r="19575" spans="30:30" x14ac:dyDescent="0.3">
      <c r="AD19575" s="16"/>
    </row>
    <row r="19576" spans="30:30" x14ac:dyDescent="0.3">
      <c r="AD19576" s="16"/>
    </row>
    <row r="19577" spans="30:30" x14ac:dyDescent="0.3">
      <c r="AD19577" s="16"/>
    </row>
    <row r="19578" spans="30:30" x14ac:dyDescent="0.3">
      <c r="AD19578" s="16"/>
    </row>
    <row r="19579" spans="30:30" x14ac:dyDescent="0.3">
      <c r="AD19579" s="16"/>
    </row>
    <row r="19580" spans="30:30" x14ac:dyDescent="0.3">
      <c r="AD19580" s="16"/>
    </row>
    <row r="19581" spans="30:30" x14ac:dyDescent="0.3">
      <c r="AD19581" s="16"/>
    </row>
    <row r="19582" spans="30:30" x14ac:dyDescent="0.3">
      <c r="AD19582" s="16"/>
    </row>
    <row r="19583" spans="30:30" x14ac:dyDescent="0.3">
      <c r="AD19583" s="16"/>
    </row>
    <row r="19584" spans="30:30" x14ac:dyDescent="0.3">
      <c r="AD19584" s="16"/>
    </row>
    <row r="19585" spans="30:30" x14ac:dyDescent="0.3">
      <c r="AD19585" s="16"/>
    </row>
    <row r="19586" spans="30:30" x14ac:dyDescent="0.3">
      <c r="AD19586" s="16"/>
    </row>
    <row r="19587" spans="30:30" x14ac:dyDescent="0.3">
      <c r="AD19587" s="16"/>
    </row>
    <row r="19588" spans="30:30" x14ac:dyDescent="0.3">
      <c r="AD19588" s="16"/>
    </row>
    <row r="19589" spans="30:30" x14ac:dyDescent="0.3">
      <c r="AD19589" s="16"/>
    </row>
    <row r="19590" spans="30:30" x14ac:dyDescent="0.3">
      <c r="AD19590" s="16"/>
    </row>
    <row r="19591" spans="30:30" x14ac:dyDescent="0.3">
      <c r="AD19591" s="16"/>
    </row>
    <row r="19592" spans="30:30" x14ac:dyDescent="0.3">
      <c r="AD19592" s="16"/>
    </row>
    <row r="19593" spans="30:30" x14ac:dyDescent="0.3">
      <c r="AD19593" s="16"/>
    </row>
    <row r="19594" spans="30:30" x14ac:dyDescent="0.3">
      <c r="AD19594" s="16"/>
    </row>
    <row r="19595" spans="30:30" x14ac:dyDescent="0.3">
      <c r="AD19595" s="16"/>
    </row>
    <row r="19596" spans="30:30" x14ac:dyDescent="0.3">
      <c r="AD19596" s="16"/>
    </row>
    <row r="19597" spans="30:30" x14ac:dyDescent="0.3">
      <c r="AD19597" s="16"/>
    </row>
    <row r="19598" spans="30:30" x14ac:dyDescent="0.3">
      <c r="AD19598" s="16"/>
    </row>
    <row r="19599" spans="30:30" x14ac:dyDescent="0.3">
      <c r="AD19599" s="16"/>
    </row>
    <row r="19600" spans="30:30" x14ac:dyDescent="0.3">
      <c r="AD19600" s="16"/>
    </row>
    <row r="19601" spans="30:30" x14ac:dyDescent="0.3">
      <c r="AD19601" s="16"/>
    </row>
    <row r="19602" spans="30:30" x14ac:dyDescent="0.3">
      <c r="AD19602" s="16"/>
    </row>
    <row r="19603" spans="30:30" x14ac:dyDescent="0.3">
      <c r="AD19603" s="16"/>
    </row>
    <row r="19604" spans="30:30" x14ac:dyDescent="0.3">
      <c r="AD19604" s="16"/>
    </row>
    <row r="19605" spans="30:30" x14ac:dyDescent="0.3">
      <c r="AD19605" s="16"/>
    </row>
    <row r="19606" spans="30:30" x14ac:dyDescent="0.3">
      <c r="AD19606" s="16"/>
    </row>
    <row r="19607" spans="30:30" x14ac:dyDescent="0.3">
      <c r="AD19607" s="16"/>
    </row>
    <row r="19608" spans="30:30" x14ac:dyDescent="0.3">
      <c r="AD19608" s="16"/>
    </row>
    <row r="19609" spans="30:30" x14ac:dyDescent="0.3">
      <c r="AD19609" s="16"/>
    </row>
    <row r="19610" spans="30:30" x14ac:dyDescent="0.3">
      <c r="AD19610" s="16"/>
    </row>
    <row r="19611" spans="30:30" x14ac:dyDescent="0.3">
      <c r="AD19611" s="16"/>
    </row>
    <row r="19612" spans="30:30" x14ac:dyDescent="0.3">
      <c r="AD19612" s="16"/>
    </row>
    <row r="19613" spans="30:30" x14ac:dyDescent="0.3">
      <c r="AD19613" s="16"/>
    </row>
    <row r="19614" spans="30:30" x14ac:dyDescent="0.3">
      <c r="AD19614" s="16"/>
    </row>
    <row r="19615" spans="30:30" x14ac:dyDescent="0.3">
      <c r="AD19615" s="16"/>
    </row>
    <row r="19616" spans="30:30" x14ac:dyDescent="0.3">
      <c r="AD19616" s="16"/>
    </row>
    <row r="19617" spans="30:30" x14ac:dyDescent="0.3">
      <c r="AD19617" s="16"/>
    </row>
    <row r="19618" spans="30:30" x14ac:dyDescent="0.3">
      <c r="AD19618" s="16"/>
    </row>
    <row r="19619" spans="30:30" x14ac:dyDescent="0.3">
      <c r="AD19619" s="16"/>
    </row>
    <row r="19620" spans="30:30" x14ac:dyDescent="0.3">
      <c r="AD19620" s="16"/>
    </row>
    <row r="19621" spans="30:30" x14ac:dyDescent="0.3">
      <c r="AD19621" s="16"/>
    </row>
    <row r="19622" spans="30:30" x14ac:dyDescent="0.3">
      <c r="AD19622" s="16"/>
    </row>
    <row r="19623" spans="30:30" x14ac:dyDescent="0.3">
      <c r="AD19623" s="16"/>
    </row>
    <row r="19624" spans="30:30" x14ac:dyDescent="0.3">
      <c r="AD19624" s="16"/>
    </row>
    <row r="19625" spans="30:30" x14ac:dyDescent="0.3">
      <c r="AD19625" s="16"/>
    </row>
    <row r="19626" spans="30:30" x14ac:dyDescent="0.3">
      <c r="AD19626" s="16"/>
    </row>
    <row r="19627" spans="30:30" x14ac:dyDescent="0.3">
      <c r="AD19627" s="16"/>
    </row>
    <row r="19628" spans="30:30" x14ac:dyDescent="0.3">
      <c r="AD19628" s="16"/>
    </row>
    <row r="19629" spans="30:30" x14ac:dyDescent="0.3">
      <c r="AD19629" s="16"/>
    </row>
    <row r="19630" spans="30:30" x14ac:dyDescent="0.3">
      <c r="AD19630" s="16"/>
    </row>
    <row r="19631" spans="30:30" x14ac:dyDescent="0.3">
      <c r="AD19631" s="16"/>
    </row>
    <row r="19632" spans="30:30" x14ac:dyDescent="0.3">
      <c r="AD19632" s="16"/>
    </row>
    <row r="19633" spans="30:30" x14ac:dyDescent="0.3">
      <c r="AD19633" s="16"/>
    </row>
    <row r="19634" spans="30:30" x14ac:dyDescent="0.3">
      <c r="AD19634" s="16"/>
    </row>
    <row r="19635" spans="30:30" x14ac:dyDescent="0.3">
      <c r="AD19635" s="16"/>
    </row>
    <row r="19636" spans="30:30" x14ac:dyDescent="0.3">
      <c r="AD19636" s="16"/>
    </row>
    <row r="19637" spans="30:30" x14ac:dyDescent="0.3">
      <c r="AD19637" s="16"/>
    </row>
    <row r="19638" spans="30:30" x14ac:dyDescent="0.3">
      <c r="AD19638" s="16"/>
    </row>
    <row r="19639" spans="30:30" x14ac:dyDescent="0.3">
      <c r="AD19639" s="16"/>
    </row>
    <row r="19640" spans="30:30" x14ac:dyDescent="0.3">
      <c r="AD19640" s="16"/>
    </row>
    <row r="19641" spans="30:30" x14ac:dyDescent="0.3">
      <c r="AD19641" s="16"/>
    </row>
    <row r="19642" spans="30:30" x14ac:dyDescent="0.3">
      <c r="AD19642" s="16"/>
    </row>
    <row r="19643" spans="30:30" x14ac:dyDescent="0.3">
      <c r="AD19643" s="16"/>
    </row>
    <row r="19644" spans="30:30" x14ac:dyDescent="0.3">
      <c r="AD19644" s="16"/>
    </row>
    <row r="19645" spans="30:30" x14ac:dyDescent="0.3">
      <c r="AD19645" s="16"/>
    </row>
    <row r="19646" spans="30:30" x14ac:dyDescent="0.3">
      <c r="AD19646" s="16"/>
    </row>
    <row r="19647" spans="30:30" x14ac:dyDescent="0.3">
      <c r="AD19647" s="16"/>
    </row>
    <row r="19648" spans="30:30" x14ac:dyDescent="0.3">
      <c r="AD19648" s="16"/>
    </row>
    <row r="19649" spans="30:30" x14ac:dyDescent="0.3">
      <c r="AD19649" s="16"/>
    </row>
    <row r="19650" spans="30:30" x14ac:dyDescent="0.3">
      <c r="AD19650" s="16"/>
    </row>
    <row r="19651" spans="30:30" x14ac:dyDescent="0.3">
      <c r="AD19651" s="16"/>
    </row>
    <row r="19652" spans="30:30" x14ac:dyDescent="0.3">
      <c r="AD19652" s="16"/>
    </row>
    <row r="19653" spans="30:30" x14ac:dyDescent="0.3">
      <c r="AD19653" s="16"/>
    </row>
    <row r="19654" spans="30:30" x14ac:dyDescent="0.3">
      <c r="AD19654" s="16"/>
    </row>
    <row r="19655" spans="30:30" x14ac:dyDescent="0.3">
      <c r="AD19655" s="16"/>
    </row>
    <row r="19656" spans="30:30" x14ac:dyDescent="0.3">
      <c r="AD19656" s="16"/>
    </row>
    <row r="19657" spans="30:30" x14ac:dyDescent="0.3">
      <c r="AD19657" s="16"/>
    </row>
    <row r="19658" spans="30:30" x14ac:dyDescent="0.3">
      <c r="AD19658" s="16"/>
    </row>
    <row r="19659" spans="30:30" x14ac:dyDescent="0.3">
      <c r="AD19659" s="16"/>
    </row>
    <row r="19660" spans="30:30" x14ac:dyDescent="0.3">
      <c r="AD19660" s="16"/>
    </row>
    <row r="19661" spans="30:30" x14ac:dyDescent="0.3">
      <c r="AD19661" s="16"/>
    </row>
    <row r="19662" spans="30:30" x14ac:dyDescent="0.3">
      <c r="AD19662" s="16"/>
    </row>
    <row r="19663" spans="30:30" x14ac:dyDescent="0.3">
      <c r="AD19663" s="16"/>
    </row>
    <row r="19664" spans="30:30" x14ac:dyDescent="0.3">
      <c r="AD19664" s="16"/>
    </row>
    <row r="19665" spans="30:30" x14ac:dyDescent="0.3">
      <c r="AD19665" s="16"/>
    </row>
    <row r="19666" spans="30:30" x14ac:dyDescent="0.3">
      <c r="AD19666" s="16"/>
    </row>
    <row r="19667" spans="30:30" x14ac:dyDescent="0.3">
      <c r="AD19667" s="16"/>
    </row>
    <row r="19668" spans="30:30" x14ac:dyDescent="0.3">
      <c r="AD19668" s="16"/>
    </row>
    <row r="19669" spans="30:30" x14ac:dyDescent="0.3">
      <c r="AD19669" s="16"/>
    </row>
    <row r="19670" spans="30:30" x14ac:dyDescent="0.3">
      <c r="AD19670" s="16"/>
    </row>
    <row r="19671" spans="30:30" x14ac:dyDescent="0.3">
      <c r="AD19671" s="16"/>
    </row>
    <row r="19672" spans="30:30" x14ac:dyDescent="0.3">
      <c r="AD19672" s="16"/>
    </row>
    <row r="19673" spans="30:30" x14ac:dyDescent="0.3">
      <c r="AD19673" s="16"/>
    </row>
    <row r="19674" spans="30:30" x14ac:dyDescent="0.3">
      <c r="AD19674" s="16"/>
    </row>
    <row r="19675" spans="30:30" x14ac:dyDescent="0.3">
      <c r="AD19675" s="16"/>
    </row>
    <row r="19676" spans="30:30" x14ac:dyDescent="0.3">
      <c r="AD19676" s="16"/>
    </row>
    <row r="19677" spans="30:30" x14ac:dyDescent="0.3">
      <c r="AD19677" s="16"/>
    </row>
    <row r="19678" spans="30:30" x14ac:dyDescent="0.3">
      <c r="AD19678" s="16"/>
    </row>
    <row r="19679" spans="30:30" x14ac:dyDescent="0.3">
      <c r="AD19679" s="16"/>
    </row>
    <row r="19680" spans="30:30" x14ac:dyDescent="0.3">
      <c r="AD19680" s="16"/>
    </row>
    <row r="19681" spans="30:30" x14ac:dyDescent="0.3">
      <c r="AD19681" s="16"/>
    </row>
    <row r="19682" spans="30:30" x14ac:dyDescent="0.3">
      <c r="AD19682" s="16"/>
    </row>
    <row r="19683" spans="30:30" x14ac:dyDescent="0.3">
      <c r="AD19683" s="16"/>
    </row>
    <row r="19684" spans="30:30" x14ac:dyDescent="0.3">
      <c r="AD19684" s="16"/>
    </row>
    <row r="19685" spans="30:30" x14ac:dyDescent="0.3">
      <c r="AD19685" s="16"/>
    </row>
    <row r="19686" spans="30:30" x14ac:dyDescent="0.3">
      <c r="AD19686" s="16"/>
    </row>
    <row r="19687" spans="30:30" x14ac:dyDescent="0.3">
      <c r="AD19687" s="16"/>
    </row>
    <row r="19688" spans="30:30" x14ac:dyDescent="0.3">
      <c r="AD19688" s="16"/>
    </row>
    <row r="19689" spans="30:30" x14ac:dyDescent="0.3">
      <c r="AD19689" s="16"/>
    </row>
    <row r="19690" spans="30:30" x14ac:dyDescent="0.3">
      <c r="AD19690" s="16"/>
    </row>
    <row r="19691" spans="30:30" x14ac:dyDescent="0.3">
      <c r="AD19691" s="16"/>
    </row>
    <row r="19692" spans="30:30" x14ac:dyDescent="0.3">
      <c r="AD19692" s="16"/>
    </row>
    <row r="19693" spans="30:30" x14ac:dyDescent="0.3">
      <c r="AD19693" s="16"/>
    </row>
    <row r="19694" spans="30:30" x14ac:dyDescent="0.3">
      <c r="AD19694" s="16"/>
    </row>
    <row r="19695" spans="30:30" x14ac:dyDescent="0.3">
      <c r="AD19695" s="16"/>
    </row>
    <row r="19696" spans="30:30" x14ac:dyDescent="0.3">
      <c r="AD19696" s="16"/>
    </row>
    <row r="19697" spans="30:30" x14ac:dyDescent="0.3">
      <c r="AD19697" s="16"/>
    </row>
    <row r="19698" spans="30:30" x14ac:dyDescent="0.3">
      <c r="AD19698" s="16"/>
    </row>
    <row r="19699" spans="30:30" x14ac:dyDescent="0.3">
      <c r="AD19699" s="16"/>
    </row>
    <row r="19700" spans="30:30" x14ac:dyDescent="0.3">
      <c r="AD19700" s="16"/>
    </row>
    <row r="19701" spans="30:30" x14ac:dyDescent="0.3">
      <c r="AD19701" s="16"/>
    </row>
    <row r="19702" spans="30:30" x14ac:dyDescent="0.3">
      <c r="AD19702" s="16"/>
    </row>
    <row r="19703" spans="30:30" x14ac:dyDescent="0.3">
      <c r="AD19703" s="16"/>
    </row>
    <row r="19704" spans="30:30" x14ac:dyDescent="0.3">
      <c r="AD19704" s="16"/>
    </row>
    <row r="19705" spans="30:30" x14ac:dyDescent="0.3">
      <c r="AD19705" s="16"/>
    </row>
    <row r="19706" spans="30:30" x14ac:dyDescent="0.3">
      <c r="AD19706" s="16"/>
    </row>
    <row r="19707" spans="30:30" x14ac:dyDescent="0.3">
      <c r="AD19707" s="16"/>
    </row>
    <row r="19708" spans="30:30" x14ac:dyDescent="0.3">
      <c r="AD19708" s="16"/>
    </row>
    <row r="19709" spans="30:30" x14ac:dyDescent="0.3">
      <c r="AD19709" s="16"/>
    </row>
    <row r="19710" spans="30:30" x14ac:dyDescent="0.3">
      <c r="AD19710" s="16"/>
    </row>
    <row r="19711" spans="30:30" x14ac:dyDescent="0.3">
      <c r="AD19711" s="16"/>
    </row>
    <row r="19712" spans="30:30" x14ac:dyDescent="0.3">
      <c r="AD19712" s="16"/>
    </row>
    <row r="19713" spans="30:30" x14ac:dyDescent="0.3">
      <c r="AD19713" s="16"/>
    </row>
    <row r="19714" spans="30:30" x14ac:dyDescent="0.3">
      <c r="AD19714" s="16"/>
    </row>
    <row r="19715" spans="30:30" x14ac:dyDescent="0.3">
      <c r="AD19715" s="16"/>
    </row>
    <row r="19716" spans="30:30" x14ac:dyDescent="0.3">
      <c r="AD19716" s="16"/>
    </row>
    <row r="19717" spans="30:30" x14ac:dyDescent="0.3">
      <c r="AD19717" s="16"/>
    </row>
    <row r="19718" spans="30:30" x14ac:dyDescent="0.3">
      <c r="AD19718" s="16"/>
    </row>
    <row r="19719" spans="30:30" x14ac:dyDescent="0.3">
      <c r="AD19719" s="16"/>
    </row>
    <row r="19720" spans="30:30" x14ac:dyDescent="0.3">
      <c r="AD19720" s="16"/>
    </row>
    <row r="19721" spans="30:30" x14ac:dyDescent="0.3">
      <c r="AD19721" s="16"/>
    </row>
    <row r="19722" spans="30:30" x14ac:dyDescent="0.3">
      <c r="AD19722" s="16"/>
    </row>
    <row r="19723" spans="30:30" x14ac:dyDescent="0.3">
      <c r="AD19723" s="16"/>
    </row>
    <row r="19724" spans="30:30" x14ac:dyDescent="0.3">
      <c r="AD19724" s="16"/>
    </row>
    <row r="19725" spans="30:30" x14ac:dyDescent="0.3">
      <c r="AD19725" s="16"/>
    </row>
    <row r="19726" spans="30:30" x14ac:dyDescent="0.3">
      <c r="AD19726" s="16"/>
    </row>
    <row r="19727" spans="30:30" x14ac:dyDescent="0.3">
      <c r="AD19727" s="16"/>
    </row>
    <row r="19728" spans="30:30" x14ac:dyDescent="0.3">
      <c r="AD19728" s="16"/>
    </row>
    <row r="19729" spans="30:30" x14ac:dyDescent="0.3">
      <c r="AD19729" s="16"/>
    </row>
    <row r="19730" spans="30:30" x14ac:dyDescent="0.3">
      <c r="AD19730" s="16"/>
    </row>
    <row r="19731" spans="30:30" x14ac:dyDescent="0.3">
      <c r="AD19731" s="16"/>
    </row>
    <row r="19732" spans="30:30" x14ac:dyDescent="0.3">
      <c r="AD19732" s="16"/>
    </row>
    <row r="19733" spans="30:30" x14ac:dyDescent="0.3">
      <c r="AD19733" s="16"/>
    </row>
    <row r="19734" spans="30:30" x14ac:dyDescent="0.3">
      <c r="AD19734" s="16"/>
    </row>
    <row r="19735" spans="30:30" x14ac:dyDescent="0.3">
      <c r="AD19735" s="16"/>
    </row>
    <row r="19736" spans="30:30" x14ac:dyDescent="0.3">
      <c r="AD19736" s="16"/>
    </row>
    <row r="19737" spans="30:30" x14ac:dyDescent="0.3">
      <c r="AD19737" s="16"/>
    </row>
    <row r="19738" spans="30:30" x14ac:dyDescent="0.3">
      <c r="AD19738" s="16"/>
    </row>
    <row r="19739" spans="30:30" x14ac:dyDescent="0.3">
      <c r="AD19739" s="16"/>
    </row>
    <row r="19740" spans="30:30" x14ac:dyDescent="0.3">
      <c r="AD19740" s="16"/>
    </row>
    <row r="19741" spans="30:30" x14ac:dyDescent="0.3">
      <c r="AD19741" s="16"/>
    </row>
    <row r="19742" spans="30:30" x14ac:dyDescent="0.3">
      <c r="AD19742" s="16"/>
    </row>
    <row r="19743" spans="30:30" x14ac:dyDescent="0.3">
      <c r="AD19743" s="16"/>
    </row>
    <row r="19744" spans="30:30" x14ac:dyDescent="0.3">
      <c r="AD19744" s="16"/>
    </row>
    <row r="19745" spans="30:30" x14ac:dyDescent="0.3">
      <c r="AD19745" s="16"/>
    </row>
    <row r="19746" spans="30:30" x14ac:dyDescent="0.3">
      <c r="AD19746" s="16"/>
    </row>
    <row r="19747" spans="30:30" x14ac:dyDescent="0.3">
      <c r="AD19747" s="16"/>
    </row>
    <row r="19748" spans="30:30" x14ac:dyDescent="0.3">
      <c r="AD19748" s="16"/>
    </row>
    <row r="19749" spans="30:30" x14ac:dyDescent="0.3">
      <c r="AD19749" s="16"/>
    </row>
    <row r="19750" spans="30:30" x14ac:dyDescent="0.3">
      <c r="AD19750" s="16"/>
    </row>
    <row r="19751" spans="30:30" x14ac:dyDescent="0.3">
      <c r="AD19751" s="16"/>
    </row>
    <row r="19752" spans="30:30" x14ac:dyDescent="0.3">
      <c r="AD19752" s="16"/>
    </row>
    <row r="19753" spans="30:30" x14ac:dyDescent="0.3">
      <c r="AD19753" s="16"/>
    </row>
    <row r="19754" spans="30:30" x14ac:dyDescent="0.3">
      <c r="AD19754" s="16"/>
    </row>
    <row r="19755" spans="30:30" x14ac:dyDescent="0.3">
      <c r="AD19755" s="16"/>
    </row>
    <row r="19756" spans="30:30" x14ac:dyDescent="0.3">
      <c r="AD19756" s="16"/>
    </row>
    <row r="19757" spans="30:30" x14ac:dyDescent="0.3">
      <c r="AD19757" s="16"/>
    </row>
    <row r="19758" spans="30:30" x14ac:dyDescent="0.3">
      <c r="AD19758" s="16"/>
    </row>
    <row r="19759" spans="30:30" x14ac:dyDescent="0.3">
      <c r="AD19759" s="16"/>
    </row>
    <row r="19760" spans="30:30" x14ac:dyDescent="0.3">
      <c r="AD19760" s="16"/>
    </row>
    <row r="19761" spans="30:30" x14ac:dyDescent="0.3">
      <c r="AD19761" s="16"/>
    </row>
    <row r="19762" spans="30:30" x14ac:dyDescent="0.3">
      <c r="AD19762" s="16"/>
    </row>
    <row r="19763" spans="30:30" x14ac:dyDescent="0.3">
      <c r="AD19763" s="16"/>
    </row>
    <row r="19764" spans="30:30" x14ac:dyDescent="0.3">
      <c r="AD19764" s="16"/>
    </row>
    <row r="19765" spans="30:30" x14ac:dyDescent="0.3">
      <c r="AD19765" s="16"/>
    </row>
    <row r="19766" spans="30:30" x14ac:dyDescent="0.3">
      <c r="AD19766" s="16"/>
    </row>
    <row r="19767" spans="30:30" x14ac:dyDescent="0.3">
      <c r="AD19767" s="16"/>
    </row>
    <row r="19768" spans="30:30" x14ac:dyDescent="0.3">
      <c r="AD19768" s="16"/>
    </row>
    <row r="19769" spans="30:30" x14ac:dyDescent="0.3">
      <c r="AD19769" s="16"/>
    </row>
    <row r="19770" spans="30:30" x14ac:dyDescent="0.3">
      <c r="AD19770" s="16"/>
    </row>
    <row r="19771" spans="30:30" x14ac:dyDescent="0.3">
      <c r="AD19771" s="16"/>
    </row>
    <row r="19772" spans="30:30" x14ac:dyDescent="0.3">
      <c r="AD19772" s="16"/>
    </row>
    <row r="19773" spans="30:30" x14ac:dyDescent="0.3">
      <c r="AD19773" s="16"/>
    </row>
    <row r="19774" spans="30:30" x14ac:dyDescent="0.3">
      <c r="AD19774" s="16"/>
    </row>
    <row r="19775" spans="30:30" x14ac:dyDescent="0.3">
      <c r="AD19775" s="16"/>
    </row>
    <row r="19776" spans="30:30" x14ac:dyDescent="0.3">
      <c r="AD19776" s="16"/>
    </row>
    <row r="19777" spans="30:30" x14ac:dyDescent="0.3">
      <c r="AD19777" s="16"/>
    </row>
    <row r="19778" spans="30:30" x14ac:dyDescent="0.3">
      <c r="AD19778" s="16"/>
    </row>
    <row r="19779" spans="30:30" x14ac:dyDescent="0.3">
      <c r="AD19779" s="16"/>
    </row>
    <row r="19780" spans="30:30" x14ac:dyDescent="0.3">
      <c r="AD19780" s="16"/>
    </row>
    <row r="19781" spans="30:30" x14ac:dyDescent="0.3">
      <c r="AD19781" s="16"/>
    </row>
    <row r="19782" spans="30:30" x14ac:dyDescent="0.3">
      <c r="AD19782" s="16"/>
    </row>
    <row r="19783" spans="30:30" x14ac:dyDescent="0.3">
      <c r="AD19783" s="16"/>
    </row>
    <row r="19784" spans="30:30" x14ac:dyDescent="0.3">
      <c r="AD19784" s="16"/>
    </row>
    <row r="19785" spans="30:30" x14ac:dyDescent="0.3">
      <c r="AD19785" s="16"/>
    </row>
    <row r="19786" spans="30:30" x14ac:dyDescent="0.3">
      <c r="AD19786" s="16"/>
    </row>
    <row r="19787" spans="30:30" x14ac:dyDescent="0.3">
      <c r="AD19787" s="16"/>
    </row>
    <row r="19788" spans="30:30" x14ac:dyDescent="0.3">
      <c r="AD19788" s="16"/>
    </row>
    <row r="19789" spans="30:30" x14ac:dyDescent="0.3">
      <c r="AD19789" s="16"/>
    </row>
    <row r="19790" spans="30:30" x14ac:dyDescent="0.3">
      <c r="AD19790" s="16"/>
    </row>
    <row r="19791" spans="30:30" x14ac:dyDescent="0.3">
      <c r="AD19791" s="16"/>
    </row>
    <row r="19792" spans="30:30" x14ac:dyDescent="0.3">
      <c r="AD19792" s="16"/>
    </row>
    <row r="19793" spans="30:30" x14ac:dyDescent="0.3">
      <c r="AD19793" s="16"/>
    </row>
    <row r="19794" spans="30:30" x14ac:dyDescent="0.3">
      <c r="AD19794" s="16"/>
    </row>
    <row r="19795" spans="30:30" x14ac:dyDescent="0.3">
      <c r="AD19795" s="16"/>
    </row>
    <row r="19796" spans="30:30" x14ac:dyDescent="0.3">
      <c r="AD19796" s="16"/>
    </row>
    <row r="19797" spans="30:30" x14ac:dyDescent="0.3">
      <c r="AD19797" s="16"/>
    </row>
    <row r="19798" spans="30:30" x14ac:dyDescent="0.3">
      <c r="AD19798" s="16"/>
    </row>
    <row r="19799" spans="30:30" x14ac:dyDescent="0.3">
      <c r="AD19799" s="16"/>
    </row>
    <row r="19800" spans="30:30" x14ac:dyDescent="0.3">
      <c r="AD19800" s="16"/>
    </row>
    <row r="19801" spans="30:30" x14ac:dyDescent="0.3">
      <c r="AD19801" s="16"/>
    </row>
    <row r="19802" spans="30:30" x14ac:dyDescent="0.3">
      <c r="AD19802" s="16"/>
    </row>
    <row r="19803" spans="30:30" x14ac:dyDescent="0.3">
      <c r="AD19803" s="16"/>
    </row>
    <row r="19804" spans="30:30" x14ac:dyDescent="0.3">
      <c r="AD19804" s="16"/>
    </row>
    <row r="19805" spans="30:30" x14ac:dyDescent="0.3">
      <c r="AD19805" s="16"/>
    </row>
    <row r="19806" spans="30:30" x14ac:dyDescent="0.3">
      <c r="AD19806" s="16"/>
    </row>
    <row r="19807" spans="30:30" x14ac:dyDescent="0.3">
      <c r="AD19807" s="16"/>
    </row>
    <row r="19808" spans="30:30" x14ac:dyDescent="0.3">
      <c r="AD19808" s="16"/>
    </row>
    <row r="19809" spans="30:30" x14ac:dyDescent="0.3">
      <c r="AD19809" s="16"/>
    </row>
    <row r="19810" spans="30:30" x14ac:dyDescent="0.3">
      <c r="AD19810" s="16"/>
    </row>
    <row r="19811" spans="30:30" x14ac:dyDescent="0.3">
      <c r="AD19811" s="16"/>
    </row>
    <row r="19812" spans="30:30" x14ac:dyDescent="0.3">
      <c r="AD19812" s="16"/>
    </row>
    <row r="19813" spans="30:30" x14ac:dyDescent="0.3">
      <c r="AD19813" s="16"/>
    </row>
    <row r="19814" spans="30:30" x14ac:dyDescent="0.3">
      <c r="AD19814" s="16"/>
    </row>
    <row r="19815" spans="30:30" x14ac:dyDescent="0.3">
      <c r="AD19815" s="16"/>
    </row>
    <row r="19816" spans="30:30" x14ac:dyDescent="0.3">
      <c r="AD19816" s="16"/>
    </row>
    <row r="19817" spans="30:30" x14ac:dyDescent="0.3">
      <c r="AD19817" s="16"/>
    </row>
    <row r="19818" spans="30:30" x14ac:dyDescent="0.3">
      <c r="AD19818" s="16"/>
    </row>
    <row r="19819" spans="30:30" x14ac:dyDescent="0.3">
      <c r="AD19819" s="16"/>
    </row>
    <row r="19820" spans="30:30" x14ac:dyDescent="0.3">
      <c r="AD19820" s="16"/>
    </row>
    <row r="19821" spans="30:30" x14ac:dyDescent="0.3">
      <c r="AD19821" s="16"/>
    </row>
    <row r="19822" spans="30:30" x14ac:dyDescent="0.3">
      <c r="AD19822" s="16"/>
    </row>
    <row r="19823" spans="30:30" x14ac:dyDescent="0.3">
      <c r="AD19823" s="16"/>
    </row>
    <row r="19824" spans="30:30" x14ac:dyDescent="0.3">
      <c r="AD19824" s="16"/>
    </row>
    <row r="19825" spans="30:30" x14ac:dyDescent="0.3">
      <c r="AD19825" s="16"/>
    </row>
    <row r="19826" spans="30:30" x14ac:dyDescent="0.3">
      <c r="AD19826" s="16"/>
    </row>
    <row r="19827" spans="30:30" x14ac:dyDescent="0.3">
      <c r="AD19827" s="16"/>
    </row>
    <row r="19828" spans="30:30" x14ac:dyDescent="0.3">
      <c r="AD19828" s="16"/>
    </row>
    <row r="19829" spans="30:30" x14ac:dyDescent="0.3">
      <c r="AD19829" s="16"/>
    </row>
    <row r="19830" spans="30:30" x14ac:dyDescent="0.3">
      <c r="AD19830" s="16"/>
    </row>
    <row r="19831" spans="30:30" x14ac:dyDescent="0.3">
      <c r="AD19831" s="16"/>
    </row>
    <row r="19832" spans="30:30" x14ac:dyDescent="0.3">
      <c r="AD19832" s="16"/>
    </row>
    <row r="19833" spans="30:30" x14ac:dyDescent="0.3">
      <c r="AD19833" s="16"/>
    </row>
    <row r="19834" spans="30:30" x14ac:dyDescent="0.3">
      <c r="AD19834" s="16"/>
    </row>
    <row r="19835" spans="30:30" x14ac:dyDescent="0.3">
      <c r="AD19835" s="16"/>
    </row>
    <row r="19836" spans="30:30" x14ac:dyDescent="0.3">
      <c r="AD19836" s="16"/>
    </row>
    <row r="19837" spans="30:30" x14ac:dyDescent="0.3">
      <c r="AD19837" s="16"/>
    </row>
    <row r="19838" spans="30:30" x14ac:dyDescent="0.3">
      <c r="AD19838" s="16"/>
    </row>
    <row r="19839" spans="30:30" x14ac:dyDescent="0.3">
      <c r="AD19839" s="16"/>
    </row>
    <row r="19840" spans="30:30" x14ac:dyDescent="0.3">
      <c r="AD19840" s="16"/>
    </row>
    <row r="19841" spans="30:30" x14ac:dyDescent="0.3">
      <c r="AD19841" s="16"/>
    </row>
    <row r="19842" spans="30:30" x14ac:dyDescent="0.3">
      <c r="AD19842" s="16"/>
    </row>
    <row r="19843" spans="30:30" x14ac:dyDescent="0.3">
      <c r="AD19843" s="16"/>
    </row>
    <row r="19844" spans="30:30" x14ac:dyDescent="0.3">
      <c r="AD19844" s="16"/>
    </row>
    <row r="19845" spans="30:30" x14ac:dyDescent="0.3">
      <c r="AD19845" s="16"/>
    </row>
    <row r="19846" spans="30:30" x14ac:dyDescent="0.3">
      <c r="AD19846" s="16"/>
    </row>
    <row r="19847" spans="30:30" x14ac:dyDescent="0.3">
      <c r="AD19847" s="16"/>
    </row>
    <row r="19848" spans="30:30" x14ac:dyDescent="0.3">
      <c r="AD19848" s="16"/>
    </row>
    <row r="19849" spans="30:30" x14ac:dyDescent="0.3">
      <c r="AD19849" s="16"/>
    </row>
    <row r="19850" spans="30:30" x14ac:dyDescent="0.3">
      <c r="AD19850" s="16"/>
    </row>
    <row r="19851" spans="30:30" x14ac:dyDescent="0.3">
      <c r="AD19851" s="16"/>
    </row>
    <row r="19852" spans="30:30" x14ac:dyDescent="0.3">
      <c r="AD19852" s="16"/>
    </row>
    <row r="19853" spans="30:30" x14ac:dyDescent="0.3">
      <c r="AD19853" s="16"/>
    </row>
    <row r="19854" spans="30:30" x14ac:dyDescent="0.3">
      <c r="AD19854" s="16"/>
    </row>
    <row r="19855" spans="30:30" x14ac:dyDescent="0.3">
      <c r="AD19855" s="16"/>
    </row>
    <row r="19856" spans="30:30" x14ac:dyDescent="0.3">
      <c r="AD19856" s="16"/>
    </row>
    <row r="19857" spans="30:30" x14ac:dyDescent="0.3">
      <c r="AD19857" s="16"/>
    </row>
    <row r="19858" spans="30:30" x14ac:dyDescent="0.3">
      <c r="AD19858" s="16"/>
    </row>
    <row r="19859" spans="30:30" x14ac:dyDescent="0.3">
      <c r="AD19859" s="16"/>
    </row>
    <row r="19860" spans="30:30" x14ac:dyDescent="0.3">
      <c r="AD19860" s="16"/>
    </row>
    <row r="19861" spans="30:30" x14ac:dyDescent="0.3">
      <c r="AD19861" s="16"/>
    </row>
    <row r="19862" spans="30:30" x14ac:dyDescent="0.3">
      <c r="AD19862" s="16"/>
    </row>
    <row r="19863" spans="30:30" x14ac:dyDescent="0.3">
      <c r="AD19863" s="16"/>
    </row>
    <row r="19864" spans="30:30" x14ac:dyDescent="0.3">
      <c r="AD19864" s="16"/>
    </row>
    <row r="19865" spans="30:30" x14ac:dyDescent="0.3">
      <c r="AD19865" s="16"/>
    </row>
    <row r="19866" spans="30:30" x14ac:dyDescent="0.3">
      <c r="AD19866" s="16"/>
    </row>
    <row r="19867" spans="30:30" x14ac:dyDescent="0.3">
      <c r="AD19867" s="16"/>
    </row>
    <row r="19868" spans="30:30" x14ac:dyDescent="0.3">
      <c r="AD19868" s="16"/>
    </row>
    <row r="19869" spans="30:30" x14ac:dyDescent="0.3">
      <c r="AD19869" s="16"/>
    </row>
    <row r="19870" spans="30:30" x14ac:dyDescent="0.3">
      <c r="AD19870" s="16"/>
    </row>
    <row r="19871" spans="30:30" x14ac:dyDescent="0.3">
      <c r="AD19871" s="16"/>
    </row>
    <row r="19872" spans="30:30" x14ac:dyDescent="0.3">
      <c r="AD19872" s="16"/>
    </row>
    <row r="19873" spans="30:30" x14ac:dyDescent="0.3">
      <c r="AD19873" s="16"/>
    </row>
    <row r="19874" spans="30:30" x14ac:dyDescent="0.3">
      <c r="AD19874" s="16"/>
    </row>
    <row r="19875" spans="30:30" x14ac:dyDescent="0.3">
      <c r="AD19875" s="16"/>
    </row>
    <row r="19876" spans="30:30" x14ac:dyDescent="0.3">
      <c r="AD19876" s="16"/>
    </row>
    <row r="19877" spans="30:30" x14ac:dyDescent="0.3">
      <c r="AD19877" s="16"/>
    </row>
    <row r="19878" spans="30:30" x14ac:dyDescent="0.3">
      <c r="AD19878" s="16"/>
    </row>
    <row r="19879" spans="30:30" x14ac:dyDescent="0.3">
      <c r="AD19879" s="16"/>
    </row>
    <row r="19880" spans="30:30" x14ac:dyDescent="0.3">
      <c r="AD19880" s="16"/>
    </row>
    <row r="19881" spans="30:30" x14ac:dyDescent="0.3">
      <c r="AD19881" s="16"/>
    </row>
    <row r="19882" spans="30:30" x14ac:dyDescent="0.3">
      <c r="AD19882" s="16"/>
    </row>
    <row r="19883" spans="30:30" x14ac:dyDescent="0.3">
      <c r="AD19883" s="16"/>
    </row>
    <row r="19884" spans="30:30" x14ac:dyDescent="0.3">
      <c r="AD19884" s="16"/>
    </row>
    <row r="19885" spans="30:30" x14ac:dyDescent="0.3">
      <c r="AD19885" s="16"/>
    </row>
    <row r="19886" spans="30:30" x14ac:dyDescent="0.3">
      <c r="AD19886" s="16"/>
    </row>
    <row r="19887" spans="30:30" x14ac:dyDescent="0.3">
      <c r="AD19887" s="16"/>
    </row>
    <row r="19888" spans="30:30" x14ac:dyDescent="0.3">
      <c r="AD19888" s="16"/>
    </row>
    <row r="19889" spans="30:30" x14ac:dyDescent="0.3">
      <c r="AD19889" s="16"/>
    </row>
    <row r="19890" spans="30:30" x14ac:dyDescent="0.3">
      <c r="AD19890" s="16"/>
    </row>
    <row r="19891" spans="30:30" x14ac:dyDescent="0.3">
      <c r="AD19891" s="16"/>
    </row>
    <row r="19892" spans="30:30" x14ac:dyDescent="0.3">
      <c r="AD19892" s="16"/>
    </row>
    <row r="19893" spans="30:30" x14ac:dyDescent="0.3">
      <c r="AD19893" s="16"/>
    </row>
    <row r="19894" spans="30:30" x14ac:dyDescent="0.3">
      <c r="AD19894" s="16"/>
    </row>
    <row r="19895" spans="30:30" x14ac:dyDescent="0.3">
      <c r="AD19895" s="16"/>
    </row>
    <row r="19896" spans="30:30" x14ac:dyDescent="0.3">
      <c r="AD19896" s="16"/>
    </row>
    <row r="19897" spans="30:30" x14ac:dyDescent="0.3">
      <c r="AD19897" s="16"/>
    </row>
    <row r="19898" spans="30:30" x14ac:dyDescent="0.3">
      <c r="AD19898" s="16"/>
    </row>
    <row r="19899" spans="30:30" x14ac:dyDescent="0.3">
      <c r="AD19899" s="16"/>
    </row>
    <row r="19900" spans="30:30" x14ac:dyDescent="0.3">
      <c r="AD19900" s="16"/>
    </row>
    <row r="19901" spans="30:30" x14ac:dyDescent="0.3">
      <c r="AD19901" s="16"/>
    </row>
    <row r="19902" spans="30:30" x14ac:dyDescent="0.3">
      <c r="AD19902" s="16"/>
    </row>
    <row r="19903" spans="30:30" x14ac:dyDescent="0.3">
      <c r="AD19903" s="16"/>
    </row>
    <row r="19904" spans="30:30" x14ac:dyDescent="0.3">
      <c r="AD19904" s="16"/>
    </row>
    <row r="19905" spans="30:30" x14ac:dyDescent="0.3">
      <c r="AD19905" s="16"/>
    </row>
    <row r="19906" spans="30:30" x14ac:dyDescent="0.3">
      <c r="AD19906" s="16"/>
    </row>
    <row r="19907" spans="30:30" x14ac:dyDescent="0.3">
      <c r="AD19907" s="16"/>
    </row>
    <row r="19908" spans="30:30" x14ac:dyDescent="0.3">
      <c r="AD19908" s="16"/>
    </row>
    <row r="19909" spans="30:30" x14ac:dyDescent="0.3">
      <c r="AD19909" s="16"/>
    </row>
    <row r="19910" spans="30:30" x14ac:dyDescent="0.3">
      <c r="AD19910" s="16"/>
    </row>
    <row r="19911" spans="30:30" x14ac:dyDescent="0.3">
      <c r="AD19911" s="16"/>
    </row>
    <row r="19912" spans="30:30" x14ac:dyDescent="0.3">
      <c r="AD19912" s="16"/>
    </row>
    <row r="19913" spans="30:30" x14ac:dyDescent="0.3">
      <c r="AD19913" s="16"/>
    </row>
    <row r="19914" spans="30:30" x14ac:dyDescent="0.3">
      <c r="AD19914" s="16"/>
    </row>
    <row r="19915" spans="30:30" x14ac:dyDescent="0.3">
      <c r="AD19915" s="16"/>
    </row>
    <row r="19916" spans="30:30" x14ac:dyDescent="0.3">
      <c r="AD19916" s="16"/>
    </row>
    <row r="19917" spans="30:30" x14ac:dyDescent="0.3">
      <c r="AD19917" s="16"/>
    </row>
    <row r="19918" spans="30:30" x14ac:dyDescent="0.3">
      <c r="AD19918" s="16"/>
    </row>
    <row r="19919" spans="30:30" x14ac:dyDescent="0.3">
      <c r="AD19919" s="16"/>
    </row>
    <row r="19920" spans="30:30" x14ac:dyDescent="0.3">
      <c r="AD19920" s="16"/>
    </row>
    <row r="19921" spans="30:30" x14ac:dyDescent="0.3">
      <c r="AD19921" s="16"/>
    </row>
    <row r="19922" spans="30:30" x14ac:dyDescent="0.3">
      <c r="AD19922" s="16"/>
    </row>
    <row r="19923" spans="30:30" x14ac:dyDescent="0.3">
      <c r="AD19923" s="16"/>
    </row>
    <row r="19924" spans="30:30" x14ac:dyDescent="0.3">
      <c r="AD19924" s="16"/>
    </row>
    <row r="19925" spans="30:30" x14ac:dyDescent="0.3">
      <c r="AD19925" s="16"/>
    </row>
    <row r="19926" spans="30:30" x14ac:dyDescent="0.3">
      <c r="AD19926" s="16"/>
    </row>
    <row r="19927" spans="30:30" x14ac:dyDescent="0.3">
      <c r="AD19927" s="16"/>
    </row>
    <row r="19928" spans="30:30" x14ac:dyDescent="0.3">
      <c r="AD19928" s="16"/>
    </row>
    <row r="19929" spans="30:30" x14ac:dyDescent="0.3">
      <c r="AD19929" s="16"/>
    </row>
    <row r="19930" spans="30:30" x14ac:dyDescent="0.3">
      <c r="AD19930" s="16"/>
    </row>
    <row r="19931" spans="30:30" x14ac:dyDescent="0.3">
      <c r="AD19931" s="16"/>
    </row>
    <row r="19932" spans="30:30" x14ac:dyDescent="0.3">
      <c r="AD19932" s="16"/>
    </row>
    <row r="19933" spans="30:30" x14ac:dyDescent="0.3">
      <c r="AD19933" s="16"/>
    </row>
    <row r="19934" spans="30:30" x14ac:dyDescent="0.3">
      <c r="AD19934" s="16"/>
    </row>
    <row r="19935" spans="30:30" x14ac:dyDescent="0.3">
      <c r="AD19935" s="16"/>
    </row>
    <row r="19936" spans="30:30" x14ac:dyDescent="0.3">
      <c r="AD19936" s="16"/>
    </row>
    <row r="19937" spans="30:30" x14ac:dyDescent="0.3">
      <c r="AD19937" s="16"/>
    </row>
    <row r="19938" spans="30:30" x14ac:dyDescent="0.3">
      <c r="AD19938" s="16"/>
    </row>
    <row r="19939" spans="30:30" x14ac:dyDescent="0.3">
      <c r="AD19939" s="16"/>
    </row>
    <row r="19940" spans="30:30" x14ac:dyDescent="0.3">
      <c r="AD19940" s="16"/>
    </row>
    <row r="19941" spans="30:30" x14ac:dyDescent="0.3">
      <c r="AD19941" s="16"/>
    </row>
    <row r="19942" spans="30:30" x14ac:dyDescent="0.3">
      <c r="AD19942" s="16"/>
    </row>
    <row r="19943" spans="30:30" x14ac:dyDescent="0.3">
      <c r="AD19943" s="16"/>
    </row>
    <row r="19944" spans="30:30" x14ac:dyDescent="0.3">
      <c r="AD19944" s="16"/>
    </row>
    <row r="19945" spans="30:30" x14ac:dyDescent="0.3">
      <c r="AD19945" s="16"/>
    </row>
    <row r="19946" spans="30:30" x14ac:dyDescent="0.3">
      <c r="AD19946" s="16"/>
    </row>
    <row r="19947" spans="30:30" x14ac:dyDescent="0.3">
      <c r="AD19947" s="16"/>
    </row>
    <row r="19948" spans="30:30" x14ac:dyDescent="0.3">
      <c r="AD19948" s="16"/>
    </row>
    <row r="19949" spans="30:30" x14ac:dyDescent="0.3">
      <c r="AD19949" s="16"/>
    </row>
    <row r="19950" spans="30:30" x14ac:dyDescent="0.3">
      <c r="AD19950" s="16"/>
    </row>
    <row r="19951" spans="30:30" x14ac:dyDescent="0.3">
      <c r="AD19951" s="16"/>
    </row>
    <row r="19952" spans="30:30" x14ac:dyDescent="0.3">
      <c r="AD19952" s="16"/>
    </row>
    <row r="19953" spans="30:30" x14ac:dyDescent="0.3">
      <c r="AD19953" s="16"/>
    </row>
    <row r="19954" spans="30:30" x14ac:dyDescent="0.3">
      <c r="AD19954" s="16"/>
    </row>
    <row r="19955" spans="30:30" x14ac:dyDescent="0.3">
      <c r="AD19955" s="16"/>
    </row>
    <row r="19956" spans="30:30" x14ac:dyDescent="0.3">
      <c r="AD19956" s="16"/>
    </row>
    <row r="19957" spans="30:30" x14ac:dyDescent="0.3">
      <c r="AD19957" s="16"/>
    </row>
    <row r="19958" spans="30:30" x14ac:dyDescent="0.3">
      <c r="AD19958" s="16"/>
    </row>
    <row r="19959" spans="30:30" x14ac:dyDescent="0.3">
      <c r="AD19959" s="16"/>
    </row>
    <row r="19960" spans="30:30" x14ac:dyDescent="0.3">
      <c r="AD19960" s="16"/>
    </row>
    <row r="19961" spans="30:30" x14ac:dyDescent="0.3">
      <c r="AD19961" s="16"/>
    </row>
    <row r="19962" spans="30:30" x14ac:dyDescent="0.3">
      <c r="AD19962" s="16"/>
    </row>
    <row r="19963" spans="30:30" x14ac:dyDescent="0.3">
      <c r="AD19963" s="16"/>
    </row>
    <row r="19964" spans="30:30" x14ac:dyDescent="0.3">
      <c r="AD19964" s="16"/>
    </row>
    <row r="19965" spans="30:30" x14ac:dyDescent="0.3">
      <c r="AD19965" s="16"/>
    </row>
    <row r="19966" spans="30:30" x14ac:dyDescent="0.3">
      <c r="AD19966" s="16"/>
    </row>
    <row r="19967" spans="30:30" x14ac:dyDescent="0.3">
      <c r="AD19967" s="16"/>
    </row>
    <row r="19968" spans="30:30" x14ac:dyDescent="0.3">
      <c r="AD19968" s="16"/>
    </row>
    <row r="19969" spans="30:30" x14ac:dyDescent="0.3">
      <c r="AD19969" s="16"/>
    </row>
    <row r="19970" spans="30:30" x14ac:dyDescent="0.3">
      <c r="AD19970" s="16"/>
    </row>
    <row r="19971" spans="30:30" x14ac:dyDescent="0.3">
      <c r="AD19971" s="16"/>
    </row>
    <row r="19972" spans="30:30" x14ac:dyDescent="0.3">
      <c r="AD19972" s="16"/>
    </row>
    <row r="19973" spans="30:30" x14ac:dyDescent="0.3">
      <c r="AD19973" s="16"/>
    </row>
    <row r="19974" spans="30:30" x14ac:dyDescent="0.3">
      <c r="AD19974" s="16"/>
    </row>
    <row r="19975" spans="30:30" x14ac:dyDescent="0.3">
      <c r="AD19975" s="16"/>
    </row>
    <row r="19976" spans="30:30" x14ac:dyDescent="0.3">
      <c r="AD19976" s="16"/>
    </row>
    <row r="19977" spans="30:30" x14ac:dyDescent="0.3">
      <c r="AD19977" s="16"/>
    </row>
    <row r="19978" spans="30:30" x14ac:dyDescent="0.3">
      <c r="AD19978" s="16"/>
    </row>
    <row r="19979" spans="30:30" x14ac:dyDescent="0.3">
      <c r="AD19979" s="16"/>
    </row>
    <row r="19980" spans="30:30" x14ac:dyDescent="0.3">
      <c r="AD19980" s="16"/>
    </row>
    <row r="19981" spans="30:30" x14ac:dyDescent="0.3">
      <c r="AD19981" s="16"/>
    </row>
    <row r="19982" spans="30:30" x14ac:dyDescent="0.3">
      <c r="AD19982" s="16"/>
    </row>
    <row r="19983" spans="30:30" x14ac:dyDescent="0.3">
      <c r="AD19983" s="16"/>
    </row>
    <row r="19984" spans="30:30" x14ac:dyDescent="0.3">
      <c r="AD19984" s="16"/>
    </row>
    <row r="19985" spans="30:30" x14ac:dyDescent="0.3">
      <c r="AD19985" s="16"/>
    </row>
    <row r="19986" spans="30:30" x14ac:dyDescent="0.3">
      <c r="AD19986" s="16"/>
    </row>
    <row r="19987" spans="30:30" x14ac:dyDescent="0.3">
      <c r="AD19987" s="16"/>
    </row>
    <row r="19988" spans="30:30" x14ac:dyDescent="0.3">
      <c r="AD19988" s="16"/>
    </row>
    <row r="19989" spans="30:30" x14ac:dyDescent="0.3">
      <c r="AD19989" s="16"/>
    </row>
    <row r="19990" spans="30:30" x14ac:dyDescent="0.3">
      <c r="AD19990" s="16"/>
    </row>
    <row r="19991" spans="30:30" x14ac:dyDescent="0.3">
      <c r="AD19991" s="16"/>
    </row>
    <row r="19992" spans="30:30" x14ac:dyDescent="0.3">
      <c r="AD19992" s="16"/>
    </row>
    <row r="19993" spans="30:30" x14ac:dyDescent="0.3">
      <c r="AD19993" s="16"/>
    </row>
    <row r="19994" spans="30:30" x14ac:dyDescent="0.3">
      <c r="AD19994" s="16"/>
    </row>
    <row r="19995" spans="30:30" x14ac:dyDescent="0.3">
      <c r="AD19995" s="16"/>
    </row>
    <row r="19996" spans="30:30" x14ac:dyDescent="0.3">
      <c r="AD19996" s="16"/>
    </row>
    <row r="19997" spans="30:30" x14ac:dyDescent="0.3">
      <c r="AD19997" s="16"/>
    </row>
    <row r="19998" spans="30:30" x14ac:dyDescent="0.3">
      <c r="AD19998" s="16"/>
    </row>
    <row r="19999" spans="30:30" x14ac:dyDescent="0.3">
      <c r="AD19999" s="16"/>
    </row>
    <row r="20000" spans="30:30" x14ac:dyDescent="0.3">
      <c r="AD20000" s="16"/>
    </row>
    <row r="20001" spans="30:30" x14ac:dyDescent="0.3">
      <c r="AD20001" s="16"/>
    </row>
    <row r="20002" spans="30:30" x14ac:dyDescent="0.3">
      <c r="AD20002" s="16"/>
    </row>
    <row r="20003" spans="30:30" x14ac:dyDescent="0.3">
      <c r="AD20003" s="16"/>
    </row>
    <row r="20004" spans="30:30" x14ac:dyDescent="0.3">
      <c r="AD20004" s="16"/>
    </row>
    <row r="20005" spans="30:30" x14ac:dyDescent="0.3">
      <c r="AD20005" s="16"/>
    </row>
    <row r="20006" spans="30:30" x14ac:dyDescent="0.3">
      <c r="AD20006" s="16"/>
    </row>
    <row r="20007" spans="30:30" x14ac:dyDescent="0.3">
      <c r="AD20007" s="16"/>
    </row>
    <row r="20008" spans="30:30" x14ac:dyDescent="0.3">
      <c r="AD20008" s="16"/>
    </row>
    <row r="20009" spans="30:30" x14ac:dyDescent="0.3">
      <c r="AD20009" s="16"/>
    </row>
    <row r="20010" spans="30:30" x14ac:dyDescent="0.3">
      <c r="AD20010" s="16"/>
    </row>
    <row r="20011" spans="30:30" x14ac:dyDescent="0.3">
      <c r="AD20011" s="16"/>
    </row>
    <row r="20012" spans="30:30" x14ac:dyDescent="0.3">
      <c r="AD20012" s="16"/>
    </row>
    <row r="20013" spans="30:30" x14ac:dyDescent="0.3">
      <c r="AD20013" s="16"/>
    </row>
    <row r="20014" spans="30:30" x14ac:dyDescent="0.3">
      <c r="AD20014" s="16"/>
    </row>
    <row r="20015" spans="30:30" x14ac:dyDescent="0.3">
      <c r="AD20015" s="16"/>
    </row>
    <row r="20016" spans="30:30" x14ac:dyDescent="0.3">
      <c r="AD20016" s="16"/>
    </row>
    <row r="20017" spans="30:30" x14ac:dyDescent="0.3">
      <c r="AD20017" s="16"/>
    </row>
    <row r="20018" spans="30:30" x14ac:dyDescent="0.3">
      <c r="AD20018" s="16"/>
    </row>
    <row r="20019" spans="30:30" x14ac:dyDescent="0.3">
      <c r="AD20019" s="16"/>
    </row>
    <row r="20020" spans="30:30" x14ac:dyDescent="0.3">
      <c r="AD20020" s="16"/>
    </row>
    <row r="20021" spans="30:30" x14ac:dyDescent="0.3">
      <c r="AD20021" s="16"/>
    </row>
    <row r="20022" spans="30:30" x14ac:dyDescent="0.3">
      <c r="AD20022" s="16"/>
    </row>
    <row r="20023" spans="30:30" x14ac:dyDescent="0.3">
      <c r="AD20023" s="16"/>
    </row>
    <row r="20024" spans="30:30" x14ac:dyDescent="0.3">
      <c r="AD20024" s="16"/>
    </row>
    <row r="20025" spans="30:30" x14ac:dyDescent="0.3">
      <c r="AD20025" s="16"/>
    </row>
    <row r="20026" spans="30:30" x14ac:dyDescent="0.3">
      <c r="AD20026" s="16"/>
    </row>
    <row r="20027" spans="30:30" x14ac:dyDescent="0.3">
      <c r="AD20027" s="16"/>
    </row>
    <row r="20028" spans="30:30" x14ac:dyDescent="0.3">
      <c r="AD20028" s="16"/>
    </row>
    <row r="20029" spans="30:30" x14ac:dyDescent="0.3">
      <c r="AD20029" s="16"/>
    </row>
    <row r="20030" spans="30:30" x14ac:dyDescent="0.3">
      <c r="AD20030" s="16"/>
    </row>
    <row r="20031" spans="30:30" x14ac:dyDescent="0.3">
      <c r="AD20031" s="16"/>
    </row>
    <row r="20032" spans="30:30" x14ac:dyDescent="0.3">
      <c r="AD20032" s="16"/>
    </row>
    <row r="20033" spans="30:30" x14ac:dyDescent="0.3">
      <c r="AD20033" s="16"/>
    </row>
    <row r="20034" spans="30:30" x14ac:dyDescent="0.3">
      <c r="AD20034" s="16"/>
    </row>
    <row r="20035" spans="30:30" x14ac:dyDescent="0.3">
      <c r="AD20035" s="16"/>
    </row>
    <row r="20036" spans="30:30" x14ac:dyDescent="0.3">
      <c r="AD20036" s="16"/>
    </row>
    <row r="20037" spans="30:30" x14ac:dyDescent="0.3">
      <c r="AD20037" s="16"/>
    </row>
    <row r="20038" spans="30:30" x14ac:dyDescent="0.3">
      <c r="AD20038" s="16"/>
    </row>
    <row r="20039" spans="30:30" x14ac:dyDescent="0.3">
      <c r="AD20039" s="16"/>
    </row>
    <row r="20040" spans="30:30" x14ac:dyDescent="0.3">
      <c r="AD20040" s="16"/>
    </row>
    <row r="20041" spans="30:30" x14ac:dyDescent="0.3">
      <c r="AD20041" s="16"/>
    </row>
    <row r="20042" spans="30:30" x14ac:dyDescent="0.3">
      <c r="AD20042" s="16"/>
    </row>
    <row r="20043" spans="30:30" x14ac:dyDescent="0.3">
      <c r="AD20043" s="16"/>
    </row>
    <row r="20044" spans="30:30" x14ac:dyDescent="0.3">
      <c r="AD20044" s="16"/>
    </row>
    <row r="20045" spans="30:30" x14ac:dyDescent="0.3">
      <c r="AD20045" s="16"/>
    </row>
    <row r="20046" spans="30:30" x14ac:dyDescent="0.3">
      <c r="AD20046" s="16"/>
    </row>
    <row r="20047" spans="30:30" x14ac:dyDescent="0.3">
      <c r="AD20047" s="16"/>
    </row>
    <row r="20048" spans="30:30" x14ac:dyDescent="0.3">
      <c r="AD20048" s="16"/>
    </row>
    <row r="20049" spans="30:30" x14ac:dyDescent="0.3">
      <c r="AD20049" s="16"/>
    </row>
    <row r="20050" spans="30:30" x14ac:dyDescent="0.3">
      <c r="AD20050" s="16"/>
    </row>
    <row r="20051" spans="30:30" x14ac:dyDescent="0.3">
      <c r="AD20051" s="16"/>
    </row>
    <row r="20052" spans="30:30" x14ac:dyDescent="0.3">
      <c r="AD20052" s="16"/>
    </row>
    <row r="20053" spans="30:30" x14ac:dyDescent="0.3">
      <c r="AD20053" s="16"/>
    </row>
    <row r="20054" spans="30:30" x14ac:dyDescent="0.3">
      <c r="AD20054" s="16"/>
    </row>
    <row r="20055" spans="30:30" x14ac:dyDescent="0.3">
      <c r="AD20055" s="16"/>
    </row>
    <row r="20056" spans="30:30" x14ac:dyDescent="0.3">
      <c r="AD20056" s="16"/>
    </row>
    <row r="20057" spans="30:30" x14ac:dyDescent="0.3">
      <c r="AD20057" s="16"/>
    </row>
    <row r="20058" spans="30:30" x14ac:dyDescent="0.3">
      <c r="AD20058" s="16"/>
    </row>
    <row r="20059" spans="30:30" x14ac:dyDescent="0.3">
      <c r="AD20059" s="16"/>
    </row>
    <row r="20060" spans="30:30" x14ac:dyDescent="0.3">
      <c r="AD20060" s="16"/>
    </row>
    <row r="20061" spans="30:30" x14ac:dyDescent="0.3">
      <c r="AD20061" s="16"/>
    </row>
    <row r="20062" spans="30:30" x14ac:dyDescent="0.3">
      <c r="AD20062" s="16"/>
    </row>
    <row r="20063" spans="30:30" x14ac:dyDescent="0.3">
      <c r="AD20063" s="16"/>
    </row>
    <row r="20064" spans="30:30" x14ac:dyDescent="0.3">
      <c r="AD20064" s="16"/>
    </row>
    <row r="20065" spans="30:30" x14ac:dyDescent="0.3">
      <c r="AD20065" s="16"/>
    </row>
    <row r="20066" spans="30:30" x14ac:dyDescent="0.3">
      <c r="AD20066" s="16"/>
    </row>
    <row r="20067" spans="30:30" x14ac:dyDescent="0.3">
      <c r="AD20067" s="16"/>
    </row>
    <row r="20068" spans="30:30" x14ac:dyDescent="0.3">
      <c r="AD20068" s="16"/>
    </row>
    <row r="20069" spans="30:30" x14ac:dyDescent="0.3">
      <c r="AD20069" s="16"/>
    </row>
    <row r="20070" spans="30:30" x14ac:dyDescent="0.3">
      <c r="AD20070" s="16"/>
    </row>
    <row r="20071" spans="30:30" x14ac:dyDescent="0.3">
      <c r="AD20071" s="16"/>
    </row>
    <row r="20072" spans="30:30" x14ac:dyDescent="0.3">
      <c r="AD20072" s="16"/>
    </row>
    <row r="20073" spans="30:30" x14ac:dyDescent="0.3">
      <c r="AD20073" s="16"/>
    </row>
    <row r="20074" spans="30:30" x14ac:dyDescent="0.3">
      <c r="AD20074" s="16"/>
    </row>
    <row r="20075" spans="30:30" x14ac:dyDescent="0.3">
      <c r="AD20075" s="16"/>
    </row>
    <row r="20076" spans="30:30" x14ac:dyDescent="0.3">
      <c r="AD20076" s="16"/>
    </row>
    <row r="20077" spans="30:30" x14ac:dyDescent="0.3">
      <c r="AD20077" s="16"/>
    </row>
    <row r="20078" spans="30:30" x14ac:dyDescent="0.3">
      <c r="AD20078" s="16"/>
    </row>
    <row r="20079" spans="30:30" x14ac:dyDescent="0.3">
      <c r="AD20079" s="16"/>
    </row>
    <row r="20080" spans="30:30" x14ac:dyDescent="0.3">
      <c r="AD20080" s="16"/>
    </row>
    <row r="20081" spans="30:30" x14ac:dyDescent="0.3">
      <c r="AD20081" s="16"/>
    </row>
    <row r="20082" spans="30:30" x14ac:dyDescent="0.3">
      <c r="AD20082" s="16"/>
    </row>
    <row r="20083" spans="30:30" x14ac:dyDescent="0.3">
      <c r="AD20083" s="16"/>
    </row>
    <row r="20084" spans="30:30" x14ac:dyDescent="0.3">
      <c r="AD20084" s="16"/>
    </row>
    <row r="20085" spans="30:30" x14ac:dyDescent="0.3">
      <c r="AD20085" s="16"/>
    </row>
    <row r="20086" spans="30:30" x14ac:dyDescent="0.3">
      <c r="AD20086" s="16"/>
    </row>
    <row r="20087" spans="30:30" x14ac:dyDescent="0.3">
      <c r="AD20087" s="16"/>
    </row>
    <row r="20088" spans="30:30" x14ac:dyDescent="0.3">
      <c r="AD20088" s="16"/>
    </row>
    <row r="20089" spans="30:30" x14ac:dyDescent="0.3">
      <c r="AD20089" s="16"/>
    </row>
    <row r="20090" spans="30:30" x14ac:dyDescent="0.3">
      <c r="AD20090" s="16"/>
    </row>
    <row r="20091" spans="30:30" x14ac:dyDescent="0.3">
      <c r="AD20091" s="16"/>
    </row>
    <row r="20092" spans="30:30" x14ac:dyDescent="0.3">
      <c r="AD20092" s="16"/>
    </row>
    <row r="20093" spans="30:30" x14ac:dyDescent="0.3">
      <c r="AD20093" s="16"/>
    </row>
    <row r="20094" spans="30:30" x14ac:dyDescent="0.3">
      <c r="AD20094" s="16"/>
    </row>
    <row r="20095" spans="30:30" x14ac:dyDescent="0.3">
      <c r="AD20095" s="16"/>
    </row>
    <row r="20096" spans="30:30" x14ac:dyDescent="0.3">
      <c r="AD20096" s="16"/>
    </row>
    <row r="20097" spans="30:30" x14ac:dyDescent="0.3">
      <c r="AD20097" s="16"/>
    </row>
    <row r="20098" spans="30:30" x14ac:dyDescent="0.3">
      <c r="AD20098" s="16"/>
    </row>
    <row r="20099" spans="30:30" x14ac:dyDescent="0.3">
      <c r="AD20099" s="16"/>
    </row>
    <row r="20100" spans="30:30" x14ac:dyDescent="0.3">
      <c r="AD20100" s="16"/>
    </row>
    <row r="20101" spans="30:30" x14ac:dyDescent="0.3">
      <c r="AD20101" s="16"/>
    </row>
    <row r="20102" spans="30:30" x14ac:dyDescent="0.3">
      <c r="AD20102" s="16"/>
    </row>
    <row r="20103" spans="30:30" x14ac:dyDescent="0.3">
      <c r="AD20103" s="16"/>
    </row>
    <row r="20104" spans="30:30" x14ac:dyDescent="0.3">
      <c r="AD20104" s="16"/>
    </row>
    <row r="20105" spans="30:30" x14ac:dyDescent="0.3">
      <c r="AD20105" s="16"/>
    </row>
    <row r="20106" spans="30:30" x14ac:dyDescent="0.3">
      <c r="AD20106" s="16"/>
    </row>
    <row r="20107" spans="30:30" x14ac:dyDescent="0.3">
      <c r="AD20107" s="16"/>
    </row>
    <row r="20108" spans="30:30" x14ac:dyDescent="0.3">
      <c r="AD20108" s="16"/>
    </row>
    <row r="20109" spans="30:30" x14ac:dyDescent="0.3">
      <c r="AD20109" s="16"/>
    </row>
    <row r="20110" spans="30:30" x14ac:dyDescent="0.3">
      <c r="AD20110" s="16"/>
    </row>
    <row r="20111" spans="30:30" x14ac:dyDescent="0.3">
      <c r="AD20111" s="16"/>
    </row>
    <row r="20112" spans="30:30" x14ac:dyDescent="0.3">
      <c r="AD20112" s="16"/>
    </row>
    <row r="20113" spans="30:30" x14ac:dyDescent="0.3">
      <c r="AD20113" s="16"/>
    </row>
    <row r="20114" spans="30:30" x14ac:dyDescent="0.3">
      <c r="AD20114" s="16"/>
    </row>
    <row r="20115" spans="30:30" x14ac:dyDescent="0.3">
      <c r="AD20115" s="16"/>
    </row>
    <row r="20116" spans="30:30" x14ac:dyDescent="0.3">
      <c r="AD20116" s="16"/>
    </row>
    <row r="20117" spans="30:30" x14ac:dyDescent="0.3">
      <c r="AD20117" s="16"/>
    </row>
    <row r="20118" spans="30:30" x14ac:dyDescent="0.3">
      <c r="AD20118" s="16"/>
    </row>
    <row r="20119" spans="30:30" x14ac:dyDescent="0.3">
      <c r="AD20119" s="16"/>
    </row>
    <row r="20120" spans="30:30" x14ac:dyDescent="0.3">
      <c r="AD20120" s="16"/>
    </row>
    <row r="20121" spans="30:30" x14ac:dyDescent="0.3">
      <c r="AD20121" s="16"/>
    </row>
    <row r="20122" spans="30:30" x14ac:dyDescent="0.3">
      <c r="AD20122" s="16"/>
    </row>
    <row r="20123" spans="30:30" x14ac:dyDescent="0.3">
      <c r="AD20123" s="16"/>
    </row>
    <row r="20124" spans="30:30" x14ac:dyDescent="0.3">
      <c r="AD20124" s="16"/>
    </row>
    <row r="20125" spans="30:30" x14ac:dyDescent="0.3">
      <c r="AD20125" s="16"/>
    </row>
    <row r="20126" spans="30:30" x14ac:dyDescent="0.3">
      <c r="AD20126" s="16"/>
    </row>
    <row r="20127" spans="30:30" x14ac:dyDescent="0.3">
      <c r="AD20127" s="16"/>
    </row>
    <row r="20128" spans="30:30" x14ac:dyDescent="0.3">
      <c r="AD20128" s="16"/>
    </row>
    <row r="20129" spans="30:30" x14ac:dyDescent="0.3">
      <c r="AD20129" s="16"/>
    </row>
    <row r="20130" spans="30:30" x14ac:dyDescent="0.3">
      <c r="AD20130" s="16"/>
    </row>
    <row r="20131" spans="30:30" x14ac:dyDescent="0.3">
      <c r="AD20131" s="16"/>
    </row>
    <row r="20132" spans="30:30" x14ac:dyDescent="0.3">
      <c r="AD20132" s="16"/>
    </row>
    <row r="20133" spans="30:30" x14ac:dyDescent="0.3">
      <c r="AD20133" s="16"/>
    </row>
    <row r="20134" spans="30:30" x14ac:dyDescent="0.3">
      <c r="AD20134" s="16"/>
    </row>
    <row r="20135" spans="30:30" x14ac:dyDescent="0.3">
      <c r="AD20135" s="16"/>
    </row>
    <row r="20136" spans="30:30" x14ac:dyDescent="0.3">
      <c r="AD20136" s="16"/>
    </row>
    <row r="20137" spans="30:30" x14ac:dyDescent="0.3">
      <c r="AD20137" s="16"/>
    </row>
    <row r="20138" spans="30:30" x14ac:dyDescent="0.3">
      <c r="AD20138" s="16"/>
    </row>
    <row r="20139" spans="30:30" x14ac:dyDescent="0.3">
      <c r="AD20139" s="16"/>
    </row>
    <row r="20140" spans="30:30" x14ac:dyDescent="0.3">
      <c r="AD20140" s="16"/>
    </row>
    <row r="20141" spans="30:30" x14ac:dyDescent="0.3">
      <c r="AD20141" s="16"/>
    </row>
    <row r="20142" spans="30:30" x14ac:dyDescent="0.3">
      <c r="AD20142" s="16"/>
    </row>
    <row r="20143" spans="30:30" x14ac:dyDescent="0.3">
      <c r="AD20143" s="16"/>
    </row>
    <row r="20144" spans="30:30" x14ac:dyDescent="0.3">
      <c r="AD20144" s="16"/>
    </row>
    <row r="20145" spans="30:30" x14ac:dyDescent="0.3">
      <c r="AD20145" s="16"/>
    </row>
    <row r="20146" spans="30:30" x14ac:dyDescent="0.3">
      <c r="AD20146" s="16"/>
    </row>
    <row r="20147" spans="30:30" x14ac:dyDescent="0.3">
      <c r="AD20147" s="16"/>
    </row>
    <row r="20148" spans="30:30" x14ac:dyDescent="0.3">
      <c r="AD20148" s="16"/>
    </row>
    <row r="20149" spans="30:30" x14ac:dyDescent="0.3">
      <c r="AD20149" s="16"/>
    </row>
    <row r="20150" spans="30:30" x14ac:dyDescent="0.3">
      <c r="AD20150" s="16"/>
    </row>
    <row r="20151" spans="30:30" x14ac:dyDescent="0.3">
      <c r="AD20151" s="16"/>
    </row>
    <row r="20152" spans="30:30" x14ac:dyDescent="0.3">
      <c r="AD20152" s="16"/>
    </row>
    <row r="20153" spans="30:30" x14ac:dyDescent="0.3">
      <c r="AD20153" s="16"/>
    </row>
    <row r="20154" spans="30:30" x14ac:dyDescent="0.3">
      <c r="AD20154" s="16"/>
    </row>
    <row r="20155" spans="30:30" x14ac:dyDescent="0.3">
      <c r="AD20155" s="16"/>
    </row>
    <row r="20156" spans="30:30" x14ac:dyDescent="0.3">
      <c r="AD20156" s="16"/>
    </row>
    <row r="20157" spans="30:30" x14ac:dyDescent="0.3">
      <c r="AD20157" s="16"/>
    </row>
    <row r="20158" spans="30:30" x14ac:dyDescent="0.3">
      <c r="AD20158" s="16"/>
    </row>
    <row r="20159" spans="30:30" x14ac:dyDescent="0.3">
      <c r="AD20159" s="16"/>
    </row>
    <row r="20160" spans="30:30" x14ac:dyDescent="0.3">
      <c r="AD20160" s="16"/>
    </row>
    <row r="20161" spans="30:30" x14ac:dyDescent="0.3">
      <c r="AD20161" s="16"/>
    </row>
    <row r="20162" spans="30:30" x14ac:dyDescent="0.3">
      <c r="AD20162" s="16"/>
    </row>
    <row r="20163" spans="30:30" x14ac:dyDescent="0.3">
      <c r="AD20163" s="16"/>
    </row>
    <row r="20164" spans="30:30" x14ac:dyDescent="0.3">
      <c r="AD20164" s="16"/>
    </row>
    <row r="20165" spans="30:30" x14ac:dyDescent="0.3">
      <c r="AD20165" s="16"/>
    </row>
    <row r="20166" spans="30:30" x14ac:dyDescent="0.3">
      <c r="AD20166" s="16"/>
    </row>
    <row r="20167" spans="30:30" x14ac:dyDescent="0.3">
      <c r="AD20167" s="16"/>
    </row>
    <row r="20168" spans="30:30" x14ac:dyDescent="0.3">
      <c r="AD20168" s="16"/>
    </row>
    <row r="20169" spans="30:30" x14ac:dyDescent="0.3">
      <c r="AD20169" s="16"/>
    </row>
    <row r="20170" spans="30:30" x14ac:dyDescent="0.3">
      <c r="AD20170" s="16"/>
    </row>
    <row r="20171" spans="30:30" x14ac:dyDescent="0.3">
      <c r="AD20171" s="16"/>
    </row>
    <row r="20172" spans="30:30" x14ac:dyDescent="0.3">
      <c r="AD20172" s="16"/>
    </row>
    <row r="20173" spans="30:30" x14ac:dyDescent="0.3">
      <c r="AD20173" s="16"/>
    </row>
    <row r="20174" spans="30:30" x14ac:dyDescent="0.3">
      <c r="AD20174" s="16"/>
    </row>
    <row r="20175" spans="30:30" x14ac:dyDescent="0.3">
      <c r="AD20175" s="16"/>
    </row>
    <row r="20176" spans="30:30" x14ac:dyDescent="0.3">
      <c r="AD20176" s="16"/>
    </row>
    <row r="20177" spans="30:30" x14ac:dyDescent="0.3">
      <c r="AD20177" s="16"/>
    </row>
    <row r="20178" spans="30:30" x14ac:dyDescent="0.3">
      <c r="AD20178" s="16"/>
    </row>
    <row r="20179" spans="30:30" x14ac:dyDescent="0.3">
      <c r="AD20179" s="16"/>
    </row>
    <row r="20180" spans="30:30" x14ac:dyDescent="0.3">
      <c r="AD20180" s="16"/>
    </row>
    <row r="20181" spans="30:30" x14ac:dyDescent="0.3">
      <c r="AD20181" s="16"/>
    </row>
    <row r="20182" spans="30:30" x14ac:dyDescent="0.3">
      <c r="AD20182" s="16"/>
    </row>
    <row r="20183" spans="30:30" x14ac:dyDescent="0.3">
      <c r="AD20183" s="16"/>
    </row>
    <row r="20184" spans="30:30" x14ac:dyDescent="0.3">
      <c r="AD20184" s="16"/>
    </row>
    <row r="20185" spans="30:30" x14ac:dyDescent="0.3">
      <c r="AD20185" s="16"/>
    </row>
    <row r="20186" spans="30:30" x14ac:dyDescent="0.3">
      <c r="AD20186" s="16"/>
    </row>
    <row r="20187" spans="30:30" x14ac:dyDescent="0.3">
      <c r="AD20187" s="16"/>
    </row>
    <row r="20188" spans="30:30" x14ac:dyDescent="0.3">
      <c r="AD20188" s="16"/>
    </row>
    <row r="20189" spans="30:30" x14ac:dyDescent="0.3">
      <c r="AD20189" s="16"/>
    </row>
    <row r="20190" spans="30:30" x14ac:dyDescent="0.3">
      <c r="AD20190" s="16"/>
    </row>
    <row r="20191" spans="30:30" x14ac:dyDescent="0.3">
      <c r="AD20191" s="16"/>
    </row>
    <row r="20192" spans="30:30" x14ac:dyDescent="0.3">
      <c r="AD20192" s="16"/>
    </row>
    <row r="20193" spans="30:30" x14ac:dyDescent="0.3">
      <c r="AD20193" s="16"/>
    </row>
    <row r="20194" spans="30:30" x14ac:dyDescent="0.3">
      <c r="AD20194" s="16"/>
    </row>
    <row r="20195" spans="30:30" x14ac:dyDescent="0.3">
      <c r="AD20195" s="16"/>
    </row>
    <row r="20196" spans="30:30" x14ac:dyDescent="0.3">
      <c r="AD20196" s="16"/>
    </row>
    <row r="20197" spans="30:30" x14ac:dyDescent="0.3">
      <c r="AD20197" s="16"/>
    </row>
    <row r="20198" spans="30:30" x14ac:dyDescent="0.3">
      <c r="AD20198" s="16"/>
    </row>
    <row r="20199" spans="30:30" x14ac:dyDescent="0.3">
      <c r="AD20199" s="16"/>
    </row>
    <row r="20200" spans="30:30" x14ac:dyDescent="0.3">
      <c r="AD20200" s="16"/>
    </row>
    <row r="20201" spans="30:30" x14ac:dyDescent="0.3">
      <c r="AD20201" s="16"/>
    </row>
    <row r="20202" spans="30:30" x14ac:dyDescent="0.3">
      <c r="AD20202" s="16"/>
    </row>
    <row r="20203" spans="30:30" x14ac:dyDescent="0.3">
      <c r="AD20203" s="16"/>
    </row>
    <row r="20204" spans="30:30" x14ac:dyDescent="0.3">
      <c r="AD20204" s="16"/>
    </row>
    <row r="20205" spans="30:30" x14ac:dyDescent="0.3">
      <c r="AD20205" s="16"/>
    </row>
    <row r="20206" spans="30:30" x14ac:dyDescent="0.3">
      <c r="AD20206" s="16"/>
    </row>
    <row r="20207" spans="30:30" x14ac:dyDescent="0.3">
      <c r="AD20207" s="16"/>
    </row>
    <row r="20208" spans="30:30" x14ac:dyDescent="0.3">
      <c r="AD20208" s="16"/>
    </row>
    <row r="20209" spans="30:30" x14ac:dyDescent="0.3">
      <c r="AD20209" s="16"/>
    </row>
    <row r="20210" spans="30:30" x14ac:dyDescent="0.3">
      <c r="AD20210" s="16"/>
    </row>
    <row r="20211" spans="30:30" x14ac:dyDescent="0.3">
      <c r="AD20211" s="16"/>
    </row>
    <row r="20212" spans="30:30" x14ac:dyDescent="0.3">
      <c r="AD20212" s="16"/>
    </row>
    <row r="20213" spans="30:30" x14ac:dyDescent="0.3">
      <c r="AD20213" s="16"/>
    </row>
    <row r="20214" spans="30:30" x14ac:dyDescent="0.3">
      <c r="AD20214" s="16"/>
    </row>
    <row r="20215" spans="30:30" x14ac:dyDescent="0.3">
      <c r="AD20215" s="16"/>
    </row>
    <row r="20216" spans="30:30" x14ac:dyDescent="0.3">
      <c r="AD20216" s="16"/>
    </row>
    <row r="20217" spans="30:30" x14ac:dyDescent="0.3">
      <c r="AD20217" s="16"/>
    </row>
    <row r="20218" spans="30:30" x14ac:dyDescent="0.3">
      <c r="AD20218" s="16"/>
    </row>
    <row r="20219" spans="30:30" x14ac:dyDescent="0.3">
      <c r="AD20219" s="16"/>
    </row>
    <row r="20220" spans="30:30" x14ac:dyDescent="0.3">
      <c r="AD20220" s="16"/>
    </row>
    <row r="20221" spans="30:30" x14ac:dyDescent="0.3">
      <c r="AD20221" s="16"/>
    </row>
    <row r="20222" spans="30:30" x14ac:dyDescent="0.3">
      <c r="AD20222" s="16"/>
    </row>
    <row r="20223" spans="30:30" x14ac:dyDescent="0.3">
      <c r="AD20223" s="16"/>
    </row>
    <row r="20224" spans="30:30" x14ac:dyDescent="0.3">
      <c r="AD20224" s="16"/>
    </row>
    <row r="20225" spans="30:30" x14ac:dyDescent="0.3">
      <c r="AD20225" s="16"/>
    </row>
    <row r="20226" spans="30:30" x14ac:dyDescent="0.3">
      <c r="AD20226" s="16"/>
    </row>
    <row r="20227" spans="30:30" x14ac:dyDescent="0.3">
      <c r="AD20227" s="16"/>
    </row>
    <row r="20228" spans="30:30" x14ac:dyDescent="0.3">
      <c r="AD20228" s="16"/>
    </row>
    <row r="20229" spans="30:30" x14ac:dyDescent="0.3">
      <c r="AD20229" s="16"/>
    </row>
    <row r="20230" spans="30:30" x14ac:dyDescent="0.3">
      <c r="AD20230" s="16"/>
    </row>
    <row r="20231" spans="30:30" x14ac:dyDescent="0.3">
      <c r="AD20231" s="16"/>
    </row>
    <row r="20232" spans="30:30" x14ac:dyDescent="0.3">
      <c r="AD20232" s="16"/>
    </row>
    <row r="20233" spans="30:30" x14ac:dyDescent="0.3">
      <c r="AD20233" s="16"/>
    </row>
    <row r="20234" spans="30:30" x14ac:dyDescent="0.3">
      <c r="AD20234" s="16"/>
    </row>
    <row r="20235" spans="30:30" x14ac:dyDescent="0.3">
      <c r="AD20235" s="16"/>
    </row>
    <row r="20236" spans="30:30" x14ac:dyDescent="0.3">
      <c r="AD20236" s="16"/>
    </row>
    <row r="20237" spans="30:30" x14ac:dyDescent="0.3">
      <c r="AD20237" s="16"/>
    </row>
    <row r="20238" spans="30:30" x14ac:dyDescent="0.3">
      <c r="AD20238" s="16"/>
    </row>
    <row r="20239" spans="30:30" x14ac:dyDescent="0.3">
      <c r="AD20239" s="16"/>
    </row>
    <row r="20240" spans="30:30" x14ac:dyDescent="0.3">
      <c r="AD20240" s="16"/>
    </row>
    <row r="20241" spans="30:30" x14ac:dyDescent="0.3">
      <c r="AD20241" s="16"/>
    </row>
    <row r="20242" spans="30:30" x14ac:dyDescent="0.3">
      <c r="AD20242" s="16"/>
    </row>
    <row r="20243" spans="30:30" x14ac:dyDescent="0.3">
      <c r="AD20243" s="16"/>
    </row>
    <row r="20244" spans="30:30" x14ac:dyDescent="0.3">
      <c r="AD20244" s="16"/>
    </row>
    <row r="20245" spans="30:30" x14ac:dyDescent="0.3">
      <c r="AD20245" s="16"/>
    </row>
    <row r="20246" spans="30:30" x14ac:dyDescent="0.3">
      <c r="AD20246" s="16"/>
    </row>
    <row r="20247" spans="30:30" x14ac:dyDescent="0.3">
      <c r="AD20247" s="16"/>
    </row>
    <row r="20248" spans="30:30" x14ac:dyDescent="0.3">
      <c r="AD20248" s="16"/>
    </row>
    <row r="20249" spans="30:30" x14ac:dyDescent="0.3">
      <c r="AD20249" s="16"/>
    </row>
    <row r="20250" spans="30:30" x14ac:dyDescent="0.3">
      <c r="AD20250" s="16"/>
    </row>
    <row r="20251" spans="30:30" x14ac:dyDescent="0.3">
      <c r="AD20251" s="16"/>
    </row>
    <row r="20252" spans="30:30" x14ac:dyDescent="0.3">
      <c r="AD20252" s="16"/>
    </row>
    <row r="20253" spans="30:30" x14ac:dyDescent="0.3">
      <c r="AD20253" s="16"/>
    </row>
    <row r="20254" spans="30:30" x14ac:dyDescent="0.3">
      <c r="AD20254" s="16"/>
    </row>
    <row r="20255" spans="30:30" x14ac:dyDescent="0.3">
      <c r="AD20255" s="16"/>
    </row>
    <row r="20256" spans="30:30" x14ac:dyDescent="0.3">
      <c r="AD20256" s="16"/>
    </row>
    <row r="20257" spans="30:30" x14ac:dyDescent="0.3">
      <c r="AD20257" s="16"/>
    </row>
    <row r="20258" spans="30:30" x14ac:dyDescent="0.3">
      <c r="AD20258" s="16"/>
    </row>
    <row r="20259" spans="30:30" x14ac:dyDescent="0.3">
      <c r="AD20259" s="16"/>
    </row>
    <row r="20260" spans="30:30" x14ac:dyDescent="0.3">
      <c r="AD20260" s="16"/>
    </row>
    <row r="20261" spans="30:30" x14ac:dyDescent="0.3">
      <c r="AD20261" s="16"/>
    </row>
    <row r="20262" spans="30:30" x14ac:dyDescent="0.3">
      <c r="AD20262" s="16"/>
    </row>
    <row r="20263" spans="30:30" x14ac:dyDescent="0.3">
      <c r="AD20263" s="16"/>
    </row>
    <row r="20264" spans="30:30" x14ac:dyDescent="0.3">
      <c r="AD20264" s="16"/>
    </row>
    <row r="20265" spans="30:30" x14ac:dyDescent="0.3">
      <c r="AD20265" s="16"/>
    </row>
    <row r="20266" spans="30:30" x14ac:dyDescent="0.3">
      <c r="AD20266" s="16"/>
    </row>
    <row r="20267" spans="30:30" x14ac:dyDescent="0.3">
      <c r="AD20267" s="16"/>
    </row>
    <row r="20268" spans="30:30" x14ac:dyDescent="0.3">
      <c r="AD20268" s="16"/>
    </row>
    <row r="20269" spans="30:30" x14ac:dyDescent="0.3">
      <c r="AD20269" s="16"/>
    </row>
    <row r="20270" spans="30:30" x14ac:dyDescent="0.3">
      <c r="AD20270" s="16"/>
    </row>
    <row r="20271" spans="30:30" x14ac:dyDescent="0.3">
      <c r="AD20271" s="16"/>
    </row>
    <row r="20272" spans="30:30" x14ac:dyDescent="0.3">
      <c r="AD20272" s="16"/>
    </row>
    <row r="20273" spans="30:30" x14ac:dyDescent="0.3">
      <c r="AD20273" s="16"/>
    </row>
    <row r="20274" spans="30:30" x14ac:dyDescent="0.3">
      <c r="AD20274" s="16"/>
    </row>
    <row r="20275" spans="30:30" x14ac:dyDescent="0.3">
      <c r="AD20275" s="16"/>
    </row>
    <row r="20276" spans="30:30" x14ac:dyDescent="0.3">
      <c r="AD20276" s="16"/>
    </row>
    <row r="20277" spans="30:30" x14ac:dyDescent="0.3">
      <c r="AD20277" s="16"/>
    </row>
    <row r="20278" spans="30:30" x14ac:dyDescent="0.3">
      <c r="AD20278" s="16"/>
    </row>
    <row r="20279" spans="30:30" x14ac:dyDescent="0.3">
      <c r="AD20279" s="16"/>
    </row>
    <row r="20280" spans="30:30" x14ac:dyDescent="0.3">
      <c r="AD20280" s="16"/>
    </row>
    <row r="20281" spans="30:30" x14ac:dyDescent="0.3">
      <c r="AD20281" s="16"/>
    </row>
    <row r="20282" spans="30:30" x14ac:dyDescent="0.3">
      <c r="AD20282" s="16"/>
    </row>
    <row r="20283" spans="30:30" x14ac:dyDescent="0.3">
      <c r="AD20283" s="16"/>
    </row>
    <row r="20284" spans="30:30" x14ac:dyDescent="0.3">
      <c r="AD20284" s="16"/>
    </row>
    <row r="20285" spans="30:30" x14ac:dyDescent="0.3">
      <c r="AD20285" s="16"/>
    </row>
    <row r="20286" spans="30:30" x14ac:dyDescent="0.3">
      <c r="AD20286" s="16"/>
    </row>
    <row r="20287" spans="30:30" x14ac:dyDescent="0.3">
      <c r="AD20287" s="16"/>
    </row>
    <row r="20288" spans="30:30" x14ac:dyDescent="0.3">
      <c r="AD20288" s="16"/>
    </row>
    <row r="20289" spans="30:30" x14ac:dyDescent="0.3">
      <c r="AD20289" s="16"/>
    </row>
    <row r="20290" spans="30:30" x14ac:dyDescent="0.3">
      <c r="AD20290" s="16"/>
    </row>
    <row r="20291" spans="30:30" x14ac:dyDescent="0.3">
      <c r="AD20291" s="16"/>
    </row>
    <row r="20292" spans="30:30" x14ac:dyDescent="0.3">
      <c r="AD20292" s="16"/>
    </row>
    <row r="20293" spans="30:30" x14ac:dyDescent="0.3">
      <c r="AD20293" s="16"/>
    </row>
    <row r="20294" spans="30:30" x14ac:dyDescent="0.3">
      <c r="AD20294" s="16"/>
    </row>
    <row r="20295" spans="30:30" x14ac:dyDescent="0.3">
      <c r="AD20295" s="16"/>
    </row>
    <row r="20296" spans="30:30" x14ac:dyDescent="0.3">
      <c r="AD20296" s="16"/>
    </row>
    <row r="20297" spans="30:30" x14ac:dyDescent="0.3">
      <c r="AD20297" s="16"/>
    </row>
    <row r="20298" spans="30:30" x14ac:dyDescent="0.3">
      <c r="AD20298" s="16"/>
    </row>
    <row r="20299" spans="30:30" x14ac:dyDescent="0.3">
      <c r="AD20299" s="16"/>
    </row>
    <row r="20300" spans="30:30" x14ac:dyDescent="0.3">
      <c r="AD20300" s="16"/>
    </row>
    <row r="20301" spans="30:30" x14ac:dyDescent="0.3">
      <c r="AD20301" s="16"/>
    </row>
    <row r="20302" spans="30:30" x14ac:dyDescent="0.3">
      <c r="AD20302" s="16"/>
    </row>
    <row r="20303" spans="30:30" x14ac:dyDescent="0.3">
      <c r="AD20303" s="16"/>
    </row>
    <row r="20304" spans="30:30" x14ac:dyDescent="0.3">
      <c r="AD20304" s="16"/>
    </row>
    <row r="20305" spans="30:30" x14ac:dyDescent="0.3">
      <c r="AD20305" s="16"/>
    </row>
    <row r="20306" spans="30:30" x14ac:dyDescent="0.3">
      <c r="AD20306" s="16"/>
    </row>
    <row r="20307" spans="30:30" x14ac:dyDescent="0.3">
      <c r="AD20307" s="16"/>
    </row>
    <row r="20308" spans="30:30" x14ac:dyDescent="0.3">
      <c r="AD20308" s="16"/>
    </row>
    <row r="20309" spans="30:30" x14ac:dyDescent="0.3">
      <c r="AD20309" s="16"/>
    </row>
    <row r="20310" spans="30:30" x14ac:dyDescent="0.3">
      <c r="AD20310" s="16"/>
    </row>
    <row r="20311" spans="30:30" x14ac:dyDescent="0.3">
      <c r="AD20311" s="16"/>
    </row>
    <row r="20312" spans="30:30" x14ac:dyDescent="0.3">
      <c r="AD20312" s="16"/>
    </row>
    <row r="20313" spans="30:30" x14ac:dyDescent="0.3">
      <c r="AD20313" s="16"/>
    </row>
    <row r="20314" spans="30:30" x14ac:dyDescent="0.3">
      <c r="AD20314" s="16"/>
    </row>
    <row r="20315" spans="30:30" x14ac:dyDescent="0.3">
      <c r="AD20315" s="16"/>
    </row>
    <row r="20316" spans="30:30" x14ac:dyDescent="0.3">
      <c r="AD20316" s="16"/>
    </row>
    <row r="20317" spans="30:30" x14ac:dyDescent="0.3">
      <c r="AD20317" s="16"/>
    </row>
    <row r="20318" spans="30:30" x14ac:dyDescent="0.3">
      <c r="AD20318" s="16"/>
    </row>
    <row r="20319" spans="30:30" x14ac:dyDescent="0.3">
      <c r="AD20319" s="16"/>
    </row>
    <row r="20320" spans="30:30" x14ac:dyDescent="0.3">
      <c r="AD20320" s="16"/>
    </row>
    <row r="20321" spans="30:30" x14ac:dyDescent="0.3">
      <c r="AD20321" s="16"/>
    </row>
    <row r="20322" spans="30:30" x14ac:dyDescent="0.3">
      <c r="AD20322" s="16"/>
    </row>
    <row r="20323" spans="30:30" x14ac:dyDescent="0.3">
      <c r="AD20323" s="16"/>
    </row>
    <row r="20324" spans="30:30" x14ac:dyDescent="0.3">
      <c r="AD20324" s="16"/>
    </row>
    <row r="20325" spans="30:30" x14ac:dyDescent="0.3">
      <c r="AD20325" s="16"/>
    </row>
    <row r="20326" spans="30:30" x14ac:dyDescent="0.3">
      <c r="AD20326" s="16"/>
    </row>
    <row r="20327" spans="30:30" x14ac:dyDescent="0.3">
      <c r="AD20327" s="16"/>
    </row>
    <row r="20328" spans="30:30" x14ac:dyDescent="0.3">
      <c r="AD20328" s="16"/>
    </row>
    <row r="20329" spans="30:30" x14ac:dyDescent="0.3">
      <c r="AD20329" s="16"/>
    </row>
    <row r="20330" spans="30:30" x14ac:dyDescent="0.3">
      <c r="AD20330" s="16"/>
    </row>
    <row r="20331" spans="30:30" x14ac:dyDescent="0.3">
      <c r="AD20331" s="16"/>
    </row>
    <row r="20332" spans="30:30" x14ac:dyDescent="0.3">
      <c r="AD20332" s="16"/>
    </row>
    <row r="20333" spans="30:30" x14ac:dyDescent="0.3">
      <c r="AD20333" s="16"/>
    </row>
    <row r="20334" spans="30:30" x14ac:dyDescent="0.3">
      <c r="AD20334" s="16"/>
    </row>
    <row r="20335" spans="30:30" x14ac:dyDescent="0.3">
      <c r="AD20335" s="16"/>
    </row>
    <row r="20336" spans="30:30" x14ac:dyDescent="0.3">
      <c r="AD20336" s="16"/>
    </row>
    <row r="20337" spans="30:30" x14ac:dyDescent="0.3">
      <c r="AD20337" s="16"/>
    </row>
    <row r="20338" spans="30:30" x14ac:dyDescent="0.3">
      <c r="AD20338" s="16"/>
    </row>
    <row r="20339" spans="30:30" x14ac:dyDescent="0.3">
      <c r="AD20339" s="16"/>
    </row>
    <row r="20340" spans="30:30" x14ac:dyDescent="0.3">
      <c r="AD20340" s="16"/>
    </row>
    <row r="20341" spans="30:30" x14ac:dyDescent="0.3">
      <c r="AD20341" s="16"/>
    </row>
    <row r="20342" spans="30:30" x14ac:dyDescent="0.3">
      <c r="AD20342" s="16"/>
    </row>
    <row r="20343" spans="30:30" x14ac:dyDescent="0.3">
      <c r="AD20343" s="16"/>
    </row>
    <row r="20344" spans="30:30" x14ac:dyDescent="0.3">
      <c r="AD20344" s="16"/>
    </row>
    <row r="20345" spans="30:30" x14ac:dyDescent="0.3">
      <c r="AD20345" s="16"/>
    </row>
    <row r="20346" spans="30:30" x14ac:dyDescent="0.3">
      <c r="AD20346" s="16"/>
    </row>
    <row r="20347" spans="30:30" x14ac:dyDescent="0.3">
      <c r="AD20347" s="16"/>
    </row>
    <row r="20348" spans="30:30" x14ac:dyDescent="0.3">
      <c r="AD20348" s="16"/>
    </row>
    <row r="20349" spans="30:30" x14ac:dyDescent="0.3">
      <c r="AD20349" s="16"/>
    </row>
    <row r="20350" spans="30:30" x14ac:dyDescent="0.3">
      <c r="AD20350" s="16"/>
    </row>
    <row r="20351" spans="30:30" x14ac:dyDescent="0.3">
      <c r="AD20351" s="16"/>
    </row>
    <row r="20352" spans="30:30" x14ac:dyDescent="0.3">
      <c r="AD20352" s="16"/>
    </row>
    <row r="20353" spans="30:30" x14ac:dyDescent="0.3">
      <c r="AD20353" s="16"/>
    </row>
    <row r="20354" spans="30:30" x14ac:dyDescent="0.3">
      <c r="AD20354" s="16"/>
    </row>
    <row r="20355" spans="30:30" x14ac:dyDescent="0.3">
      <c r="AD20355" s="16"/>
    </row>
    <row r="20356" spans="30:30" x14ac:dyDescent="0.3">
      <c r="AD20356" s="16"/>
    </row>
    <row r="20357" spans="30:30" x14ac:dyDescent="0.3">
      <c r="AD20357" s="16"/>
    </row>
    <row r="20358" spans="30:30" x14ac:dyDescent="0.3">
      <c r="AD20358" s="16"/>
    </row>
    <row r="20359" spans="30:30" x14ac:dyDescent="0.3">
      <c r="AD20359" s="16"/>
    </row>
    <row r="20360" spans="30:30" x14ac:dyDescent="0.3">
      <c r="AD20360" s="16"/>
    </row>
    <row r="20361" spans="30:30" x14ac:dyDescent="0.3">
      <c r="AD20361" s="16"/>
    </row>
    <row r="20362" spans="30:30" x14ac:dyDescent="0.3">
      <c r="AD20362" s="16"/>
    </row>
    <row r="20363" spans="30:30" x14ac:dyDescent="0.3">
      <c r="AD20363" s="16"/>
    </row>
    <row r="20364" spans="30:30" x14ac:dyDescent="0.3">
      <c r="AD20364" s="16"/>
    </row>
    <row r="20365" spans="30:30" x14ac:dyDescent="0.3">
      <c r="AD20365" s="16"/>
    </row>
    <row r="20366" spans="30:30" x14ac:dyDescent="0.3">
      <c r="AD20366" s="16"/>
    </row>
    <row r="20367" spans="30:30" x14ac:dyDescent="0.3">
      <c r="AD20367" s="16"/>
    </row>
    <row r="20368" spans="30:30" x14ac:dyDescent="0.3">
      <c r="AD20368" s="16"/>
    </row>
    <row r="20369" spans="30:30" x14ac:dyDescent="0.3">
      <c r="AD20369" s="16"/>
    </row>
    <row r="20370" spans="30:30" x14ac:dyDescent="0.3">
      <c r="AD20370" s="16"/>
    </row>
    <row r="20371" spans="30:30" x14ac:dyDescent="0.3">
      <c r="AD20371" s="16"/>
    </row>
    <row r="20372" spans="30:30" x14ac:dyDescent="0.3">
      <c r="AD20372" s="16"/>
    </row>
    <row r="20373" spans="30:30" x14ac:dyDescent="0.3">
      <c r="AD20373" s="16"/>
    </row>
    <row r="20374" spans="30:30" x14ac:dyDescent="0.3">
      <c r="AD20374" s="16"/>
    </row>
    <row r="20375" spans="30:30" x14ac:dyDescent="0.3">
      <c r="AD20375" s="16"/>
    </row>
    <row r="20376" spans="30:30" x14ac:dyDescent="0.3">
      <c r="AD20376" s="16"/>
    </row>
    <row r="20377" spans="30:30" x14ac:dyDescent="0.3">
      <c r="AD20377" s="16"/>
    </row>
    <row r="20378" spans="30:30" x14ac:dyDescent="0.3">
      <c r="AD20378" s="16"/>
    </row>
    <row r="20379" spans="30:30" x14ac:dyDescent="0.3">
      <c r="AD20379" s="16"/>
    </row>
    <row r="20380" spans="30:30" x14ac:dyDescent="0.3">
      <c r="AD20380" s="16"/>
    </row>
    <row r="20381" spans="30:30" x14ac:dyDescent="0.3">
      <c r="AD20381" s="16"/>
    </row>
    <row r="20382" spans="30:30" x14ac:dyDescent="0.3">
      <c r="AD20382" s="16"/>
    </row>
    <row r="20383" spans="30:30" x14ac:dyDescent="0.3">
      <c r="AD20383" s="16"/>
    </row>
    <row r="20384" spans="30:30" x14ac:dyDescent="0.3">
      <c r="AD20384" s="16"/>
    </row>
    <row r="20385" spans="30:30" x14ac:dyDescent="0.3">
      <c r="AD20385" s="16"/>
    </row>
    <row r="20386" spans="30:30" x14ac:dyDescent="0.3">
      <c r="AD20386" s="16"/>
    </row>
    <row r="20387" spans="30:30" x14ac:dyDescent="0.3">
      <c r="AD20387" s="16"/>
    </row>
    <row r="20388" spans="30:30" x14ac:dyDescent="0.3">
      <c r="AD20388" s="16"/>
    </row>
    <row r="20389" spans="30:30" x14ac:dyDescent="0.3">
      <c r="AD20389" s="16"/>
    </row>
    <row r="20390" spans="30:30" x14ac:dyDescent="0.3">
      <c r="AD20390" s="16"/>
    </row>
    <row r="20391" spans="30:30" x14ac:dyDescent="0.3">
      <c r="AD20391" s="16"/>
    </row>
    <row r="20392" spans="30:30" x14ac:dyDescent="0.3">
      <c r="AD20392" s="16"/>
    </row>
    <row r="20393" spans="30:30" x14ac:dyDescent="0.3">
      <c r="AD20393" s="16"/>
    </row>
    <row r="20394" spans="30:30" x14ac:dyDescent="0.3">
      <c r="AD20394" s="16"/>
    </row>
    <row r="20395" spans="30:30" x14ac:dyDescent="0.3">
      <c r="AD20395" s="16"/>
    </row>
    <row r="20396" spans="30:30" x14ac:dyDescent="0.3">
      <c r="AD20396" s="16"/>
    </row>
    <row r="20397" spans="30:30" x14ac:dyDescent="0.3">
      <c r="AD20397" s="16"/>
    </row>
    <row r="20398" spans="30:30" x14ac:dyDescent="0.3">
      <c r="AD20398" s="16"/>
    </row>
    <row r="20399" spans="30:30" x14ac:dyDescent="0.3">
      <c r="AD20399" s="16"/>
    </row>
    <row r="20400" spans="30:30" x14ac:dyDescent="0.3">
      <c r="AD20400" s="16"/>
    </row>
    <row r="20401" spans="30:30" x14ac:dyDescent="0.3">
      <c r="AD20401" s="16"/>
    </row>
    <row r="20402" spans="30:30" x14ac:dyDescent="0.3">
      <c r="AD20402" s="16"/>
    </row>
    <row r="20403" spans="30:30" x14ac:dyDescent="0.3">
      <c r="AD20403" s="16"/>
    </row>
    <row r="20404" spans="30:30" x14ac:dyDescent="0.3">
      <c r="AD20404" s="16"/>
    </row>
    <row r="20405" spans="30:30" x14ac:dyDescent="0.3">
      <c r="AD20405" s="16"/>
    </row>
    <row r="20406" spans="30:30" x14ac:dyDescent="0.3">
      <c r="AD20406" s="16"/>
    </row>
    <row r="20407" spans="30:30" x14ac:dyDescent="0.3">
      <c r="AD20407" s="16"/>
    </row>
    <row r="20408" spans="30:30" x14ac:dyDescent="0.3">
      <c r="AD20408" s="16"/>
    </row>
    <row r="20409" spans="30:30" x14ac:dyDescent="0.3">
      <c r="AD20409" s="16"/>
    </row>
    <row r="20410" spans="30:30" x14ac:dyDescent="0.3">
      <c r="AD20410" s="16"/>
    </row>
    <row r="20411" spans="30:30" x14ac:dyDescent="0.3">
      <c r="AD20411" s="16"/>
    </row>
    <row r="20412" spans="30:30" x14ac:dyDescent="0.3">
      <c r="AD20412" s="16"/>
    </row>
    <row r="20413" spans="30:30" x14ac:dyDescent="0.3">
      <c r="AD20413" s="16"/>
    </row>
    <row r="20414" spans="30:30" x14ac:dyDescent="0.3">
      <c r="AD20414" s="16"/>
    </row>
    <row r="20415" spans="30:30" x14ac:dyDescent="0.3">
      <c r="AD20415" s="16"/>
    </row>
    <row r="20416" spans="30:30" x14ac:dyDescent="0.3">
      <c r="AD20416" s="16"/>
    </row>
    <row r="20417" spans="30:30" x14ac:dyDescent="0.3">
      <c r="AD20417" s="16"/>
    </row>
    <row r="20418" spans="30:30" x14ac:dyDescent="0.3">
      <c r="AD20418" s="16"/>
    </row>
    <row r="20419" spans="30:30" x14ac:dyDescent="0.3">
      <c r="AD20419" s="16"/>
    </row>
    <row r="20420" spans="30:30" x14ac:dyDescent="0.3">
      <c r="AD20420" s="16"/>
    </row>
    <row r="20421" spans="30:30" x14ac:dyDescent="0.3">
      <c r="AD20421" s="16"/>
    </row>
    <row r="20422" spans="30:30" x14ac:dyDescent="0.3">
      <c r="AD20422" s="16"/>
    </row>
    <row r="20423" spans="30:30" x14ac:dyDescent="0.3">
      <c r="AD20423" s="16"/>
    </row>
    <row r="20424" spans="30:30" x14ac:dyDescent="0.3">
      <c r="AD20424" s="16"/>
    </row>
    <row r="20425" spans="30:30" x14ac:dyDescent="0.3">
      <c r="AD20425" s="16"/>
    </row>
    <row r="20426" spans="30:30" x14ac:dyDescent="0.3">
      <c r="AD20426" s="16"/>
    </row>
    <row r="20427" spans="30:30" x14ac:dyDescent="0.3">
      <c r="AD20427" s="16"/>
    </row>
    <row r="20428" spans="30:30" x14ac:dyDescent="0.3">
      <c r="AD20428" s="16"/>
    </row>
    <row r="20429" spans="30:30" x14ac:dyDescent="0.3">
      <c r="AD20429" s="16"/>
    </row>
    <row r="20430" spans="30:30" x14ac:dyDescent="0.3">
      <c r="AD20430" s="16"/>
    </row>
    <row r="20431" spans="30:30" x14ac:dyDescent="0.3">
      <c r="AD20431" s="16"/>
    </row>
    <row r="20432" spans="30:30" x14ac:dyDescent="0.3">
      <c r="AD20432" s="16"/>
    </row>
    <row r="20433" spans="30:30" x14ac:dyDescent="0.3">
      <c r="AD20433" s="16"/>
    </row>
    <row r="20434" spans="30:30" x14ac:dyDescent="0.3">
      <c r="AD20434" s="16"/>
    </row>
    <row r="20435" spans="30:30" x14ac:dyDescent="0.3">
      <c r="AD20435" s="16"/>
    </row>
    <row r="20436" spans="30:30" x14ac:dyDescent="0.3">
      <c r="AD20436" s="16"/>
    </row>
    <row r="20437" spans="30:30" x14ac:dyDescent="0.3">
      <c r="AD20437" s="16"/>
    </row>
    <row r="20438" spans="30:30" x14ac:dyDescent="0.3">
      <c r="AD20438" s="16"/>
    </row>
    <row r="20439" spans="30:30" x14ac:dyDescent="0.3">
      <c r="AD20439" s="16"/>
    </row>
    <row r="20440" spans="30:30" x14ac:dyDescent="0.3">
      <c r="AD20440" s="16"/>
    </row>
    <row r="20441" spans="30:30" x14ac:dyDescent="0.3">
      <c r="AD20441" s="16"/>
    </row>
    <row r="20442" spans="30:30" x14ac:dyDescent="0.3">
      <c r="AD20442" s="16"/>
    </row>
    <row r="20443" spans="30:30" x14ac:dyDescent="0.3">
      <c r="AD20443" s="16"/>
    </row>
    <row r="20444" spans="30:30" x14ac:dyDescent="0.3">
      <c r="AD20444" s="16"/>
    </row>
    <row r="20445" spans="30:30" x14ac:dyDescent="0.3">
      <c r="AD20445" s="16"/>
    </row>
    <row r="20446" spans="30:30" x14ac:dyDescent="0.3">
      <c r="AD20446" s="16"/>
    </row>
    <row r="20447" spans="30:30" x14ac:dyDescent="0.3">
      <c r="AD20447" s="16"/>
    </row>
    <row r="20448" spans="30:30" x14ac:dyDescent="0.3">
      <c r="AD20448" s="16"/>
    </row>
    <row r="20449" spans="30:30" x14ac:dyDescent="0.3">
      <c r="AD20449" s="16"/>
    </row>
    <row r="20450" spans="30:30" x14ac:dyDescent="0.3">
      <c r="AD20450" s="16"/>
    </row>
    <row r="20451" spans="30:30" x14ac:dyDescent="0.3">
      <c r="AD20451" s="16"/>
    </row>
    <row r="20452" spans="30:30" x14ac:dyDescent="0.3">
      <c r="AD20452" s="16"/>
    </row>
    <row r="20453" spans="30:30" x14ac:dyDescent="0.3">
      <c r="AD20453" s="16"/>
    </row>
    <row r="20454" spans="30:30" x14ac:dyDescent="0.3">
      <c r="AD20454" s="16"/>
    </row>
    <row r="20455" spans="30:30" x14ac:dyDescent="0.3">
      <c r="AD20455" s="16"/>
    </row>
    <row r="20456" spans="30:30" x14ac:dyDescent="0.3">
      <c r="AD20456" s="16"/>
    </row>
    <row r="20457" spans="30:30" x14ac:dyDescent="0.3">
      <c r="AD20457" s="16"/>
    </row>
    <row r="20458" spans="30:30" x14ac:dyDescent="0.3">
      <c r="AD20458" s="16"/>
    </row>
    <row r="20459" spans="30:30" x14ac:dyDescent="0.3">
      <c r="AD20459" s="16"/>
    </row>
    <row r="20460" spans="30:30" x14ac:dyDescent="0.3">
      <c r="AD20460" s="16"/>
    </row>
    <row r="20461" spans="30:30" x14ac:dyDescent="0.3">
      <c r="AD20461" s="16"/>
    </row>
    <row r="20462" spans="30:30" x14ac:dyDescent="0.3">
      <c r="AD20462" s="16"/>
    </row>
    <row r="20463" spans="30:30" x14ac:dyDescent="0.3">
      <c r="AD20463" s="16"/>
    </row>
    <row r="20464" spans="30:30" x14ac:dyDescent="0.3">
      <c r="AD20464" s="16"/>
    </row>
    <row r="20465" spans="30:30" x14ac:dyDescent="0.3">
      <c r="AD20465" s="16"/>
    </row>
    <row r="20466" spans="30:30" x14ac:dyDescent="0.3">
      <c r="AD20466" s="16"/>
    </row>
    <row r="20467" spans="30:30" x14ac:dyDescent="0.3">
      <c r="AD20467" s="16"/>
    </row>
    <row r="20468" spans="30:30" x14ac:dyDescent="0.3">
      <c r="AD20468" s="16"/>
    </row>
    <row r="20469" spans="30:30" x14ac:dyDescent="0.3">
      <c r="AD20469" s="16"/>
    </row>
    <row r="20470" spans="30:30" x14ac:dyDescent="0.3">
      <c r="AD20470" s="16"/>
    </row>
    <row r="20471" spans="30:30" x14ac:dyDescent="0.3">
      <c r="AD20471" s="16"/>
    </row>
    <row r="20472" spans="30:30" x14ac:dyDescent="0.3">
      <c r="AD20472" s="16"/>
    </row>
    <row r="20473" spans="30:30" x14ac:dyDescent="0.3">
      <c r="AD20473" s="16"/>
    </row>
    <row r="20474" spans="30:30" x14ac:dyDescent="0.3">
      <c r="AD20474" s="16"/>
    </row>
    <row r="20475" spans="30:30" x14ac:dyDescent="0.3">
      <c r="AD20475" s="16"/>
    </row>
    <row r="20476" spans="30:30" x14ac:dyDescent="0.3">
      <c r="AD20476" s="16"/>
    </row>
    <row r="20477" spans="30:30" x14ac:dyDescent="0.3">
      <c r="AD20477" s="16"/>
    </row>
    <row r="20478" spans="30:30" x14ac:dyDescent="0.3">
      <c r="AD20478" s="16"/>
    </row>
    <row r="20479" spans="30:30" x14ac:dyDescent="0.3">
      <c r="AD20479" s="16"/>
    </row>
    <row r="20480" spans="30:30" x14ac:dyDescent="0.3">
      <c r="AD20480" s="16"/>
    </row>
    <row r="20481" spans="30:30" x14ac:dyDescent="0.3">
      <c r="AD20481" s="16"/>
    </row>
    <row r="20482" spans="30:30" x14ac:dyDescent="0.3">
      <c r="AD20482" s="16"/>
    </row>
    <row r="20483" spans="30:30" x14ac:dyDescent="0.3">
      <c r="AD20483" s="16"/>
    </row>
    <row r="20484" spans="30:30" x14ac:dyDescent="0.3">
      <c r="AD20484" s="16"/>
    </row>
    <row r="20485" spans="30:30" x14ac:dyDescent="0.3">
      <c r="AD20485" s="16"/>
    </row>
    <row r="20486" spans="30:30" x14ac:dyDescent="0.3">
      <c r="AD20486" s="16"/>
    </row>
    <row r="20487" spans="30:30" x14ac:dyDescent="0.3">
      <c r="AD20487" s="16"/>
    </row>
    <row r="20488" spans="30:30" x14ac:dyDescent="0.3">
      <c r="AD20488" s="16"/>
    </row>
    <row r="20489" spans="30:30" x14ac:dyDescent="0.3">
      <c r="AD20489" s="16"/>
    </row>
    <row r="20490" spans="30:30" x14ac:dyDescent="0.3">
      <c r="AD20490" s="16"/>
    </row>
    <row r="20491" spans="30:30" x14ac:dyDescent="0.3">
      <c r="AD20491" s="16"/>
    </row>
    <row r="20492" spans="30:30" x14ac:dyDescent="0.3">
      <c r="AD20492" s="16"/>
    </row>
    <row r="20493" spans="30:30" x14ac:dyDescent="0.3">
      <c r="AD20493" s="16"/>
    </row>
    <row r="20494" spans="30:30" x14ac:dyDescent="0.3">
      <c r="AD20494" s="16"/>
    </row>
    <row r="20495" spans="30:30" x14ac:dyDescent="0.3">
      <c r="AD20495" s="16"/>
    </row>
    <row r="20496" spans="30:30" x14ac:dyDescent="0.3">
      <c r="AD20496" s="16"/>
    </row>
    <row r="20497" spans="30:30" x14ac:dyDescent="0.3">
      <c r="AD20497" s="16"/>
    </row>
    <row r="20498" spans="30:30" x14ac:dyDescent="0.3">
      <c r="AD20498" s="16"/>
    </row>
    <row r="20499" spans="30:30" x14ac:dyDescent="0.3">
      <c r="AD20499" s="16"/>
    </row>
    <row r="20500" spans="30:30" x14ac:dyDescent="0.3">
      <c r="AD20500" s="16"/>
    </row>
    <row r="20501" spans="30:30" x14ac:dyDescent="0.3">
      <c r="AD20501" s="16"/>
    </row>
    <row r="20502" spans="30:30" x14ac:dyDescent="0.3">
      <c r="AD20502" s="16"/>
    </row>
    <row r="20503" spans="30:30" x14ac:dyDescent="0.3">
      <c r="AD20503" s="16"/>
    </row>
    <row r="20504" spans="30:30" x14ac:dyDescent="0.3">
      <c r="AD20504" s="16"/>
    </row>
    <row r="20505" spans="30:30" x14ac:dyDescent="0.3">
      <c r="AD20505" s="16"/>
    </row>
    <row r="20506" spans="30:30" x14ac:dyDescent="0.3">
      <c r="AD20506" s="16"/>
    </row>
    <row r="20507" spans="30:30" x14ac:dyDescent="0.3">
      <c r="AD20507" s="16"/>
    </row>
    <row r="20508" spans="30:30" x14ac:dyDescent="0.3">
      <c r="AD20508" s="16"/>
    </row>
    <row r="20509" spans="30:30" x14ac:dyDescent="0.3">
      <c r="AD20509" s="16"/>
    </row>
    <row r="20510" spans="30:30" x14ac:dyDescent="0.3">
      <c r="AD20510" s="16"/>
    </row>
    <row r="20511" spans="30:30" x14ac:dyDescent="0.3">
      <c r="AD20511" s="16"/>
    </row>
    <row r="20512" spans="30:30" x14ac:dyDescent="0.3">
      <c r="AD20512" s="16"/>
    </row>
    <row r="20513" spans="30:30" x14ac:dyDescent="0.3">
      <c r="AD20513" s="16"/>
    </row>
    <row r="20514" spans="30:30" x14ac:dyDescent="0.3">
      <c r="AD20514" s="16"/>
    </row>
    <row r="20515" spans="30:30" x14ac:dyDescent="0.3">
      <c r="AD20515" s="16"/>
    </row>
    <row r="20516" spans="30:30" x14ac:dyDescent="0.3">
      <c r="AD20516" s="16"/>
    </row>
    <row r="20517" spans="30:30" x14ac:dyDescent="0.3">
      <c r="AD20517" s="16"/>
    </row>
    <row r="20518" spans="30:30" x14ac:dyDescent="0.3">
      <c r="AD20518" s="16"/>
    </row>
    <row r="20519" spans="30:30" x14ac:dyDescent="0.3">
      <c r="AD20519" s="16"/>
    </row>
    <row r="20520" spans="30:30" x14ac:dyDescent="0.3">
      <c r="AD20520" s="16"/>
    </row>
    <row r="20521" spans="30:30" x14ac:dyDescent="0.3">
      <c r="AD20521" s="16"/>
    </row>
    <row r="20522" spans="30:30" x14ac:dyDescent="0.3">
      <c r="AD20522" s="16"/>
    </row>
    <row r="20523" spans="30:30" x14ac:dyDescent="0.3">
      <c r="AD20523" s="16"/>
    </row>
    <row r="20524" spans="30:30" x14ac:dyDescent="0.3">
      <c r="AD20524" s="16"/>
    </row>
    <row r="20525" spans="30:30" x14ac:dyDescent="0.3">
      <c r="AD20525" s="16"/>
    </row>
    <row r="20526" spans="30:30" x14ac:dyDescent="0.3">
      <c r="AD20526" s="16"/>
    </row>
    <row r="20527" spans="30:30" x14ac:dyDescent="0.3">
      <c r="AD20527" s="16"/>
    </row>
    <row r="20528" spans="30:30" x14ac:dyDescent="0.3">
      <c r="AD20528" s="16"/>
    </row>
    <row r="20529" spans="30:30" x14ac:dyDescent="0.3">
      <c r="AD20529" s="16"/>
    </row>
    <row r="20530" spans="30:30" x14ac:dyDescent="0.3">
      <c r="AD20530" s="16"/>
    </row>
    <row r="20531" spans="30:30" x14ac:dyDescent="0.3">
      <c r="AD20531" s="16"/>
    </row>
    <row r="20532" spans="30:30" x14ac:dyDescent="0.3">
      <c r="AD20532" s="16"/>
    </row>
    <row r="20533" spans="30:30" x14ac:dyDescent="0.3">
      <c r="AD20533" s="16"/>
    </row>
    <row r="20534" spans="30:30" x14ac:dyDescent="0.3">
      <c r="AD20534" s="16"/>
    </row>
    <row r="20535" spans="30:30" x14ac:dyDescent="0.3">
      <c r="AD20535" s="16"/>
    </row>
    <row r="20536" spans="30:30" x14ac:dyDescent="0.3">
      <c r="AD20536" s="16"/>
    </row>
    <row r="20537" spans="30:30" x14ac:dyDescent="0.3">
      <c r="AD20537" s="16"/>
    </row>
    <row r="20538" spans="30:30" x14ac:dyDescent="0.3">
      <c r="AD20538" s="16"/>
    </row>
    <row r="20539" spans="30:30" x14ac:dyDescent="0.3">
      <c r="AD20539" s="16"/>
    </row>
    <row r="20540" spans="30:30" x14ac:dyDescent="0.3">
      <c r="AD20540" s="16"/>
    </row>
    <row r="20541" spans="30:30" x14ac:dyDescent="0.3">
      <c r="AD20541" s="16"/>
    </row>
    <row r="20542" spans="30:30" x14ac:dyDescent="0.3">
      <c r="AD20542" s="16"/>
    </row>
    <row r="20543" spans="30:30" x14ac:dyDescent="0.3">
      <c r="AD20543" s="16"/>
    </row>
    <row r="20544" spans="30:30" x14ac:dyDescent="0.3">
      <c r="AD20544" s="16"/>
    </row>
    <row r="20545" spans="30:30" x14ac:dyDescent="0.3">
      <c r="AD20545" s="16"/>
    </row>
    <row r="20546" spans="30:30" x14ac:dyDescent="0.3">
      <c r="AD20546" s="16"/>
    </row>
    <row r="20547" spans="30:30" x14ac:dyDescent="0.3">
      <c r="AD20547" s="16"/>
    </row>
    <row r="20548" spans="30:30" x14ac:dyDescent="0.3">
      <c r="AD20548" s="16"/>
    </row>
    <row r="20549" spans="30:30" x14ac:dyDescent="0.3">
      <c r="AD20549" s="16"/>
    </row>
    <row r="20550" spans="30:30" x14ac:dyDescent="0.3">
      <c r="AD20550" s="16"/>
    </row>
    <row r="20551" spans="30:30" x14ac:dyDescent="0.3">
      <c r="AD20551" s="16"/>
    </row>
    <row r="20552" spans="30:30" x14ac:dyDescent="0.3">
      <c r="AD20552" s="16"/>
    </row>
    <row r="20553" spans="30:30" x14ac:dyDescent="0.3">
      <c r="AD20553" s="16"/>
    </row>
    <row r="20554" spans="30:30" x14ac:dyDescent="0.3">
      <c r="AD20554" s="16"/>
    </row>
    <row r="20555" spans="30:30" x14ac:dyDescent="0.3">
      <c r="AD20555" s="16"/>
    </row>
    <row r="20556" spans="30:30" x14ac:dyDescent="0.3">
      <c r="AD20556" s="16"/>
    </row>
    <row r="20557" spans="30:30" x14ac:dyDescent="0.3">
      <c r="AD20557" s="16"/>
    </row>
    <row r="20558" spans="30:30" x14ac:dyDescent="0.3">
      <c r="AD20558" s="16"/>
    </row>
    <row r="20559" spans="30:30" x14ac:dyDescent="0.3">
      <c r="AD20559" s="16"/>
    </row>
    <row r="20560" spans="30:30" x14ac:dyDescent="0.3">
      <c r="AD20560" s="16"/>
    </row>
    <row r="20561" spans="30:30" x14ac:dyDescent="0.3">
      <c r="AD20561" s="16"/>
    </row>
    <row r="20562" spans="30:30" x14ac:dyDescent="0.3">
      <c r="AD20562" s="16"/>
    </row>
    <row r="20563" spans="30:30" x14ac:dyDescent="0.3">
      <c r="AD20563" s="16"/>
    </row>
    <row r="20564" spans="30:30" x14ac:dyDescent="0.3">
      <c r="AD20564" s="16"/>
    </row>
    <row r="20565" spans="30:30" x14ac:dyDescent="0.3">
      <c r="AD20565" s="16"/>
    </row>
    <row r="20566" spans="30:30" x14ac:dyDescent="0.3">
      <c r="AD20566" s="16"/>
    </row>
    <row r="20567" spans="30:30" x14ac:dyDescent="0.3">
      <c r="AD20567" s="16"/>
    </row>
    <row r="20568" spans="30:30" x14ac:dyDescent="0.3">
      <c r="AD20568" s="16"/>
    </row>
    <row r="20569" spans="30:30" x14ac:dyDescent="0.3">
      <c r="AD20569" s="16"/>
    </row>
    <row r="20570" spans="30:30" x14ac:dyDescent="0.3">
      <c r="AD20570" s="16"/>
    </row>
    <row r="20571" spans="30:30" x14ac:dyDescent="0.3">
      <c r="AD20571" s="16"/>
    </row>
    <row r="20572" spans="30:30" x14ac:dyDescent="0.3">
      <c r="AD20572" s="16"/>
    </row>
    <row r="20573" spans="30:30" x14ac:dyDescent="0.3">
      <c r="AD20573" s="16"/>
    </row>
    <row r="20574" spans="30:30" x14ac:dyDescent="0.3">
      <c r="AD20574" s="16"/>
    </row>
    <row r="20575" spans="30:30" x14ac:dyDescent="0.3">
      <c r="AD20575" s="16"/>
    </row>
    <row r="20576" spans="30:30" x14ac:dyDescent="0.3">
      <c r="AD20576" s="16"/>
    </row>
    <row r="20577" spans="30:30" x14ac:dyDescent="0.3">
      <c r="AD20577" s="16"/>
    </row>
    <row r="20578" spans="30:30" x14ac:dyDescent="0.3">
      <c r="AD20578" s="16"/>
    </row>
    <row r="20579" spans="30:30" x14ac:dyDescent="0.3">
      <c r="AD20579" s="16"/>
    </row>
    <row r="20580" spans="30:30" x14ac:dyDescent="0.3">
      <c r="AD20580" s="16"/>
    </row>
    <row r="20581" spans="30:30" x14ac:dyDescent="0.3">
      <c r="AD20581" s="16"/>
    </row>
    <row r="20582" spans="30:30" x14ac:dyDescent="0.3">
      <c r="AD20582" s="16"/>
    </row>
    <row r="20583" spans="30:30" x14ac:dyDescent="0.3">
      <c r="AD20583" s="16"/>
    </row>
    <row r="20584" spans="30:30" x14ac:dyDescent="0.3">
      <c r="AD20584" s="16"/>
    </row>
    <row r="20585" spans="30:30" x14ac:dyDescent="0.3">
      <c r="AD20585" s="16"/>
    </row>
    <row r="20586" spans="30:30" x14ac:dyDescent="0.3">
      <c r="AD20586" s="16"/>
    </row>
    <row r="20587" spans="30:30" x14ac:dyDescent="0.3">
      <c r="AD20587" s="16"/>
    </row>
    <row r="20588" spans="30:30" x14ac:dyDescent="0.3">
      <c r="AD20588" s="16"/>
    </row>
    <row r="20589" spans="30:30" x14ac:dyDescent="0.3">
      <c r="AD20589" s="16"/>
    </row>
    <row r="20590" spans="30:30" x14ac:dyDescent="0.3">
      <c r="AD20590" s="16"/>
    </row>
    <row r="20591" spans="30:30" x14ac:dyDescent="0.3">
      <c r="AD20591" s="16"/>
    </row>
    <row r="20592" spans="30:30" x14ac:dyDescent="0.3">
      <c r="AD20592" s="16"/>
    </row>
    <row r="20593" spans="30:30" x14ac:dyDescent="0.3">
      <c r="AD20593" s="16"/>
    </row>
    <row r="20594" spans="30:30" x14ac:dyDescent="0.3">
      <c r="AD20594" s="16"/>
    </row>
    <row r="20595" spans="30:30" x14ac:dyDescent="0.3">
      <c r="AD20595" s="16"/>
    </row>
    <row r="20596" spans="30:30" x14ac:dyDescent="0.3">
      <c r="AD20596" s="16"/>
    </row>
    <row r="20597" spans="30:30" x14ac:dyDescent="0.3">
      <c r="AD20597" s="16"/>
    </row>
    <row r="20598" spans="30:30" x14ac:dyDescent="0.3">
      <c r="AD20598" s="16"/>
    </row>
    <row r="20599" spans="30:30" x14ac:dyDescent="0.3">
      <c r="AD20599" s="16"/>
    </row>
    <row r="20600" spans="30:30" x14ac:dyDescent="0.3">
      <c r="AD20600" s="16"/>
    </row>
    <row r="20601" spans="30:30" x14ac:dyDescent="0.3">
      <c r="AD20601" s="16"/>
    </row>
    <row r="20602" spans="30:30" x14ac:dyDescent="0.3">
      <c r="AD20602" s="16"/>
    </row>
    <row r="20603" spans="30:30" x14ac:dyDescent="0.3">
      <c r="AD20603" s="16"/>
    </row>
    <row r="20604" spans="30:30" x14ac:dyDescent="0.3">
      <c r="AD20604" s="16"/>
    </row>
    <row r="20605" spans="30:30" x14ac:dyDescent="0.3">
      <c r="AD20605" s="16"/>
    </row>
    <row r="20606" spans="30:30" x14ac:dyDescent="0.3">
      <c r="AD20606" s="16"/>
    </row>
    <row r="20607" spans="30:30" x14ac:dyDescent="0.3">
      <c r="AD20607" s="16"/>
    </row>
    <row r="20608" spans="30:30" x14ac:dyDescent="0.3">
      <c r="AD20608" s="16"/>
    </row>
    <row r="20609" spans="30:30" x14ac:dyDescent="0.3">
      <c r="AD20609" s="16"/>
    </row>
    <row r="20610" spans="30:30" x14ac:dyDescent="0.3">
      <c r="AD20610" s="16"/>
    </row>
    <row r="20611" spans="30:30" x14ac:dyDescent="0.3">
      <c r="AD20611" s="16"/>
    </row>
    <row r="20612" spans="30:30" x14ac:dyDescent="0.3">
      <c r="AD20612" s="16"/>
    </row>
    <row r="20613" spans="30:30" x14ac:dyDescent="0.3">
      <c r="AD20613" s="16"/>
    </row>
    <row r="20614" spans="30:30" x14ac:dyDescent="0.3">
      <c r="AD20614" s="16"/>
    </row>
    <row r="20615" spans="30:30" x14ac:dyDescent="0.3">
      <c r="AD20615" s="16"/>
    </row>
    <row r="20616" spans="30:30" x14ac:dyDescent="0.3">
      <c r="AD20616" s="16"/>
    </row>
    <row r="20617" spans="30:30" x14ac:dyDescent="0.3">
      <c r="AD20617" s="16"/>
    </row>
    <row r="20618" spans="30:30" x14ac:dyDescent="0.3">
      <c r="AD20618" s="16"/>
    </row>
    <row r="20619" spans="30:30" x14ac:dyDescent="0.3">
      <c r="AD20619" s="16"/>
    </row>
    <row r="20620" spans="30:30" x14ac:dyDescent="0.3">
      <c r="AD20620" s="16"/>
    </row>
    <row r="20621" spans="30:30" x14ac:dyDescent="0.3">
      <c r="AD20621" s="16"/>
    </row>
    <row r="20622" spans="30:30" x14ac:dyDescent="0.3">
      <c r="AD20622" s="16"/>
    </row>
    <row r="20623" spans="30:30" x14ac:dyDescent="0.3">
      <c r="AD20623" s="16"/>
    </row>
    <row r="20624" spans="30:30" x14ac:dyDescent="0.3">
      <c r="AD20624" s="16"/>
    </row>
    <row r="20625" spans="30:30" x14ac:dyDescent="0.3">
      <c r="AD20625" s="16"/>
    </row>
    <row r="20626" spans="30:30" x14ac:dyDescent="0.3">
      <c r="AD20626" s="16"/>
    </row>
    <row r="20627" spans="30:30" x14ac:dyDescent="0.3">
      <c r="AD20627" s="16"/>
    </row>
    <row r="20628" spans="30:30" x14ac:dyDescent="0.3">
      <c r="AD20628" s="16"/>
    </row>
    <row r="20629" spans="30:30" x14ac:dyDescent="0.3">
      <c r="AD20629" s="16"/>
    </row>
    <row r="20630" spans="30:30" x14ac:dyDescent="0.3">
      <c r="AD20630" s="16"/>
    </row>
    <row r="20631" spans="30:30" x14ac:dyDescent="0.3">
      <c r="AD20631" s="16"/>
    </row>
    <row r="20632" spans="30:30" x14ac:dyDescent="0.3">
      <c r="AD20632" s="16"/>
    </row>
    <row r="20633" spans="30:30" x14ac:dyDescent="0.3">
      <c r="AD20633" s="16"/>
    </row>
    <row r="20634" spans="30:30" x14ac:dyDescent="0.3">
      <c r="AD20634" s="16"/>
    </row>
    <row r="20635" spans="30:30" x14ac:dyDescent="0.3">
      <c r="AD20635" s="16"/>
    </row>
    <row r="20636" spans="30:30" x14ac:dyDescent="0.3">
      <c r="AD20636" s="16"/>
    </row>
    <row r="20637" spans="30:30" x14ac:dyDescent="0.3">
      <c r="AD20637" s="16"/>
    </row>
    <row r="20638" spans="30:30" x14ac:dyDescent="0.3">
      <c r="AD20638" s="16"/>
    </row>
    <row r="20639" spans="30:30" x14ac:dyDescent="0.3">
      <c r="AD20639" s="16"/>
    </row>
    <row r="20640" spans="30:30" x14ac:dyDescent="0.3">
      <c r="AD20640" s="16"/>
    </row>
    <row r="20641" spans="30:30" x14ac:dyDescent="0.3">
      <c r="AD20641" s="16"/>
    </row>
    <row r="20642" spans="30:30" x14ac:dyDescent="0.3">
      <c r="AD20642" s="16"/>
    </row>
    <row r="20643" spans="30:30" x14ac:dyDescent="0.3">
      <c r="AD20643" s="16"/>
    </row>
    <row r="20644" spans="30:30" x14ac:dyDescent="0.3">
      <c r="AD20644" s="16"/>
    </row>
    <row r="20645" spans="30:30" x14ac:dyDescent="0.3">
      <c r="AD20645" s="16"/>
    </row>
    <row r="20646" spans="30:30" x14ac:dyDescent="0.3">
      <c r="AD20646" s="16"/>
    </row>
    <row r="20647" spans="30:30" x14ac:dyDescent="0.3">
      <c r="AD20647" s="16"/>
    </row>
    <row r="20648" spans="30:30" x14ac:dyDescent="0.3">
      <c r="AD20648" s="16"/>
    </row>
    <row r="20649" spans="30:30" x14ac:dyDescent="0.3">
      <c r="AD20649" s="16"/>
    </row>
    <row r="20650" spans="30:30" x14ac:dyDescent="0.3">
      <c r="AD20650" s="16"/>
    </row>
    <row r="20651" spans="30:30" x14ac:dyDescent="0.3">
      <c r="AD20651" s="16"/>
    </row>
    <row r="20652" spans="30:30" x14ac:dyDescent="0.3">
      <c r="AD20652" s="16"/>
    </row>
    <row r="20653" spans="30:30" x14ac:dyDescent="0.3">
      <c r="AD20653" s="16"/>
    </row>
    <row r="20654" spans="30:30" x14ac:dyDescent="0.3">
      <c r="AD20654" s="16"/>
    </row>
    <row r="20655" spans="30:30" x14ac:dyDescent="0.3">
      <c r="AD20655" s="16"/>
    </row>
    <row r="20656" spans="30:30" x14ac:dyDescent="0.3">
      <c r="AD20656" s="16"/>
    </row>
    <row r="20657" spans="30:30" x14ac:dyDescent="0.3">
      <c r="AD20657" s="16"/>
    </row>
    <row r="20658" spans="30:30" x14ac:dyDescent="0.3">
      <c r="AD20658" s="16"/>
    </row>
    <row r="20659" spans="30:30" x14ac:dyDescent="0.3">
      <c r="AD20659" s="16"/>
    </row>
    <row r="20660" spans="30:30" x14ac:dyDescent="0.3">
      <c r="AD20660" s="16"/>
    </row>
    <row r="20661" spans="30:30" x14ac:dyDescent="0.3">
      <c r="AD20661" s="16"/>
    </row>
    <row r="20662" spans="30:30" x14ac:dyDescent="0.3">
      <c r="AD20662" s="16"/>
    </row>
    <row r="20663" spans="30:30" x14ac:dyDescent="0.3">
      <c r="AD20663" s="16"/>
    </row>
    <row r="20664" spans="30:30" x14ac:dyDescent="0.3">
      <c r="AD20664" s="16"/>
    </row>
    <row r="20665" spans="30:30" x14ac:dyDescent="0.3">
      <c r="AD20665" s="16"/>
    </row>
    <row r="20666" spans="30:30" x14ac:dyDescent="0.3">
      <c r="AD20666" s="16"/>
    </row>
    <row r="20667" spans="30:30" x14ac:dyDescent="0.3">
      <c r="AD20667" s="16"/>
    </row>
    <row r="20668" spans="30:30" x14ac:dyDescent="0.3">
      <c r="AD20668" s="16"/>
    </row>
    <row r="20669" spans="30:30" x14ac:dyDescent="0.3">
      <c r="AD20669" s="16"/>
    </row>
    <row r="20670" spans="30:30" x14ac:dyDescent="0.3">
      <c r="AD20670" s="16"/>
    </row>
    <row r="20671" spans="30:30" x14ac:dyDescent="0.3">
      <c r="AD20671" s="16"/>
    </row>
    <row r="20672" spans="30:30" x14ac:dyDescent="0.3">
      <c r="AD20672" s="16"/>
    </row>
    <row r="20673" spans="30:30" x14ac:dyDescent="0.3">
      <c r="AD20673" s="16"/>
    </row>
    <row r="20674" spans="30:30" x14ac:dyDescent="0.3">
      <c r="AD20674" s="16"/>
    </row>
    <row r="20675" spans="30:30" x14ac:dyDescent="0.3">
      <c r="AD20675" s="16"/>
    </row>
    <row r="20676" spans="30:30" x14ac:dyDescent="0.3">
      <c r="AD20676" s="16"/>
    </row>
    <row r="20677" spans="30:30" x14ac:dyDescent="0.3">
      <c r="AD20677" s="16"/>
    </row>
    <row r="20678" spans="30:30" x14ac:dyDescent="0.3">
      <c r="AD20678" s="16"/>
    </row>
    <row r="20679" spans="30:30" x14ac:dyDescent="0.3">
      <c r="AD20679" s="16"/>
    </row>
    <row r="20680" spans="30:30" x14ac:dyDescent="0.3">
      <c r="AD20680" s="16"/>
    </row>
    <row r="20681" spans="30:30" x14ac:dyDescent="0.3">
      <c r="AD20681" s="16"/>
    </row>
    <row r="20682" spans="30:30" x14ac:dyDescent="0.3">
      <c r="AD20682" s="16"/>
    </row>
    <row r="20683" spans="30:30" x14ac:dyDescent="0.3">
      <c r="AD20683" s="16"/>
    </row>
    <row r="20684" spans="30:30" x14ac:dyDescent="0.3">
      <c r="AD20684" s="16"/>
    </row>
    <row r="20685" spans="30:30" x14ac:dyDescent="0.3">
      <c r="AD20685" s="16"/>
    </row>
    <row r="20686" spans="30:30" x14ac:dyDescent="0.3">
      <c r="AD20686" s="16"/>
    </row>
    <row r="20687" spans="30:30" x14ac:dyDescent="0.3">
      <c r="AD20687" s="16"/>
    </row>
    <row r="20688" spans="30:30" x14ac:dyDescent="0.3">
      <c r="AD20688" s="16"/>
    </row>
    <row r="20689" spans="30:30" x14ac:dyDescent="0.3">
      <c r="AD20689" s="16"/>
    </row>
    <row r="20690" spans="30:30" x14ac:dyDescent="0.3">
      <c r="AD20690" s="16"/>
    </row>
    <row r="20691" spans="30:30" x14ac:dyDescent="0.3">
      <c r="AD20691" s="16"/>
    </row>
    <row r="20692" spans="30:30" x14ac:dyDescent="0.3">
      <c r="AD20692" s="16"/>
    </row>
    <row r="20693" spans="30:30" x14ac:dyDescent="0.3">
      <c r="AD20693" s="16"/>
    </row>
    <row r="20694" spans="30:30" x14ac:dyDescent="0.3">
      <c r="AD20694" s="16"/>
    </row>
    <row r="20695" spans="30:30" x14ac:dyDescent="0.3">
      <c r="AD20695" s="16"/>
    </row>
    <row r="20696" spans="30:30" x14ac:dyDescent="0.3">
      <c r="AD20696" s="16"/>
    </row>
    <row r="20697" spans="30:30" x14ac:dyDescent="0.3">
      <c r="AD20697" s="16"/>
    </row>
    <row r="20698" spans="30:30" x14ac:dyDescent="0.3">
      <c r="AD20698" s="16"/>
    </row>
    <row r="20699" spans="30:30" x14ac:dyDescent="0.3">
      <c r="AD20699" s="16"/>
    </row>
    <row r="20700" spans="30:30" x14ac:dyDescent="0.3">
      <c r="AD20700" s="16"/>
    </row>
    <row r="20701" spans="30:30" x14ac:dyDescent="0.3">
      <c r="AD20701" s="16"/>
    </row>
    <row r="20702" spans="30:30" x14ac:dyDescent="0.3">
      <c r="AD20702" s="16"/>
    </row>
    <row r="20703" spans="30:30" x14ac:dyDescent="0.3">
      <c r="AD20703" s="16"/>
    </row>
    <row r="20704" spans="30:30" x14ac:dyDescent="0.3">
      <c r="AD20704" s="16"/>
    </row>
    <row r="20705" spans="30:30" x14ac:dyDescent="0.3">
      <c r="AD20705" s="16"/>
    </row>
    <row r="20706" spans="30:30" x14ac:dyDescent="0.3">
      <c r="AD20706" s="16"/>
    </row>
    <row r="20707" spans="30:30" x14ac:dyDescent="0.3">
      <c r="AD20707" s="16"/>
    </row>
    <row r="20708" spans="30:30" x14ac:dyDescent="0.3">
      <c r="AD20708" s="16"/>
    </row>
    <row r="20709" spans="30:30" x14ac:dyDescent="0.3">
      <c r="AD20709" s="16"/>
    </row>
    <row r="20710" spans="30:30" x14ac:dyDescent="0.3">
      <c r="AD20710" s="16"/>
    </row>
    <row r="20711" spans="30:30" x14ac:dyDescent="0.3">
      <c r="AD20711" s="16"/>
    </row>
    <row r="20712" spans="30:30" x14ac:dyDescent="0.3">
      <c r="AD20712" s="16"/>
    </row>
    <row r="20713" spans="30:30" x14ac:dyDescent="0.3">
      <c r="AD20713" s="16"/>
    </row>
    <row r="20714" spans="30:30" x14ac:dyDescent="0.3">
      <c r="AD20714" s="16"/>
    </row>
    <row r="20715" spans="30:30" x14ac:dyDescent="0.3">
      <c r="AD20715" s="16"/>
    </row>
    <row r="20716" spans="30:30" x14ac:dyDescent="0.3">
      <c r="AD20716" s="16"/>
    </row>
    <row r="20717" spans="30:30" x14ac:dyDescent="0.3">
      <c r="AD20717" s="16"/>
    </row>
    <row r="20718" spans="30:30" x14ac:dyDescent="0.3">
      <c r="AD20718" s="16"/>
    </row>
    <row r="20719" spans="30:30" x14ac:dyDescent="0.3">
      <c r="AD20719" s="16"/>
    </row>
    <row r="20720" spans="30:30" x14ac:dyDescent="0.3">
      <c r="AD20720" s="16"/>
    </row>
    <row r="20721" spans="30:30" x14ac:dyDescent="0.3">
      <c r="AD20721" s="16"/>
    </row>
    <row r="20722" spans="30:30" x14ac:dyDescent="0.3">
      <c r="AD20722" s="16"/>
    </row>
    <row r="20723" spans="30:30" x14ac:dyDescent="0.3">
      <c r="AD20723" s="16"/>
    </row>
    <row r="20724" spans="30:30" x14ac:dyDescent="0.3">
      <c r="AD20724" s="16"/>
    </row>
    <row r="20725" spans="30:30" x14ac:dyDescent="0.3">
      <c r="AD20725" s="16"/>
    </row>
    <row r="20726" spans="30:30" x14ac:dyDescent="0.3">
      <c r="AD20726" s="16"/>
    </row>
    <row r="20727" spans="30:30" x14ac:dyDescent="0.3">
      <c r="AD20727" s="16"/>
    </row>
    <row r="20728" spans="30:30" x14ac:dyDescent="0.3">
      <c r="AD20728" s="16"/>
    </row>
    <row r="20729" spans="30:30" x14ac:dyDescent="0.3">
      <c r="AD20729" s="16"/>
    </row>
    <row r="20730" spans="30:30" x14ac:dyDescent="0.3">
      <c r="AD20730" s="16"/>
    </row>
    <row r="20731" spans="30:30" x14ac:dyDescent="0.3">
      <c r="AD20731" s="16"/>
    </row>
    <row r="20732" spans="30:30" x14ac:dyDescent="0.3">
      <c r="AD20732" s="16"/>
    </row>
    <row r="20733" spans="30:30" x14ac:dyDescent="0.3">
      <c r="AD20733" s="16"/>
    </row>
    <row r="20734" spans="30:30" x14ac:dyDescent="0.3">
      <c r="AD20734" s="16"/>
    </row>
    <row r="20735" spans="30:30" x14ac:dyDescent="0.3">
      <c r="AD20735" s="16"/>
    </row>
    <row r="20736" spans="30:30" x14ac:dyDescent="0.3">
      <c r="AD20736" s="16"/>
    </row>
    <row r="20737" spans="30:30" x14ac:dyDescent="0.3">
      <c r="AD20737" s="16"/>
    </row>
    <row r="20738" spans="30:30" x14ac:dyDescent="0.3">
      <c r="AD20738" s="16"/>
    </row>
    <row r="20739" spans="30:30" x14ac:dyDescent="0.3">
      <c r="AD20739" s="16"/>
    </row>
    <row r="20740" spans="30:30" x14ac:dyDescent="0.3">
      <c r="AD20740" s="16"/>
    </row>
    <row r="20741" spans="30:30" x14ac:dyDescent="0.3">
      <c r="AD20741" s="16"/>
    </row>
    <row r="20742" spans="30:30" x14ac:dyDescent="0.3">
      <c r="AD20742" s="16"/>
    </row>
    <row r="20743" spans="30:30" x14ac:dyDescent="0.3">
      <c r="AD20743" s="16"/>
    </row>
    <row r="20744" spans="30:30" x14ac:dyDescent="0.3">
      <c r="AD20744" s="16"/>
    </row>
    <row r="20745" spans="30:30" x14ac:dyDescent="0.3">
      <c r="AD20745" s="16"/>
    </row>
    <row r="20746" spans="30:30" x14ac:dyDescent="0.3">
      <c r="AD20746" s="16"/>
    </row>
    <row r="20747" spans="30:30" x14ac:dyDescent="0.3">
      <c r="AD20747" s="16"/>
    </row>
    <row r="20748" spans="30:30" x14ac:dyDescent="0.3">
      <c r="AD20748" s="16"/>
    </row>
    <row r="20749" spans="30:30" x14ac:dyDescent="0.3">
      <c r="AD20749" s="16"/>
    </row>
    <row r="20750" spans="30:30" x14ac:dyDescent="0.3">
      <c r="AD20750" s="16"/>
    </row>
    <row r="20751" spans="30:30" x14ac:dyDescent="0.3">
      <c r="AD20751" s="16"/>
    </row>
    <row r="20752" spans="30:30" x14ac:dyDescent="0.3">
      <c r="AD20752" s="16"/>
    </row>
    <row r="20753" spans="30:30" x14ac:dyDescent="0.3">
      <c r="AD20753" s="16"/>
    </row>
    <row r="20754" spans="30:30" x14ac:dyDescent="0.3">
      <c r="AD20754" s="16"/>
    </row>
    <row r="20755" spans="30:30" x14ac:dyDescent="0.3">
      <c r="AD20755" s="16"/>
    </row>
    <row r="20756" spans="30:30" x14ac:dyDescent="0.3">
      <c r="AD20756" s="16"/>
    </row>
    <row r="20757" spans="30:30" x14ac:dyDescent="0.3">
      <c r="AD20757" s="16"/>
    </row>
    <row r="20758" spans="30:30" x14ac:dyDescent="0.3">
      <c r="AD20758" s="16"/>
    </row>
    <row r="20759" spans="30:30" x14ac:dyDescent="0.3">
      <c r="AD20759" s="16"/>
    </row>
    <row r="20760" spans="30:30" x14ac:dyDescent="0.3">
      <c r="AD20760" s="16"/>
    </row>
    <row r="20761" spans="30:30" x14ac:dyDescent="0.3">
      <c r="AD20761" s="16"/>
    </row>
    <row r="20762" spans="30:30" x14ac:dyDescent="0.3">
      <c r="AD20762" s="16"/>
    </row>
    <row r="20763" spans="30:30" x14ac:dyDescent="0.3">
      <c r="AD20763" s="16"/>
    </row>
    <row r="20764" spans="30:30" x14ac:dyDescent="0.3">
      <c r="AD20764" s="16"/>
    </row>
    <row r="20765" spans="30:30" x14ac:dyDescent="0.3">
      <c r="AD20765" s="16"/>
    </row>
    <row r="20766" spans="30:30" x14ac:dyDescent="0.3">
      <c r="AD20766" s="16"/>
    </row>
    <row r="20767" spans="30:30" x14ac:dyDescent="0.3">
      <c r="AD20767" s="16"/>
    </row>
    <row r="20768" spans="30:30" x14ac:dyDescent="0.3">
      <c r="AD20768" s="16"/>
    </row>
    <row r="20769" spans="30:30" x14ac:dyDescent="0.3">
      <c r="AD20769" s="16"/>
    </row>
    <row r="20770" spans="30:30" x14ac:dyDescent="0.3">
      <c r="AD20770" s="16"/>
    </row>
    <row r="20771" spans="30:30" x14ac:dyDescent="0.3">
      <c r="AD20771" s="16"/>
    </row>
    <row r="20772" spans="30:30" x14ac:dyDescent="0.3">
      <c r="AD20772" s="16"/>
    </row>
    <row r="20773" spans="30:30" x14ac:dyDescent="0.3">
      <c r="AD20773" s="16"/>
    </row>
    <row r="20774" spans="30:30" x14ac:dyDescent="0.3">
      <c r="AD20774" s="16"/>
    </row>
    <row r="20775" spans="30:30" x14ac:dyDescent="0.3">
      <c r="AD20775" s="16"/>
    </row>
    <row r="20776" spans="30:30" x14ac:dyDescent="0.3">
      <c r="AD20776" s="16"/>
    </row>
    <row r="20777" spans="30:30" x14ac:dyDescent="0.3">
      <c r="AD20777" s="16"/>
    </row>
    <row r="20778" spans="30:30" x14ac:dyDescent="0.3">
      <c r="AD20778" s="16"/>
    </row>
    <row r="20779" spans="30:30" x14ac:dyDescent="0.3">
      <c r="AD20779" s="16"/>
    </row>
    <row r="20780" spans="30:30" x14ac:dyDescent="0.3">
      <c r="AD20780" s="16"/>
    </row>
    <row r="20781" spans="30:30" x14ac:dyDescent="0.3">
      <c r="AD20781" s="16"/>
    </row>
    <row r="20782" spans="30:30" x14ac:dyDescent="0.3">
      <c r="AD20782" s="16"/>
    </row>
    <row r="20783" spans="30:30" x14ac:dyDescent="0.3">
      <c r="AD20783" s="16"/>
    </row>
    <row r="20784" spans="30:30" x14ac:dyDescent="0.3">
      <c r="AD20784" s="16"/>
    </row>
    <row r="20785" spans="30:30" x14ac:dyDescent="0.3">
      <c r="AD20785" s="16"/>
    </row>
    <row r="20786" spans="30:30" x14ac:dyDescent="0.3">
      <c r="AD20786" s="16"/>
    </row>
    <row r="20787" spans="30:30" x14ac:dyDescent="0.3">
      <c r="AD20787" s="16"/>
    </row>
    <row r="20788" spans="30:30" x14ac:dyDescent="0.3">
      <c r="AD20788" s="16"/>
    </row>
    <row r="20789" spans="30:30" x14ac:dyDescent="0.3">
      <c r="AD20789" s="16"/>
    </row>
    <row r="20790" spans="30:30" x14ac:dyDescent="0.3">
      <c r="AD20790" s="16"/>
    </row>
    <row r="20791" spans="30:30" x14ac:dyDescent="0.3">
      <c r="AD20791" s="16"/>
    </row>
    <row r="20792" spans="30:30" x14ac:dyDescent="0.3">
      <c r="AD20792" s="16"/>
    </row>
    <row r="20793" spans="30:30" x14ac:dyDescent="0.3">
      <c r="AD20793" s="16"/>
    </row>
    <row r="20794" spans="30:30" x14ac:dyDescent="0.3">
      <c r="AD20794" s="16"/>
    </row>
    <row r="20795" spans="30:30" x14ac:dyDescent="0.3">
      <c r="AD20795" s="16"/>
    </row>
    <row r="20796" spans="30:30" x14ac:dyDescent="0.3">
      <c r="AD20796" s="16"/>
    </row>
    <row r="20797" spans="30:30" x14ac:dyDescent="0.3">
      <c r="AD20797" s="16"/>
    </row>
    <row r="20798" spans="30:30" x14ac:dyDescent="0.3">
      <c r="AD20798" s="16"/>
    </row>
    <row r="20799" spans="30:30" x14ac:dyDescent="0.3">
      <c r="AD20799" s="16"/>
    </row>
    <row r="20800" spans="30:30" x14ac:dyDescent="0.3">
      <c r="AD20800" s="16"/>
    </row>
    <row r="20801" spans="30:30" x14ac:dyDescent="0.3">
      <c r="AD20801" s="16"/>
    </row>
    <row r="20802" spans="30:30" x14ac:dyDescent="0.3">
      <c r="AD20802" s="16"/>
    </row>
    <row r="20803" spans="30:30" x14ac:dyDescent="0.3">
      <c r="AD20803" s="16"/>
    </row>
    <row r="20804" spans="30:30" x14ac:dyDescent="0.3">
      <c r="AD20804" s="16"/>
    </row>
    <row r="20805" spans="30:30" x14ac:dyDescent="0.3">
      <c r="AD20805" s="16"/>
    </row>
    <row r="20806" spans="30:30" x14ac:dyDescent="0.3">
      <c r="AD20806" s="16"/>
    </row>
    <row r="20807" spans="30:30" x14ac:dyDescent="0.3">
      <c r="AD20807" s="16"/>
    </row>
    <row r="20808" spans="30:30" x14ac:dyDescent="0.3">
      <c r="AD20808" s="16"/>
    </row>
    <row r="20809" spans="30:30" x14ac:dyDescent="0.3">
      <c r="AD20809" s="16"/>
    </row>
    <row r="20810" spans="30:30" x14ac:dyDescent="0.3">
      <c r="AD20810" s="16"/>
    </row>
    <row r="20811" spans="30:30" x14ac:dyDescent="0.3">
      <c r="AD20811" s="16"/>
    </row>
    <row r="20812" spans="30:30" x14ac:dyDescent="0.3">
      <c r="AD20812" s="16"/>
    </row>
    <row r="20813" spans="30:30" x14ac:dyDescent="0.3">
      <c r="AD20813" s="16"/>
    </row>
    <row r="20814" spans="30:30" x14ac:dyDescent="0.3">
      <c r="AD20814" s="16"/>
    </row>
    <row r="20815" spans="30:30" x14ac:dyDescent="0.3">
      <c r="AD20815" s="16"/>
    </row>
    <row r="20816" spans="30:30" x14ac:dyDescent="0.3">
      <c r="AD20816" s="16"/>
    </row>
    <row r="20817" spans="30:30" x14ac:dyDescent="0.3">
      <c r="AD20817" s="16"/>
    </row>
    <row r="20818" spans="30:30" x14ac:dyDescent="0.3">
      <c r="AD20818" s="16"/>
    </row>
    <row r="20819" spans="30:30" x14ac:dyDescent="0.3">
      <c r="AD20819" s="16"/>
    </row>
    <row r="20820" spans="30:30" x14ac:dyDescent="0.3">
      <c r="AD20820" s="16"/>
    </row>
    <row r="20821" spans="30:30" x14ac:dyDescent="0.3">
      <c r="AD20821" s="16"/>
    </row>
    <row r="20822" spans="30:30" x14ac:dyDescent="0.3">
      <c r="AD20822" s="16"/>
    </row>
    <row r="20823" spans="30:30" x14ac:dyDescent="0.3">
      <c r="AD20823" s="16"/>
    </row>
    <row r="20824" spans="30:30" x14ac:dyDescent="0.3">
      <c r="AD20824" s="16"/>
    </row>
    <row r="20825" spans="30:30" x14ac:dyDescent="0.3">
      <c r="AD20825" s="16"/>
    </row>
    <row r="20826" spans="30:30" x14ac:dyDescent="0.3">
      <c r="AD20826" s="16"/>
    </row>
    <row r="20827" spans="30:30" x14ac:dyDescent="0.3">
      <c r="AD20827" s="16"/>
    </row>
    <row r="20828" spans="30:30" x14ac:dyDescent="0.3">
      <c r="AD20828" s="16"/>
    </row>
    <row r="20829" spans="30:30" x14ac:dyDescent="0.3">
      <c r="AD20829" s="16"/>
    </row>
    <row r="20830" spans="30:30" x14ac:dyDescent="0.3">
      <c r="AD20830" s="16"/>
    </row>
    <row r="20831" spans="30:30" x14ac:dyDescent="0.3">
      <c r="AD20831" s="16"/>
    </row>
    <row r="20832" spans="30:30" x14ac:dyDescent="0.3">
      <c r="AD20832" s="16"/>
    </row>
    <row r="20833" spans="30:30" x14ac:dyDescent="0.3">
      <c r="AD20833" s="16"/>
    </row>
    <row r="20834" spans="30:30" x14ac:dyDescent="0.3">
      <c r="AD20834" s="16"/>
    </row>
    <row r="20835" spans="30:30" x14ac:dyDescent="0.3">
      <c r="AD20835" s="16"/>
    </row>
    <row r="20836" spans="30:30" x14ac:dyDescent="0.3">
      <c r="AD20836" s="16"/>
    </row>
    <row r="20837" spans="30:30" x14ac:dyDescent="0.3">
      <c r="AD20837" s="16"/>
    </row>
    <row r="20838" spans="30:30" x14ac:dyDescent="0.3">
      <c r="AD20838" s="16"/>
    </row>
    <row r="20839" spans="30:30" x14ac:dyDescent="0.3">
      <c r="AD20839" s="16"/>
    </row>
    <row r="20840" spans="30:30" x14ac:dyDescent="0.3">
      <c r="AD20840" s="16"/>
    </row>
    <row r="20841" spans="30:30" x14ac:dyDescent="0.3">
      <c r="AD20841" s="16"/>
    </row>
    <row r="20842" spans="30:30" x14ac:dyDescent="0.3">
      <c r="AD20842" s="16"/>
    </row>
    <row r="20843" spans="30:30" x14ac:dyDescent="0.3">
      <c r="AD20843" s="16"/>
    </row>
    <row r="20844" spans="30:30" x14ac:dyDescent="0.3">
      <c r="AD20844" s="16"/>
    </row>
    <row r="20845" spans="30:30" x14ac:dyDescent="0.3">
      <c r="AD20845" s="16"/>
    </row>
    <row r="20846" spans="30:30" x14ac:dyDescent="0.3">
      <c r="AD20846" s="16"/>
    </row>
    <row r="20847" spans="30:30" x14ac:dyDescent="0.3">
      <c r="AD20847" s="16"/>
    </row>
    <row r="20848" spans="30:30" x14ac:dyDescent="0.3">
      <c r="AD20848" s="16"/>
    </row>
    <row r="20849" spans="30:30" x14ac:dyDescent="0.3">
      <c r="AD20849" s="16"/>
    </row>
    <row r="20850" spans="30:30" x14ac:dyDescent="0.3">
      <c r="AD20850" s="16"/>
    </row>
    <row r="20851" spans="30:30" x14ac:dyDescent="0.3">
      <c r="AD20851" s="16"/>
    </row>
    <row r="20852" spans="30:30" x14ac:dyDescent="0.3">
      <c r="AD20852" s="16"/>
    </row>
    <row r="20853" spans="30:30" x14ac:dyDescent="0.3">
      <c r="AD20853" s="16"/>
    </row>
    <row r="20854" spans="30:30" x14ac:dyDescent="0.3">
      <c r="AD20854" s="16"/>
    </row>
    <row r="20855" spans="30:30" x14ac:dyDescent="0.3">
      <c r="AD20855" s="16"/>
    </row>
    <row r="20856" spans="30:30" x14ac:dyDescent="0.3">
      <c r="AD20856" s="16"/>
    </row>
    <row r="20857" spans="30:30" x14ac:dyDescent="0.3">
      <c r="AD20857" s="16"/>
    </row>
    <row r="20858" spans="30:30" x14ac:dyDescent="0.3">
      <c r="AD20858" s="16"/>
    </row>
    <row r="20859" spans="30:30" x14ac:dyDescent="0.3">
      <c r="AD20859" s="16"/>
    </row>
    <row r="20860" spans="30:30" x14ac:dyDescent="0.3">
      <c r="AD20860" s="16"/>
    </row>
    <row r="20861" spans="30:30" x14ac:dyDescent="0.3">
      <c r="AD20861" s="16"/>
    </row>
    <row r="20862" spans="30:30" x14ac:dyDescent="0.3">
      <c r="AD20862" s="16"/>
    </row>
    <row r="20863" spans="30:30" x14ac:dyDescent="0.3">
      <c r="AD20863" s="16"/>
    </row>
    <row r="20864" spans="30:30" x14ac:dyDescent="0.3">
      <c r="AD20864" s="16"/>
    </row>
    <row r="20865" spans="30:30" x14ac:dyDescent="0.3">
      <c r="AD20865" s="16"/>
    </row>
    <row r="20866" spans="30:30" x14ac:dyDescent="0.3">
      <c r="AD20866" s="16"/>
    </row>
    <row r="20867" spans="30:30" x14ac:dyDescent="0.3">
      <c r="AD20867" s="16"/>
    </row>
    <row r="20868" spans="30:30" x14ac:dyDescent="0.3">
      <c r="AD20868" s="16"/>
    </row>
    <row r="20869" spans="30:30" x14ac:dyDescent="0.3">
      <c r="AD20869" s="16"/>
    </row>
    <row r="20870" spans="30:30" x14ac:dyDescent="0.3">
      <c r="AD20870" s="16"/>
    </row>
    <row r="20871" spans="30:30" x14ac:dyDescent="0.3">
      <c r="AD20871" s="16"/>
    </row>
    <row r="20872" spans="30:30" x14ac:dyDescent="0.3">
      <c r="AD20872" s="16"/>
    </row>
    <row r="20873" spans="30:30" x14ac:dyDescent="0.3">
      <c r="AD20873" s="16"/>
    </row>
    <row r="20874" spans="30:30" x14ac:dyDescent="0.3">
      <c r="AD20874" s="16"/>
    </row>
    <row r="20875" spans="30:30" x14ac:dyDescent="0.3">
      <c r="AD20875" s="16"/>
    </row>
    <row r="20876" spans="30:30" x14ac:dyDescent="0.3">
      <c r="AD20876" s="16"/>
    </row>
    <row r="20877" spans="30:30" x14ac:dyDescent="0.3">
      <c r="AD20877" s="16"/>
    </row>
    <row r="20878" spans="30:30" x14ac:dyDescent="0.3">
      <c r="AD20878" s="16"/>
    </row>
    <row r="20879" spans="30:30" x14ac:dyDescent="0.3">
      <c r="AD20879" s="16"/>
    </row>
    <row r="20880" spans="30:30" x14ac:dyDescent="0.3">
      <c r="AD20880" s="16"/>
    </row>
    <row r="20881" spans="30:30" x14ac:dyDescent="0.3">
      <c r="AD20881" s="16"/>
    </row>
    <row r="20882" spans="30:30" x14ac:dyDescent="0.3">
      <c r="AD20882" s="16"/>
    </row>
    <row r="20883" spans="30:30" x14ac:dyDescent="0.3">
      <c r="AD20883" s="16"/>
    </row>
    <row r="20884" spans="30:30" x14ac:dyDescent="0.3">
      <c r="AD20884" s="16"/>
    </row>
    <row r="20885" spans="30:30" x14ac:dyDescent="0.3">
      <c r="AD20885" s="16"/>
    </row>
    <row r="20886" spans="30:30" x14ac:dyDescent="0.3">
      <c r="AD20886" s="16"/>
    </row>
    <row r="20887" spans="30:30" x14ac:dyDescent="0.3">
      <c r="AD20887" s="16"/>
    </row>
    <row r="20888" spans="30:30" x14ac:dyDescent="0.3">
      <c r="AD20888" s="16"/>
    </row>
    <row r="20889" spans="30:30" x14ac:dyDescent="0.3">
      <c r="AD20889" s="16"/>
    </row>
    <row r="20890" spans="30:30" x14ac:dyDescent="0.3">
      <c r="AD20890" s="16"/>
    </row>
    <row r="20891" spans="30:30" x14ac:dyDescent="0.3">
      <c r="AD20891" s="16"/>
    </row>
    <row r="20892" spans="30:30" x14ac:dyDescent="0.3">
      <c r="AD20892" s="16"/>
    </row>
    <row r="20893" spans="30:30" x14ac:dyDescent="0.3">
      <c r="AD20893" s="16"/>
    </row>
    <row r="20894" spans="30:30" x14ac:dyDescent="0.3">
      <c r="AD20894" s="16"/>
    </row>
    <row r="20895" spans="30:30" x14ac:dyDescent="0.3">
      <c r="AD20895" s="16"/>
    </row>
    <row r="20896" spans="30:30" x14ac:dyDescent="0.3">
      <c r="AD20896" s="16"/>
    </row>
    <row r="20897" spans="30:30" x14ac:dyDescent="0.3">
      <c r="AD20897" s="16"/>
    </row>
    <row r="20898" spans="30:30" x14ac:dyDescent="0.3">
      <c r="AD20898" s="16"/>
    </row>
    <row r="20899" spans="30:30" x14ac:dyDescent="0.3">
      <c r="AD20899" s="16"/>
    </row>
    <row r="20900" spans="30:30" x14ac:dyDescent="0.3">
      <c r="AD20900" s="16"/>
    </row>
    <row r="20901" spans="30:30" x14ac:dyDescent="0.3">
      <c r="AD20901" s="16"/>
    </row>
    <row r="20902" spans="30:30" x14ac:dyDescent="0.3">
      <c r="AD20902" s="16"/>
    </row>
    <row r="20903" spans="30:30" x14ac:dyDescent="0.3">
      <c r="AD20903" s="16"/>
    </row>
    <row r="20904" spans="30:30" x14ac:dyDescent="0.3">
      <c r="AD20904" s="16"/>
    </row>
    <row r="20905" spans="30:30" x14ac:dyDescent="0.3">
      <c r="AD20905" s="16"/>
    </row>
    <row r="20906" spans="30:30" x14ac:dyDescent="0.3">
      <c r="AD20906" s="16"/>
    </row>
    <row r="20907" spans="30:30" x14ac:dyDescent="0.3">
      <c r="AD20907" s="16"/>
    </row>
    <row r="20908" spans="30:30" x14ac:dyDescent="0.3">
      <c r="AD20908" s="16"/>
    </row>
    <row r="20909" spans="30:30" x14ac:dyDescent="0.3">
      <c r="AD20909" s="16"/>
    </row>
    <row r="20910" spans="30:30" x14ac:dyDescent="0.3">
      <c r="AD20910" s="16"/>
    </row>
    <row r="20911" spans="30:30" x14ac:dyDescent="0.3">
      <c r="AD20911" s="16"/>
    </row>
    <row r="20912" spans="30:30" x14ac:dyDescent="0.3">
      <c r="AD20912" s="16"/>
    </row>
    <row r="20913" spans="30:30" x14ac:dyDescent="0.3">
      <c r="AD20913" s="16"/>
    </row>
    <row r="20914" spans="30:30" x14ac:dyDescent="0.3">
      <c r="AD20914" s="16"/>
    </row>
    <row r="20915" spans="30:30" x14ac:dyDescent="0.3">
      <c r="AD20915" s="16"/>
    </row>
    <row r="20916" spans="30:30" x14ac:dyDescent="0.3">
      <c r="AD20916" s="16"/>
    </row>
    <row r="20917" spans="30:30" x14ac:dyDescent="0.3">
      <c r="AD20917" s="16"/>
    </row>
    <row r="20918" spans="30:30" x14ac:dyDescent="0.3">
      <c r="AD20918" s="16"/>
    </row>
    <row r="20919" spans="30:30" x14ac:dyDescent="0.3">
      <c r="AD20919" s="16"/>
    </row>
    <row r="20920" spans="30:30" x14ac:dyDescent="0.3">
      <c r="AD20920" s="16"/>
    </row>
    <row r="20921" spans="30:30" x14ac:dyDescent="0.3">
      <c r="AD20921" s="16"/>
    </row>
    <row r="20922" spans="30:30" x14ac:dyDescent="0.3">
      <c r="AD20922" s="16"/>
    </row>
    <row r="20923" spans="30:30" x14ac:dyDescent="0.3">
      <c r="AD20923" s="16"/>
    </row>
    <row r="20924" spans="30:30" x14ac:dyDescent="0.3">
      <c r="AD20924" s="16"/>
    </row>
    <row r="20925" spans="30:30" x14ac:dyDescent="0.3">
      <c r="AD20925" s="16"/>
    </row>
    <row r="20926" spans="30:30" x14ac:dyDescent="0.3">
      <c r="AD20926" s="16"/>
    </row>
    <row r="20927" spans="30:30" x14ac:dyDescent="0.3">
      <c r="AD20927" s="16"/>
    </row>
    <row r="20928" spans="30:30" x14ac:dyDescent="0.3">
      <c r="AD20928" s="16"/>
    </row>
    <row r="20929" spans="30:30" x14ac:dyDescent="0.3">
      <c r="AD20929" s="16"/>
    </row>
    <row r="20930" spans="30:30" x14ac:dyDescent="0.3">
      <c r="AD20930" s="16"/>
    </row>
    <row r="20931" spans="30:30" x14ac:dyDescent="0.3">
      <c r="AD20931" s="16"/>
    </row>
    <row r="20932" spans="30:30" x14ac:dyDescent="0.3">
      <c r="AD20932" s="16"/>
    </row>
    <row r="20933" spans="30:30" x14ac:dyDescent="0.3">
      <c r="AD20933" s="16"/>
    </row>
    <row r="20934" spans="30:30" x14ac:dyDescent="0.3">
      <c r="AD20934" s="16"/>
    </row>
    <row r="20935" spans="30:30" x14ac:dyDescent="0.3">
      <c r="AD20935" s="16"/>
    </row>
    <row r="20936" spans="30:30" x14ac:dyDescent="0.3">
      <c r="AD20936" s="16"/>
    </row>
    <row r="20937" spans="30:30" x14ac:dyDescent="0.3">
      <c r="AD20937" s="16"/>
    </row>
    <row r="20938" spans="30:30" x14ac:dyDescent="0.3">
      <c r="AD20938" s="16"/>
    </row>
    <row r="20939" spans="30:30" x14ac:dyDescent="0.3">
      <c r="AD20939" s="16"/>
    </row>
    <row r="20940" spans="30:30" x14ac:dyDescent="0.3">
      <c r="AD20940" s="16"/>
    </row>
    <row r="20941" spans="30:30" x14ac:dyDescent="0.3">
      <c r="AD20941" s="16"/>
    </row>
    <row r="20942" spans="30:30" x14ac:dyDescent="0.3">
      <c r="AD20942" s="16"/>
    </row>
    <row r="20943" spans="30:30" x14ac:dyDescent="0.3">
      <c r="AD20943" s="16"/>
    </row>
    <row r="20944" spans="30:30" x14ac:dyDescent="0.3">
      <c r="AD20944" s="16"/>
    </row>
    <row r="20945" spans="30:30" x14ac:dyDescent="0.3">
      <c r="AD20945" s="16"/>
    </row>
    <row r="20946" spans="30:30" x14ac:dyDescent="0.3">
      <c r="AD20946" s="16"/>
    </row>
    <row r="20947" spans="30:30" x14ac:dyDescent="0.3">
      <c r="AD20947" s="16"/>
    </row>
    <row r="20948" spans="30:30" x14ac:dyDescent="0.3">
      <c r="AD20948" s="16"/>
    </row>
    <row r="20949" spans="30:30" x14ac:dyDescent="0.3">
      <c r="AD20949" s="16"/>
    </row>
    <row r="20950" spans="30:30" x14ac:dyDescent="0.3">
      <c r="AD20950" s="16"/>
    </row>
    <row r="20951" spans="30:30" x14ac:dyDescent="0.3">
      <c r="AD20951" s="16"/>
    </row>
    <row r="20952" spans="30:30" x14ac:dyDescent="0.3">
      <c r="AD20952" s="16"/>
    </row>
    <row r="20953" spans="30:30" x14ac:dyDescent="0.3">
      <c r="AD20953" s="16"/>
    </row>
    <row r="20954" spans="30:30" x14ac:dyDescent="0.3">
      <c r="AD20954" s="16"/>
    </row>
    <row r="20955" spans="30:30" x14ac:dyDescent="0.3">
      <c r="AD20955" s="16"/>
    </row>
    <row r="20956" spans="30:30" x14ac:dyDescent="0.3">
      <c r="AD20956" s="16"/>
    </row>
    <row r="20957" spans="30:30" x14ac:dyDescent="0.3">
      <c r="AD20957" s="16"/>
    </row>
    <row r="20958" spans="30:30" x14ac:dyDescent="0.3">
      <c r="AD20958" s="16"/>
    </row>
    <row r="20959" spans="30:30" x14ac:dyDescent="0.3">
      <c r="AD20959" s="16"/>
    </row>
    <row r="20960" spans="30:30" x14ac:dyDescent="0.3">
      <c r="AD20960" s="16"/>
    </row>
    <row r="20961" spans="30:30" x14ac:dyDescent="0.3">
      <c r="AD20961" s="16"/>
    </row>
    <row r="20962" spans="30:30" x14ac:dyDescent="0.3">
      <c r="AD20962" s="16"/>
    </row>
    <row r="20963" spans="30:30" x14ac:dyDescent="0.3">
      <c r="AD20963" s="16"/>
    </row>
    <row r="20964" spans="30:30" x14ac:dyDescent="0.3">
      <c r="AD20964" s="16"/>
    </row>
    <row r="20965" spans="30:30" x14ac:dyDescent="0.3">
      <c r="AD20965" s="16"/>
    </row>
    <row r="20966" spans="30:30" x14ac:dyDescent="0.3">
      <c r="AD20966" s="16"/>
    </row>
    <row r="20967" spans="30:30" x14ac:dyDescent="0.3">
      <c r="AD20967" s="16"/>
    </row>
    <row r="20968" spans="30:30" x14ac:dyDescent="0.3">
      <c r="AD20968" s="16"/>
    </row>
    <row r="20969" spans="30:30" x14ac:dyDescent="0.3">
      <c r="AD20969" s="16"/>
    </row>
    <row r="20970" spans="30:30" x14ac:dyDescent="0.3">
      <c r="AD20970" s="16"/>
    </row>
    <row r="20971" spans="30:30" x14ac:dyDescent="0.3">
      <c r="AD20971" s="16"/>
    </row>
    <row r="20972" spans="30:30" x14ac:dyDescent="0.3">
      <c r="AD20972" s="16"/>
    </row>
    <row r="20973" spans="30:30" x14ac:dyDescent="0.3">
      <c r="AD20973" s="16"/>
    </row>
    <row r="20974" spans="30:30" x14ac:dyDescent="0.3">
      <c r="AD20974" s="16"/>
    </row>
    <row r="20975" spans="30:30" x14ac:dyDescent="0.3">
      <c r="AD20975" s="16"/>
    </row>
    <row r="20976" spans="30:30" x14ac:dyDescent="0.3">
      <c r="AD20976" s="16"/>
    </row>
    <row r="20977" spans="30:30" x14ac:dyDescent="0.3">
      <c r="AD20977" s="16"/>
    </row>
    <row r="20978" spans="30:30" x14ac:dyDescent="0.3">
      <c r="AD20978" s="16"/>
    </row>
    <row r="20979" spans="30:30" x14ac:dyDescent="0.3">
      <c r="AD20979" s="16"/>
    </row>
    <row r="20980" spans="30:30" x14ac:dyDescent="0.3">
      <c r="AD20980" s="16"/>
    </row>
    <row r="20981" spans="30:30" x14ac:dyDescent="0.3">
      <c r="AD20981" s="16"/>
    </row>
    <row r="20982" spans="30:30" x14ac:dyDescent="0.3">
      <c r="AD20982" s="16"/>
    </row>
    <row r="20983" spans="30:30" x14ac:dyDescent="0.3">
      <c r="AD20983" s="16"/>
    </row>
    <row r="20984" spans="30:30" x14ac:dyDescent="0.3">
      <c r="AD20984" s="16"/>
    </row>
    <row r="20985" spans="30:30" x14ac:dyDescent="0.3">
      <c r="AD20985" s="16"/>
    </row>
    <row r="20986" spans="30:30" x14ac:dyDescent="0.3">
      <c r="AD20986" s="16"/>
    </row>
    <row r="20987" spans="30:30" x14ac:dyDescent="0.3">
      <c r="AD20987" s="16"/>
    </row>
    <row r="20988" spans="30:30" x14ac:dyDescent="0.3">
      <c r="AD20988" s="16"/>
    </row>
    <row r="20989" spans="30:30" x14ac:dyDescent="0.3">
      <c r="AD20989" s="16"/>
    </row>
    <row r="20990" spans="30:30" x14ac:dyDescent="0.3">
      <c r="AD20990" s="16"/>
    </row>
    <row r="20991" spans="30:30" x14ac:dyDescent="0.3">
      <c r="AD20991" s="16"/>
    </row>
    <row r="20992" spans="30:30" x14ac:dyDescent="0.3">
      <c r="AD20992" s="16"/>
    </row>
    <row r="20993" spans="30:30" x14ac:dyDescent="0.3">
      <c r="AD20993" s="16"/>
    </row>
    <row r="20994" spans="30:30" x14ac:dyDescent="0.3">
      <c r="AD20994" s="16"/>
    </row>
    <row r="20995" spans="30:30" x14ac:dyDescent="0.3">
      <c r="AD20995" s="16"/>
    </row>
    <row r="20996" spans="30:30" x14ac:dyDescent="0.3">
      <c r="AD20996" s="16"/>
    </row>
    <row r="20997" spans="30:30" x14ac:dyDescent="0.3">
      <c r="AD20997" s="16"/>
    </row>
    <row r="20998" spans="30:30" x14ac:dyDescent="0.3">
      <c r="AD20998" s="16"/>
    </row>
    <row r="20999" spans="30:30" x14ac:dyDescent="0.3">
      <c r="AD20999" s="16"/>
    </row>
    <row r="21000" spans="30:30" x14ac:dyDescent="0.3">
      <c r="AD21000" s="16"/>
    </row>
    <row r="21001" spans="30:30" x14ac:dyDescent="0.3">
      <c r="AD21001" s="16"/>
    </row>
    <row r="21002" spans="30:30" x14ac:dyDescent="0.3">
      <c r="AD21002" s="16"/>
    </row>
    <row r="21003" spans="30:30" x14ac:dyDescent="0.3">
      <c r="AD21003" s="16"/>
    </row>
    <row r="21004" spans="30:30" x14ac:dyDescent="0.3">
      <c r="AD21004" s="16"/>
    </row>
    <row r="21005" spans="30:30" x14ac:dyDescent="0.3">
      <c r="AD21005" s="16"/>
    </row>
    <row r="21006" spans="30:30" x14ac:dyDescent="0.3">
      <c r="AD21006" s="16"/>
    </row>
    <row r="21007" spans="30:30" x14ac:dyDescent="0.3">
      <c r="AD21007" s="16"/>
    </row>
    <row r="21008" spans="30:30" x14ac:dyDescent="0.3">
      <c r="AD21008" s="16"/>
    </row>
    <row r="21009" spans="30:30" x14ac:dyDescent="0.3">
      <c r="AD21009" s="16"/>
    </row>
    <row r="21010" spans="30:30" x14ac:dyDescent="0.3">
      <c r="AD21010" s="16"/>
    </row>
    <row r="21011" spans="30:30" x14ac:dyDescent="0.3">
      <c r="AD21011" s="16"/>
    </row>
    <row r="21012" spans="30:30" x14ac:dyDescent="0.3">
      <c r="AD21012" s="16"/>
    </row>
    <row r="21013" spans="30:30" x14ac:dyDescent="0.3">
      <c r="AD21013" s="16"/>
    </row>
    <row r="21014" spans="30:30" x14ac:dyDescent="0.3">
      <c r="AD21014" s="16"/>
    </row>
    <row r="21015" spans="30:30" x14ac:dyDescent="0.3">
      <c r="AD21015" s="16"/>
    </row>
    <row r="21016" spans="30:30" x14ac:dyDescent="0.3">
      <c r="AD21016" s="16"/>
    </row>
    <row r="21017" spans="30:30" x14ac:dyDescent="0.3">
      <c r="AD21017" s="16"/>
    </row>
    <row r="21018" spans="30:30" x14ac:dyDescent="0.3">
      <c r="AD21018" s="16"/>
    </row>
    <row r="21019" spans="30:30" x14ac:dyDescent="0.3">
      <c r="AD21019" s="16"/>
    </row>
    <row r="21020" spans="30:30" x14ac:dyDescent="0.3">
      <c r="AD21020" s="16"/>
    </row>
    <row r="21021" spans="30:30" x14ac:dyDescent="0.3">
      <c r="AD21021" s="16"/>
    </row>
    <row r="21022" spans="30:30" x14ac:dyDescent="0.3">
      <c r="AD21022" s="16"/>
    </row>
    <row r="21023" spans="30:30" x14ac:dyDescent="0.3">
      <c r="AD21023" s="16"/>
    </row>
    <row r="21024" spans="30:30" x14ac:dyDescent="0.3">
      <c r="AD21024" s="16"/>
    </row>
    <row r="21025" spans="30:30" x14ac:dyDescent="0.3">
      <c r="AD21025" s="16"/>
    </row>
    <row r="21026" spans="30:30" x14ac:dyDescent="0.3">
      <c r="AD21026" s="16"/>
    </row>
    <row r="21027" spans="30:30" x14ac:dyDescent="0.3">
      <c r="AD21027" s="16"/>
    </row>
    <row r="21028" spans="30:30" x14ac:dyDescent="0.3">
      <c r="AD21028" s="16"/>
    </row>
    <row r="21029" spans="30:30" x14ac:dyDescent="0.3">
      <c r="AD21029" s="16"/>
    </row>
    <row r="21030" spans="30:30" x14ac:dyDescent="0.3">
      <c r="AD21030" s="16"/>
    </row>
    <row r="21031" spans="30:30" x14ac:dyDescent="0.3">
      <c r="AD21031" s="16"/>
    </row>
    <row r="21032" spans="30:30" x14ac:dyDescent="0.3">
      <c r="AD21032" s="16"/>
    </row>
    <row r="21033" spans="30:30" x14ac:dyDescent="0.3">
      <c r="AD21033" s="16"/>
    </row>
    <row r="21034" spans="30:30" x14ac:dyDescent="0.3">
      <c r="AD21034" s="16"/>
    </row>
    <row r="21035" spans="30:30" x14ac:dyDescent="0.3">
      <c r="AD21035" s="16"/>
    </row>
    <row r="21036" spans="30:30" x14ac:dyDescent="0.3">
      <c r="AD21036" s="16"/>
    </row>
    <row r="21037" spans="30:30" x14ac:dyDescent="0.3">
      <c r="AD21037" s="16"/>
    </row>
    <row r="21038" spans="30:30" x14ac:dyDescent="0.3">
      <c r="AD21038" s="16"/>
    </row>
    <row r="21039" spans="30:30" x14ac:dyDescent="0.3">
      <c r="AD21039" s="16"/>
    </row>
    <row r="21040" spans="30:30" x14ac:dyDescent="0.3">
      <c r="AD21040" s="16"/>
    </row>
    <row r="21041" spans="30:30" x14ac:dyDescent="0.3">
      <c r="AD21041" s="16"/>
    </row>
    <row r="21042" spans="30:30" x14ac:dyDescent="0.3">
      <c r="AD21042" s="16"/>
    </row>
    <row r="21043" spans="30:30" x14ac:dyDescent="0.3">
      <c r="AD21043" s="16"/>
    </row>
    <row r="21044" spans="30:30" x14ac:dyDescent="0.3">
      <c r="AD21044" s="16"/>
    </row>
    <row r="21045" spans="30:30" x14ac:dyDescent="0.3">
      <c r="AD21045" s="16"/>
    </row>
    <row r="21046" spans="30:30" x14ac:dyDescent="0.3">
      <c r="AD21046" s="16"/>
    </row>
    <row r="21047" spans="30:30" x14ac:dyDescent="0.3">
      <c r="AD21047" s="16"/>
    </row>
    <row r="21048" spans="30:30" x14ac:dyDescent="0.3">
      <c r="AD21048" s="16"/>
    </row>
    <row r="21049" spans="30:30" x14ac:dyDescent="0.3">
      <c r="AD21049" s="16"/>
    </row>
    <row r="21050" spans="30:30" x14ac:dyDescent="0.3">
      <c r="AD21050" s="16"/>
    </row>
    <row r="21051" spans="30:30" x14ac:dyDescent="0.3">
      <c r="AD21051" s="16"/>
    </row>
    <row r="21052" spans="30:30" x14ac:dyDescent="0.3">
      <c r="AD21052" s="16"/>
    </row>
    <row r="21053" spans="30:30" x14ac:dyDescent="0.3">
      <c r="AD21053" s="16"/>
    </row>
    <row r="21054" spans="30:30" x14ac:dyDescent="0.3">
      <c r="AD21054" s="16"/>
    </row>
    <row r="21055" spans="30:30" x14ac:dyDescent="0.3">
      <c r="AD21055" s="16"/>
    </row>
    <row r="21056" spans="30:30" x14ac:dyDescent="0.3">
      <c r="AD21056" s="16"/>
    </row>
    <row r="21057" spans="30:30" x14ac:dyDescent="0.3">
      <c r="AD21057" s="16"/>
    </row>
    <row r="21058" spans="30:30" x14ac:dyDescent="0.3">
      <c r="AD21058" s="16"/>
    </row>
    <row r="21059" spans="30:30" x14ac:dyDescent="0.3">
      <c r="AD21059" s="16"/>
    </row>
    <row r="21060" spans="30:30" x14ac:dyDescent="0.3">
      <c r="AD21060" s="16"/>
    </row>
    <row r="21061" spans="30:30" x14ac:dyDescent="0.3">
      <c r="AD21061" s="16"/>
    </row>
    <row r="21062" spans="30:30" x14ac:dyDescent="0.3">
      <c r="AD21062" s="16"/>
    </row>
    <row r="21063" spans="30:30" x14ac:dyDescent="0.3">
      <c r="AD21063" s="16"/>
    </row>
    <row r="21064" spans="30:30" x14ac:dyDescent="0.3">
      <c r="AD21064" s="16"/>
    </row>
    <row r="21065" spans="30:30" x14ac:dyDescent="0.3">
      <c r="AD21065" s="16"/>
    </row>
    <row r="21066" spans="30:30" x14ac:dyDescent="0.3">
      <c r="AD21066" s="16"/>
    </row>
    <row r="21067" spans="30:30" x14ac:dyDescent="0.3">
      <c r="AD21067" s="16"/>
    </row>
    <row r="21068" spans="30:30" x14ac:dyDescent="0.3">
      <c r="AD21068" s="16"/>
    </row>
    <row r="21069" spans="30:30" x14ac:dyDescent="0.3">
      <c r="AD21069" s="16"/>
    </row>
    <row r="21070" spans="30:30" x14ac:dyDescent="0.3">
      <c r="AD21070" s="16"/>
    </row>
    <row r="21071" spans="30:30" x14ac:dyDescent="0.3">
      <c r="AD21071" s="16"/>
    </row>
    <row r="21072" spans="30:30" x14ac:dyDescent="0.3">
      <c r="AD21072" s="16"/>
    </row>
    <row r="21073" spans="30:30" x14ac:dyDescent="0.3">
      <c r="AD21073" s="16"/>
    </row>
    <row r="21074" spans="30:30" x14ac:dyDescent="0.3">
      <c r="AD21074" s="16"/>
    </row>
    <row r="21075" spans="30:30" x14ac:dyDescent="0.3">
      <c r="AD21075" s="16"/>
    </row>
    <row r="21076" spans="30:30" x14ac:dyDescent="0.3">
      <c r="AD21076" s="16"/>
    </row>
    <row r="21077" spans="30:30" x14ac:dyDescent="0.3">
      <c r="AD21077" s="16"/>
    </row>
    <row r="21078" spans="30:30" x14ac:dyDescent="0.3">
      <c r="AD21078" s="16"/>
    </row>
    <row r="21079" spans="30:30" x14ac:dyDescent="0.3">
      <c r="AD21079" s="16"/>
    </row>
    <row r="21080" spans="30:30" x14ac:dyDescent="0.3">
      <c r="AD21080" s="16"/>
    </row>
    <row r="21081" spans="30:30" x14ac:dyDescent="0.3">
      <c r="AD21081" s="16"/>
    </row>
    <row r="21082" spans="30:30" x14ac:dyDescent="0.3">
      <c r="AD21082" s="16"/>
    </row>
    <row r="21083" spans="30:30" x14ac:dyDescent="0.3">
      <c r="AD21083" s="16"/>
    </row>
    <row r="21084" spans="30:30" x14ac:dyDescent="0.3">
      <c r="AD21084" s="16"/>
    </row>
    <row r="21085" spans="30:30" x14ac:dyDescent="0.3">
      <c r="AD21085" s="16"/>
    </row>
    <row r="21086" spans="30:30" x14ac:dyDescent="0.3">
      <c r="AD21086" s="16"/>
    </row>
    <row r="21087" spans="30:30" x14ac:dyDescent="0.3">
      <c r="AD21087" s="16"/>
    </row>
    <row r="21088" spans="30:30" x14ac:dyDescent="0.3">
      <c r="AD21088" s="16"/>
    </row>
    <row r="21089" spans="30:30" x14ac:dyDescent="0.3">
      <c r="AD21089" s="16"/>
    </row>
    <row r="21090" spans="30:30" x14ac:dyDescent="0.3">
      <c r="AD21090" s="16"/>
    </row>
    <row r="21091" spans="30:30" x14ac:dyDescent="0.3">
      <c r="AD21091" s="16"/>
    </row>
    <row r="21092" spans="30:30" x14ac:dyDescent="0.3">
      <c r="AD21092" s="16"/>
    </row>
    <row r="21093" spans="30:30" x14ac:dyDescent="0.3">
      <c r="AD21093" s="16"/>
    </row>
    <row r="21094" spans="30:30" x14ac:dyDescent="0.3">
      <c r="AD21094" s="16"/>
    </row>
    <row r="21095" spans="30:30" x14ac:dyDescent="0.3">
      <c r="AD21095" s="16"/>
    </row>
    <row r="21096" spans="30:30" x14ac:dyDescent="0.3">
      <c r="AD21096" s="16"/>
    </row>
    <row r="21097" spans="30:30" x14ac:dyDescent="0.3">
      <c r="AD21097" s="16"/>
    </row>
    <row r="21098" spans="30:30" x14ac:dyDescent="0.3">
      <c r="AD21098" s="16"/>
    </row>
    <row r="21099" spans="30:30" x14ac:dyDescent="0.3">
      <c r="AD21099" s="16"/>
    </row>
    <row r="21100" spans="30:30" x14ac:dyDescent="0.3">
      <c r="AD21100" s="16"/>
    </row>
    <row r="21101" spans="30:30" x14ac:dyDescent="0.3">
      <c r="AD21101" s="16"/>
    </row>
    <row r="21102" spans="30:30" x14ac:dyDescent="0.3">
      <c r="AD21102" s="16"/>
    </row>
    <row r="21103" spans="30:30" x14ac:dyDescent="0.3">
      <c r="AD21103" s="16"/>
    </row>
    <row r="21104" spans="30:30" x14ac:dyDescent="0.3">
      <c r="AD21104" s="16"/>
    </row>
    <row r="21105" spans="30:30" x14ac:dyDescent="0.3">
      <c r="AD21105" s="16"/>
    </row>
    <row r="21106" spans="30:30" x14ac:dyDescent="0.3">
      <c r="AD21106" s="16"/>
    </row>
    <row r="21107" spans="30:30" x14ac:dyDescent="0.3">
      <c r="AD21107" s="16"/>
    </row>
    <row r="21108" spans="30:30" x14ac:dyDescent="0.3">
      <c r="AD21108" s="16"/>
    </row>
    <row r="21109" spans="30:30" x14ac:dyDescent="0.3">
      <c r="AD21109" s="16"/>
    </row>
    <row r="21110" spans="30:30" x14ac:dyDescent="0.3">
      <c r="AD21110" s="16"/>
    </row>
    <row r="21111" spans="30:30" x14ac:dyDescent="0.3">
      <c r="AD21111" s="16"/>
    </row>
    <row r="21112" spans="30:30" x14ac:dyDescent="0.3">
      <c r="AD21112" s="16"/>
    </row>
    <row r="21113" spans="30:30" x14ac:dyDescent="0.3">
      <c r="AD21113" s="16"/>
    </row>
    <row r="21114" spans="30:30" x14ac:dyDescent="0.3">
      <c r="AD21114" s="16"/>
    </row>
    <row r="21115" spans="30:30" x14ac:dyDescent="0.3">
      <c r="AD21115" s="16"/>
    </row>
    <row r="21116" spans="30:30" x14ac:dyDescent="0.3">
      <c r="AD21116" s="16"/>
    </row>
    <row r="21117" spans="30:30" x14ac:dyDescent="0.3">
      <c r="AD21117" s="16"/>
    </row>
    <row r="21118" spans="30:30" x14ac:dyDescent="0.3">
      <c r="AD21118" s="16"/>
    </row>
    <row r="21119" spans="30:30" x14ac:dyDescent="0.3">
      <c r="AD21119" s="16"/>
    </row>
    <row r="21120" spans="30:30" x14ac:dyDescent="0.3">
      <c r="AD21120" s="16"/>
    </row>
    <row r="21121" spans="30:30" x14ac:dyDescent="0.3">
      <c r="AD21121" s="16"/>
    </row>
    <row r="21122" spans="30:30" x14ac:dyDescent="0.3">
      <c r="AD21122" s="16"/>
    </row>
    <row r="21123" spans="30:30" x14ac:dyDescent="0.3">
      <c r="AD21123" s="16"/>
    </row>
    <row r="21124" spans="30:30" x14ac:dyDescent="0.3">
      <c r="AD21124" s="16"/>
    </row>
    <row r="21125" spans="30:30" x14ac:dyDescent="0.3">
      <c r="AD21125" s="16"/>
    </row>
    <row r="21126" spans="30:30" x14ac:dyDescent="0.3">
      <c r="AD21126" s="16"/>
    </row>
    <row r="21127" spans="30:30" x14ac:dyDescent="0.3">
      <c r="AD21127" s="16"/>
    </row>
    <row r="21128" spans="30:30" x14ac:dyDescent="0.3">
      <c r="AD21128" s="16"/>
    </row>
    <row r="21129" spans="30:30" x14ac:dyDescent="0.3">
      <c r="AD21129" s="16"/>
    </row>
    <row r="21130" spans="30:30" x14ac:dyDescent="0.3">
      <c r="AD21130" s="16"/>
    </row>
    <row r="21131" spans="30:30" x14ac:dyDescent="0.3">
      <c r="AD21131" s="16"/>
    </row>
    <row r="21132" spans="30:30" x14ac:dyDescent="0.3">
      <c r="AD21132" s="16"/>
    </row>
    <row r="21133" spans="30:30" x14ac:dyDescent="0.3">
      <c r="AD21133" s="16"/>
    </row>
    <row r="21134" spans="30:30" x14ac:dyDescent="0.3">
      <c r="AD21134" s="16"/>
    </row>
    <row r="21135" spans="30:30" x14ac:dyDescent="0.3">
      <c r="AD21135" s="16"/>
    </row>
    <row r="21136" spans="30:30" x14ac:dyDescent="0.3">
      <c r="AD21136" s="16"/>
    </row>
    <row r="21137" spans="30:30" x14ac:dyDescent="0.3">
      <c r="AD21137" s="16"/>
    </row>
    <row r="21138" spans="30:30" x14ac:dyDescent="0.3">
      <c r="AD21138" s="16"/>
    </row>
    <row r="21139" spans="30:30" x14ac:dyDescent="0.3">
      <c r="AD21139" s="16"/>
    </row>
    <row r="21140" spans="30:30" x14ac:dyDescent="0.3">
      <c r="AD21140" s="16"/>
    </row>
    <row r="21141" spans="30:30" x14ac:dyDescent="0.3">
      <c r="AD21141" s="16"/>
    </row>
    <row r="21142" spans="30:30" x14ac:dyDescent="0.3">
      <c r="AD21142" s="16"/>
    </row>
    <row r="21143" spans="30:30" x14ac:dyDescent="0.3">
      <c r="AD21143" s="16"/>
    </row>
    <row r="21144" spans="30:30" x14ac:dyDescent="0.3">
      <c r="AD21144" s="16"/>
    </row>
    <row r="21145" spans="30:30" x14ac:dyDescent="0.3">
      <c r="AD21145" s="16"/>
    </row>
    <row r="21146" spans="30:30" x14ac:dyDescent="0.3">
      <c r="AD21146" s="16"/>
    </row>
    <row r="21147" spans="30:30" x14ac:dyDescent="0.3">
      <c r="AD21147" s="16"/>
    </row>
    <row r="21148" spans="30:30" x14ac:dyDescent="0.3">
      <c r="AD21148" s="16"/>
    </row>
    <row r="21149" spans="30:30" x14ac:dyDescent="0.3">
      <c r="AD21149" s="16"/>
    </row>
    <row r="21150" spans="30:30" x14ac:dyDescent="0.3">
      <c r="AD21150" s="16"/>
    </row>
    <row r="21151" spans="30:30" x14ac:dyDescent="0.3">
      <c r="AD21151" s="16"/>
    </row>
    <row r="21152" spans="30:30" x14ac:dyDescent="0.3">
      <c r="AD21152" s="16"/>
    </row>
    <row r="21153" spans="30:30" x14ac:dyDescent="0.3">
      <c r="AD21153" s="16"/>
    </row>
    <row r="21154" spans="30:30" x14ac:dyDescent="0.3">
      <c r="AD21154" s="16"/>
    </row>
    <row r="21155" spans="30:30" x14ac:dyDescent="0.3">
      <c r="AD21155" s="16"/>
    </row>
    <row r="21156" spans="30:30" x14ac:dyDescent="0.3">
      <c r="AD21156" s="16"/>
    </row>
    <row r="21157" spans="30:30" x14ac:dyDescent="0.3">
      <c r="AD21157" s="16"/>
    </row>
    <row r="21158" spans="30:30" x14ac:dyDescent="0.3">
      <c r="AD21158" s="16"/>
    </row>
    <row r="21159" spans="30:30" x14ac:dyDescent="0.3">
      <c r="AD21159" s="16"/>
    </row>
    <row r="21160" spans="30:30" x14ac:dyDescent="0.3">
      <c r="AD21160" s="16"/>
    </row>
    <row r="21161" spans="30:30" x14ac:dyDescent="0.3">
      <c r="AD21161" s="16"/>
    </row>
    <row r="21162" spans="30:30" x14ac:dyDescent="0.3">
      <c r="AD21162" s="16"/>
    </row>
    <row r="21163" spans="30:30" x14ac:dyDescent="0.3">
      <c r="AD21163" s="16"/>
    </row>
    <row r="21164" spans="30:30" x14ac:dyDescent="0.3">
      <c r="AD21164" s="16"/>
    </row>
    <row r="21165" spans="30:30" x14ac:dyDescent="0.3">
      <c r="AD21165" s="16"/>
    </row>
    <row r="21166" spans="30:30" x14ac:dyDescent="0.3">
      <c r="AD21166" s="16"/>
    </row>
    <row r="21167" spans="30:30" x14ac:dyDescent="0.3">
      <c r="AD21167" s="16"/>
    </row>
    <row r="21168" spans="30:30" x14ac:dyDescent="0.3">
      <c r="AD21168" s="16"/>
    </row>
    <row r="21169" spans="30:30" x14ac:dyDescent="0.3">
      <c r="AD21169" s="16"/>
    </row>
    <row r="21170" spans="30:30" x14ac:dyDescent="0.3">
      <c r="AD21170" s="16"/>
    </row>
    <row r="21171" spans="30:30" x14ac:dyDescent="0.3">
      <c r="AD21171" s="16"/>
    </row>
    <row r="21172" spans="30:30" x14ac:dyDescent="0.3">
      <c r="AD21172" s="16"/>
    </row>
    <row r="21173" spans="30:30" x14ac:dyDescent="0.3">
      <c r="AD21173" s="16"/>
    </row>
    <row r="21174" spans="30:30" x14ac:dyDescent="0.3">
      <c r="AD21174" s="16"/>
    </row>
    <row r="21175" spans="30:30" x14ac:dyDescent="0.3">
      <c r="AD21175" s="16"/>
    </row>
    <row r="21176" spans="30:30" x14ac:dyDescent="0.3">
      <c r="AD21176" s="16"/>
    </row>
    <row r="21177" spans="30:30" x14ac:dyDescent="0.3">
      <c r="AD21177" s="16"/>
    </row>
    <row r="21178" spans="30:30" x14ac:dyDescent="0.3">
      <c r="AD21178" s="16"/>
    </row>
    <row r="21179" spans="30:30" x14ac:dyDescent="0.3">
      <c r="AD21179" s="16"/>
    </row>
    <row r="21180" spans="30:30" x14ac:dyDescent="0.3">
      <c r="AD21180" s="16"/>
    </row>
    <row r="21181" spans="30:30" x14ac:dyDescent="0.3">
      <c r="AD21181" s="16"/>
    </row>
    <row r="21182" spans="30:30" x14ac:dyDescent="0.3">
      <c r="AD21182" s="16"/>
    </row>
    <row r="21183" spans="30:30" x14ac:dyDescent="0.3">
      <c r="AD21183" s="16"/>
    </row>
    <row r="21184" spans="30:30" x14ac:dyDescent="0.3">
      <c r="AD21184" s="16"/>
    </row>
    <row r="21185" spans="30:30" x14ac:dyDescent="0.3">
      <c r="AD21185" s="16"/>
    </row>
    <row r="21186" spans="30:30" x14ac:dyDescent="0.3">
      <c r="AD21186" s="16"/>
    </row>
    <row r="21187" spans="30:30" x14ac:dyDescent="0.3">
      <c r="AD21187" s="16"/>
    </row>
    <row r="21188" spans="30:30" x14ac:dyDescent="0.3">
      <c r="AD21188" s="16"/>
    </row>
    <row r="21189" spans="30:30" x14ac:dyDescent="0.3">
      <c r="AD21189" s="16"/>
    </row>
    <row r="21190" spans="30:30" x14ac:dyDescent="0.3">
      <c r="AD21190" s="16"/>
    </row>
    <row r="21191" spans="30:30" x14ac:dyDescent="0.3">
      <c r="AD21191" s="16"/>
    </row>
    <row r="21192" spans="30:30" x14ac:dyDescent="0.3">
      <c r="AD21192" s="16"/>
    </row>
    <row r="21193" spans="30:30" x14ac:dyDescent="0.3">
      <c r="AD21193" s="16"/>
    </row>
    <row r="21194" spans="30:30" x14ac:dyDescent="0.3">
      <c r="AD21194" s="16"/>
    </row>
    <row r="21195" spans="30:30" x14ac:dyDescent="0.3">
      <c r="AD21195" s="16"/>
    </row>
    <row r="21196" spans="30:30" x14ac:dyDescent="0.3">
      <c r="AD21196" s="16"/>
    </row>
    <row r="21197" spans="30:30" x14ac:dyDescent="0.3">
      <c r="AD21197" s="16"/>
    </row>
    <row r="21198" spans="30:30" x14ac:dyDescent="0.3">
      <c r="AD21198" s="16"/>
    </row>
    <row r="21199" spans="30:30" x14ac:dyDescent="0.3">
      <c r="AD21199" s="16"/>
    </row>
    <row r="21200" spans="30:30" x14ac:dyDescent="0.3">
      <c r="AD21200" s="16"/>
    </row>
    <row r="21201" spans="30:30" x14ac:dyDescent="0.3">
      <c r="AD21201" s="16"/>
    </row>
    <row r="21202" spans="30:30" x14ac:dyDescent="0.3">
      <c r="AD21202" s="16"/>
    </row>
    <row r="21203" spans="30:30" x14ac:dyDescent="0.3">
      <c r="AD21203" s="16"/>
    </row>
    <row r="21204" spans="30:30" x14ac:dyDescent="0.3">
      <c r="AD21204" s="16"/>
    </row>
    <row r="21205" spans="30:30" x14ac:dyDescent="0.3">
      <c r="AD21205" s="16"/>
    </row>
    <row r="21206" spans="30:30" x14ac:dyDescent="0.3">
      <c r="AD21206" s="16"/>
    </row>
    <row r="21207" spans="30:30" x14ac:dyDescent="0.3">
      <c r="AD21207" s="16"/>
    </row>
    <row r="21208" spans="30:30" x14ac:dyDescent="0.3">
      <c r="AD21208" s="16"/>
    </row>
    <row r="21209" spans="30:30" x14ac:dyDescent="0.3">
      <c r="AD21209" s="16"/>
    </row>
    <row r="21210" spans="30:30" x14ac:dyDescent="0.3">
      <c r="AD21210" s="16"/>
    </row>
    <row r="21211" spans="30:30" x14ac:dyDescent="0.3">
      <c r="AD21211" s="16"/>
    </row>
    <row r="21212" spans="30:30" x14ac:dyDescent="0.3">
      <c r="AD21212" s="16"/>
    </row>
    <row r="21213" spans="30:30" x14ac:dyDescent="0.3">
      <c r="AD21213" s="16"/>
    </row>
    <row r="21214" spans="30:30" x14ac:dyDescent="0.3">
      <c r="AD21214" s="16"/>
    </row>
    <row r="21215" spans="30:30" x14ac:dyDescent="0.3">
      <c r="AD21215" s="16"/>
    </row>
    <row r="21216" spans="30:30" x14ac:dyDescent="0.3">
      <c r="AD21216" s="16"/>
    </row>
    <row r="21217" spans="30:30" x14ac:dyDescent="0.3">
      <c r="AD21217" s="16"/>
    </row>
    <row r="21218" spans="30:30" x14ac:dyDescent="0.3">
      <c r="AD21218" s="16"/>
    </row>
    <row r="21219" spans="30:30" x14ac:dyDescent="0.3">
      <c r="AD21219" s="16"/>
    </row>
    <row r="21220" spans="30:30" x14ac:dyDescent="0.3">
      <c r="AD21220" s="16"/>
    </row>
    <row r="21221" spans="30:30" x14ac:dyDescent="0.3">
      <c r="AD21221" s="16"/>
    </row>
    <row r="21222" spans="30:30" x14ac:dyDescent="0.3">
      <c r="AD21222" s="16"/>
    </row>
    <row r="21223" spans="30:30" x14ac:dyDescent="0.3">
      <c r="AD21223" s="16"/>
    </row>
    <row r="21224" spans="30:30" x14ac:dyDescent="0.3">
      <c r="AD21224" s="16"/>
    </row>
    <row r="21225" spans="30:30" x14ac:dyDescent="0.3">
      <c r="AD21225" s="16"/>
    </row>
    <row r="21226" spans="30:30" x14ac:dyDescent="0.3">
      <c r="AD21226" s="16"/>
    </row>
    <row r="21227" spans="30:30" x14ac:dyDescent="0.3">
      <c r="AD21227" s="16"/>
    </row>
    <row r="21228" spans="30:30" x14ac:dyDescent="0.3">
      <c r="AD21228" s="16"/>
    </row>
    <row r="21229" spans="30:30" x14ac:dyDescent="0.3">
      <c r="AD21229" s="16"/>
    </row>
    <row r="21230" spans="30:30" x14ac:dyDescent="0.3">
      <c r="AD21230" s="16"/>
    </row>
    <row r="21231" spans="30:30" x14ac:dyDescent="0.3">
      <c r="AD21231" s="16"/>
    </row>
    <row r="21232" spans="30:30" x14ac:dyDescent="0.3">
      <c r="AD21232" s="16"/>
    </row>
    <row r="21233" spans="30:30" x14ac:dyDescent="0.3">
      <c r="AD21233" s="16"/>
    </row>
    <row r="21234" spans="30:30" x14ac:dyDescent="0.3">
      <c r="AD21234" s="16"/>
    </row>
    <row r="21235" spans="30:30" x14ac:dyDescent="0.3">
      <c r="AD21235" s="16"/>
    </row>
    <row r="21236" spans="30:30" x14ac:dyDescent="0.3">
      <c r="AD21236" s="16"/>
    </row>
    <row r="21237" spans="30:30" x14ac:dyDescent="0.3">
      <c r="AD21237" s="16"/>
    </row>
    <row r="21238" spans="30:30" x14ac:dyDescent="0.3">
      <c r="AD21238" s="16"/>
    </row>
    <row r="21239" spans="30:30" x14ac:dyDescent="0.3">
      <c r="AD21239" s="16"/>
    </row>
    <row r="21240" spans="30:30" x14ac:dyDescent="0.3">
      <c r="AD21240" s="16"/>
    </row>
    <row r="21241" spans="30:30" x14ac:dyDescent="0.3">
      <c r="AD21241" s="16"/>
    </row>
    <row r="21242" spans="30:30" x14ac:dyDescent="0.3">
      <c r="AD21242" s="16"/>
    </row>
    <row r="21243" spans="30:30" x14ac:dyDescent="0.3">
      <c r="AD21243" s="16"/>
    </row>
    <row r="21244" spans="30:30" x14ac:dyDescent="0.3">
      <c r="AD21244" s="16"/>
    </row>
    <row r="21245" spans="30:30" x14ac:dyDescent="0.3">
      <c r="AD21245" s="16"/>
    </row>
    <row r="21246" spans="30:30" x14ac:dyDescent="0.3">
      <c r="AD21246" s="16"/>
    </row>
    <row r="21247" spans="30:30" x14ac:dyDescent="0.3">
      <c r="AD21247" s="16"/>
    </row>
    <row r="21248" spans="30:30" x14ac:dyDescent="0.3">
      <c r="AD21248" s="16"/>
    </row>
    <row r="21249" spans="30:30" x14ac:dyDescent="0.3">
      <c r="AD21249" s="16"/>
    </row>
    <row r="21250" spans="30:30" x14ac:dyDescent="0.3">
      <c r="AD21250" s="16"/>
    </row>
    <row r="21251" spans="30:30" x14ac:dyDescent="0.3">
      <c r="AD21251" s="16"/>
    </row>
    <row r="21252" spans="30:30" x14ac:dyDescent="0.3">
      <c r="AD21252" s="16"/>
    </row>
    <row r="21253" spans="30:30" x14ac:dyDescent="0.3">
      <c r="AD21253" s="16"/>
    </row>
    <row r="21254" spans="30:30" x14ac:dyDescent="0.3">
      <c r="AD21254" s="16"/>
    </row>
    <row r="21255" spans="30:30" x14ac:dyDescent="0.3">
      <c r="AD21255" s="16"/>
    </row>
    <row r="21256" spans="30:30" x14ac:dyDescent="0.3">
      <c r="AD21256" s="16"/>
    </row>
    <row r="21257" spans="30:30" x14ac:dyDescent="0.3">
      <c r="AD21257" s="16"/>
    </row>
    <row r="21258" spans="30:30" x14ac:dyDescent="0.3">
      <c r="AD21258" s="16"/>
    </row>
    <row r="21259" spans="30:30" x14ac:dyDescent="0.3">
      <c r="AD21259" s="16"/>
    </row>
    <row r="21260" spans="30:30" x14ac:dyDescent="0.3">
      <c r="AD21260" s="16"/>
    </row>
    <row r="21261" spans="30:30" x14ac:dyDescent="0.3">
      <c r="AD21261" s="16"/>
    </row>
    <row r="21262" spans="30:30" x14ac:dyDescent="0.3">
      <c r="AD21262" s="16"/>
    </row>
    <row r="21263" spans="30:30" x14ac:dyDescent="0.3">
      <c r="AD21263" s="16"/>
    </row>
    <row r="21264" spans="30:30" x14ac:dyDescent="0.3">
      <c r="AD21264" s="16"/>
    </row>
    <row r="21265" spans="30:30" x14ac:dyDescent="0.3">
      <c r="AD21265" s="16"/>
    </row>
    <row r="21266" spans="30:30" x14ac:dyDescent="0.3">
      <c r="AD21266" s="16"/>
    </row>
    <row r="21267" spans="30:30" x14ac:dyDescent="0.3">
      <c r="AD21267" s="16"/>
    </row>
    <row r="21268" spans="30:30" x14ac:dyDescent="0.3">
      <c r="AD21268" s="16"/>
    </row>
    <row r="21269" spans="30:30" x14ac:dyDescent="0.3">
      <c r="AD21269" s="16"/>
    </row>
    <row r="21270" spans="30:30" x14ac:dyDescent="0.3">
      <c r="AD21270" s="16"/>
    </row>
    <row r="21271" spans="30:30" x14ac:dyDescent="0.3">
      <c r="AD21271" s="16"/>
    </row>
    <row r="21272" spans="30:30" x14ac:dyDescent="0.3">
      <c r="AD21272" s="16"/>
    </row>
    <row r="21273" spans="30:30" x14ac:dyDescent="0.3">
      <c r="AD21273" s="16"/>
    </row>
    <row r="21274" spans="30:30" x14ac:dyDescent="0.3">
      <c r="AD21274" s="16"/>
    </row>
    <row r="21275" spans="30:30" x14ac:dyDescent="0.3">
      <c r="AD21275" s="16"/>
    </row>
    <row r="21276" spans="30:30" x14ac:dyDescent="0.3">
      <c r="AD21276" s="16"/>
    </row>
    <row r="21277" spans="30:30" x14ac:dyDescent="0.3">
      <c r="AD21277" s="16"/>
    </row>
    <row r="21278" spans="30:30" x14ac:dyDescent="0.3">
      <c r="AD21278" s="16"/>
    </row>
    <row r="21279" spans="30:30" x14ac:dyDescent="0.3">
      <c r="AD21279" s="16"/>
    </row>
    <row r="21280" spans="30:30" x14ac:dyDescent="0.3">
      <c r="AD21280" s="16"/>
    </row>
    <row r="21281" spans="30:30" x14ac:dyDescent="0.3">
      <c r="AD21281" s="16"/>
    </row>
    <row r="21282" spans="30:30" x14ac:dyDescent="0.3">
      <c r="AD21282" s="16"/>
    </row>
    <row r="21283" spans="30:30" x14ac:dyDescent="0.3">
      <c r="AD21283" s="16"/>
    </row>
    <row r="21284" spans="30:30" x14ac:dyDescent="0.3">
      <c r="AD21284" s="16"/>
    </row>
    <row r="21285" spans="30:30" x14ac:dyDescent="0.3">
      <c r="AD21285" s="16"/>
    </row>
    <row r="21286" spans="30:30" x14ac:dyDescent="0.3">
      <c r="AD21286" s="16"/>
    </row>
    <row r="21287" spans="30:30" x14ac:dyDescent="0.3">
      <c r="AD21287" s="16"/>
    </row>
    <row r="21288" spans="30:30" x14ac:dyDescent="0.3">
      <c r="AD21288" s="16"/>
    </row>
    <row r="21289" spans="30:30" x14ac:dyDescent="0.3">
      <c r="AD21289" s="16"/>
    </row>
    <row r="21290" spans="30:30" x14ac:dyDescent="0.3">
      <c r="AD21290" s="16"/>
    </row>
    <row r="21291" spans="30:30" x14ac:dyDescent="0.3">
      <c r="AD21291" s="16"/>
    </row>
    <row r="21292" spans="30:30" x14ac:dyDescent="0.3">
      <c r="AD21292" s="16"/>
    </row>
    <row r="21293" spans="30:30" x14ac:dyDescent="0.3">
      <c r="AD21293" s="16"/>
    </row>
    <row r="21294" spans="30:30" x14ac:dyDescent="0.3">
      <c r="AD21294" s="16"/>
    </row>
    <row r="21295" spans="30:30" x14ac:dyDescent="0.3">
      <c r="AD21295" s="16"/>
    </row>
    <row r="21296" spans="30:30" x14ac:dyDescent="0.3">
      <c r="AD21296" s="16"/>
    </row>
    <row r="21297" spans="30:30" x14ac:dyDescent="0.3">
      <c r="AD21297" s="16"/>
    </row>
    <row r="21298" spans="30:30" x14ac:dyDescent="0.3">
      <c r="AD21298" s="16"/>
    </row>
    <row r="21299" spans="30:30" x14ac:dyDescent="0.3">
      <c r="AD21299" s="16"/>
    </row>
    <row r="21300" spans="30:30" x14ac:dyDescent="0.3">
      <c r="AD21300" s="16"/>
    </row>
    <row r="21301" spans="30:30" x14ac:dyDescent="0.3">
      <c r="AD21301" s="16"/>
    </row>
    <row r="21302" spans="30:30" x14ac:dyDescent="0.3">
      <c r="AD21302" s="16"/>
    </row>
    <row r="21303" spans="30:30" x14ac:dyDescent="0.3">
      <c r="AD21303" s="16"/>
    </row>
    <row r="21304" spans="30:30" x14ac:dyDescent="0.3">
      <c r="AD21304" s="16"/>
    </row>
    <row r="21305" spans="30:30" x14ac:dyDescent="0.3">
      <c r="AD21305" s="16"/>
    </row>
    <row r="21306" spans="30:30" x14ac:dyDescent="0.3">
      <c r="AD21306" s="16"/>
    </row>
    <row r="21307" spans="30:30" x14ac:dyDescent="0.3">
      <c r="AD21307" s="16"/>
    </row>
    <row r="21308" spans="30:30" x14ac:dyDescent="0.3">
      <c r="AD21308" s="16"/>
    </row>
    <row r="21309" spans="30:30" x14ac:dyDescent="0.3">
      <c r="AD21309" s="16"/>
    </row>
    <row r="21310" spans="30:30" x14ac:dyDescent="0.3">
      <c r="AD21310" s="16"/>
    </row>
    <row r="21311" spans="30:30" x14ac:dyDescent="0.3">
      <c r="AD21311" s="16"/>
    </row>
    <row r="21312" spans="30:30" x14ac:dyDescent="0.3">
      <c r="AD21312" s="16"/>
    </row>
    <row r="21313" spans="30:30" x14ac:dyDescent="0.3">
      <c r="AD21313" s="16"/>
    </row>
    <row r="21314" spans="30:30" x14ac:dyDescent="0.3">
      <c r="AD21314" s="16"/>
    </row>
    <row r="21315" spans="30:30" x14ac:dyDescent="0.3">
      <c r="AD21315" s="16"/>
    </row>
    <row r="21316" spans="30:30" x14ac:dyDescent="0.3">
      <c r="AD21316" s="16"/>
    </row>
    <row r="21317" spans="30:30" x14ac:dyDescent="0.3">
      <c r="AD21317" s="16"/>
    </row>
    <row r="21318" spans="30:30" x14ac:dyDescent="0.3">
      <c r="AD21318" s="16"/>
    </row>
    <row r="21319" spans="30:30" x14ac:dyDescent="0.3">
      <c r="AD21319" s="16"/>
    </row>
    <row r="21320" spans="30:30" x14ac:dyDescent="0.3">
      <c r="AD21320" s="16"/>
    </row>
    <row r="21321" spans="30:30" x14ac:dyDescent="0.3">
      <c r="AD21321" s="16"/>
    </row>
    <row r="21322" spans="30:30" x14ac:dyDescent="0.3">
      <c r="AD21322" s="16"/>
    </row>
    <row r="21323" spans="30:30" x14ac:dyDescent="0.3">
      <c r="AD21323" s="16"/>
    </row>
    <row r="21324" spans="30:30" x14ac:dyDescent="0.3">
      <c r="AD21324" s="16"/>
    </row>
    <row r="21325" spans="30:30" x14ac:dyDescent="0.3">
      <c r="AD21325" s="16"/>
    </row>
    <row r="21326" spans="30:30" x14ac:dyDescent="0.3">
      <c r="AD21326" s="16"/>
    </row>
    <row r="21327" spans="30:30" x14ac:dyDescent="0.3">
      <c r="AD21327" s="16"/>
    </row>
    <row r="21328" spans="30:30" x14ac:dyDescent="0.3">
      <c r="AD21328" s="16"/>
    </row>
    <row r="21329" spans="30:30" x14ac:dyDescent="0.3">
      <c r="AD21329" s="16"/>
    </row>
    <row r="21330" spans="30:30" x14ac:dyDescent="0.3">
      <c r="AD21330" s="16"/>
    </row>
    <row r="21331" spans="30:30" x14ac:dyDescent="0.3">
      <c r="AD21331" s="16"/>
    </row>
    <row r="21332" spans="30:30" x14ac:dyDescent="0.3">
      <c r="AD21332" s="16"/>
    </row>
    <row r="21333" spans="30:30" x14ac:dyDescent="0.3">
      <c r="AD21333" s="16"/>
    </row>
    <row r="21334" spans="30:30" x14ac:dyDescent="0.3">
      <c r="AD21334" s="16"/>
    </row>
    <row r="21335" spans="30:30" x14ac:dyDescent="0.3">
      <c r="AD21335" s="16"/>
    </row>
    <row r="21336" spans="30:30" x14ac:dyDescent="0.3">
      <c r="AD21336" s="16"/>
    </row>
    <row r="21337" spans="30:30" x14ac:dyDescent="0.3">
      <c r="AD21337" s="16"/>
    </row>
    <row r="21338" spans="30:30" x14ac:dyDescent="0.3">
      <c r="AD21338" s="16"/>
    </row>
    <row r="21339" spans="30:30" x14ac:dyDescent="0.3">
      <c r="AD21339" s="16"/>
    </row>
    <row r="21340" spans="30:30" x14ac:dyDescent="0.3">
      <c r="AD21340" s="16"/>
    </row>
    <row r="21341" spans="30:30" x14ac:dyDescent="0.3">
      <c r="AD21341" s="16"/>
    </row>
    <row r="21342" spans="30:30" x14ac:dyDescent="0.3">
      <c r="AD21342" s="16"/>
    </row>
    <row r="21343" spans="30:30" x14ac:dyDescent="0.3">
      <c r="AD21343" s="16"/>
    </row>
    <row r="21344" spans="30:30" x14ac:dyDescent="0.3">
      <c r="AD21344" s="16"/>
    </row>
    <row r="21345" spans="30:30" x14ac:dyDescent="0.3">
      <c r="AD21345" s="16"/>
    </row>
    <row r="21346" spans="30:30" x14ac:dyDescent="0.3">
      <c r="AD21346" s="16"/>
    </row>
    <row r="21347" spans="30:30" x14ac:dyDescent="0.3">
      <c r="AD21347" s="16"/>
    </row>
    <row r="21348" spans="30:30" x14ac:dyDescent="0.3">
      <c r="AD21348" s="16"/>
    </row>
    <row r="21349" spans="30:30" x14ac:dyDescent="0.3">
      <c r="AD21349" s="16"/>
    </row>
    <row r="21350" spans="30:30" x14ac:dyDescent="0.3">
      <c r="AD21350" s="16"/>
    </row>
    <row r="21351" spans="30:30" x14ac:dyDescent="0.3">
      <c r="AD21351" s="16"/>
    </row>
    <row r="21352" spans="30:30" x14ac:dyDescent="0.3">
      <c r="AD21352" s="16"/>
    </row>
    <row r="21353" spans="30:30" x14ac:dyDescent="0.3">
      <c r="AD21353" s="16"/>
    </row>
    <row r="21354" spans="30:30" x14ac:dyDescent="0.3">
      <c r="AD21354" s="16"/>
    </row>
    <row r="21355" spans="30:30" x14ac:dyDescent="0.3">
      <c r="AD21355" s="16"/>
    </row>
    <row r="21356" spans="30:30" x14ac:dyDescent="0.3">
      <c r="AD21356" s="16"/>
    </row>
    <row r="21357" spans="30:30" x14ac:dyDescent="0.3">
      <c r="AD21357" s="16"/>
    </row>
    <row r="21358" spans="30:30" x14ac:dyDescent="0.3">
      <c r="AD21358" s="16"/>
    </row>
    <row r="21359" spans="30:30" x14ac:dyDescent="0.3">
      <c r="AD21359" s="16"/>
    </row>
    <row r="21360" spans="30:30" x14ac:dyDescent="0.3">
      <c r="AD21360" s="16"/>
    </row>
    <row r="21361" spans="30:30" x14ac:dyDescent="0.3">
      <c r="AD21361" s="16"/>
    </row>
    <row r="21362" spans="30:30" x14ac:dyDescent="0.3">
      <c r="AD21362" s="16"/>
    </row>
    <row r="21363" spans="30:30" x14ac:dyDescent="0.3">
      <c r="AD21363" s="16"/>
    </row>
    <row r="21364" spans="30:30" x14ac:dyDescent="0.3">
      <c r="AD21364" s="16"/>
    </row>
    <row r="21365" spans="30:30" x14ac:dyDescent="0.3">
      <c r="AD21365" s="16"/>
    </row>
    <row r="21366" spans="30:30" x14ac:dyDescent="0.3">
      <c r="AD21366" s="16"/>
    </row>
    <row r="21367" spans="30:30" x14ac:dyDescent="0.3">
      <c r="AD21367" s="16"/>
    </row>
    <row r="21368" spans="30:30" x14ac:dyDescent="0.3">
      <c r="AD21368" s="16"/>
    </row>
    <row r="21369" spans="30:30" x14ac:dyDescent="0.3">
      <c r="AD21369" s="16"/>
    </row>
    <row r="21370" spans="30:30" x14ac:dyDescent="0.3">
      <c r="AD21370" s="16"/>
    </row>
    <row r="21371" spans="30:30" x14ac:dyDescent="0.3">
      <c r="AD21371" s="16"/>
    </row>
    <row r="21372" spans="30:30" x14ac:dyDescent="0.3">
      <c r="AD21372" s="16"/>
    </row>
    <row r="21373" spans="30:30" x14ac:dyDescent="0.3">
      <c r="AD21373" s="16"/>
    </row>
    <row r="21374" spans="30:30" x14ac:dyDescent="0.3">
      <c r="AD21374" s="16"/>
    </row>
    <row r="21375" spans="30:30" x14ac:dyDescent="0.3">
      <c r="AD21375" s="16"/>
    </row>
    <row r="21376" spans="30:30" x14ac:dyDescent="0.3">
      <c r="AD21376" s="16"/>
    </row>
    <row r="21377" spans="30:30" x14ac:dyDescent="0.3">
      <c r="AD21377" s="16"/>
    </row>
    <row r="21378" spans="30:30" x14ac:dyDescent="0.3">
      <c r="AD21378" s="16"/>
    </row>
    <row r="21379" spans="30:30" x14ac:dyDescent="0.3">
      <c r="AD21379" s="16"/>
    </row>
    <row r="21380" spans="30:30" x14ac:dyDescent="0.3">
      <c r="AD21380" s="16"/>
    </row>
    <row r="21381" spans="30:30" x14ac:dyDescent="0.3">
      <c r="AD21381" s="16"/>
    </row>
    <row r="21382" spans="30:30" x14ac:dyDescent="0.3">
      <c r="AD21382" s="16"/>
    </row>
    <row r="21383" spans="30:30" x14ac:dyDescent="0.3">
      <c r="AD21383" s="16"/>
    </row>
    <row r="21384" spans="30:30" x14ac:dyDescent="0.3">
      <c r="AD21384" s="16"/>
    </row>
    <row r="21385" spans="30:30" x14ac:dyDescent="0.3">
      <c r="AD21385" s="16"/>
    </row>
    <row r="21386" spans="30:30" x14ac:dyDescent="0.3">
      <c r="AD21386" s="16"/>
    </row>
    <row r="21387" spans="30:30" x14ac:dyDescent="0.3">
      <c r="AD21387" s="16"/>
    </row>
    <row r="21388" spans="30:30" x14ac:dyDescent="0.3">
      <c r="AD21388" s="16"/>
    </row>
    <row r="21389" spans="30:30" x14ac:dyDescent="0.3">
      <c r="AD21389" s="16"/>
    </row>
    <row r="21390" spans="30:30" x14ac:dyDescent="0.3">
      <c r="AD21390" s="16"/>
    </row>
    <row r="21391" spans="30:30" x14ac:dyDescent="0.3">
      <c r="AD21391" s="16"/>
    </row>
    <row r="21392" spans="30:30" x14ac:dyDescent="0.3">
      <c r="AD21392" s="16"/>
    </row>
    <row r="21393" spans="30:30" x14ac:dyDescent="0.3">
      <c r="AD21393" s="16"/>
    </row>
    <row r="21394" spans="30:30" x14ac:dyDescent="0.3">
      <c r="AD21394" s="16"/>
    </row>
    <row r="21395" spans="30:30" x14ac:dyDescent="0.3">
      <c r="AD21395" s="16"/>
    </row>
    <row r="21396" spans="30:30" x14ac:dyDescent="0.3">
      <c r="AD21396" s="16"/>
    </row>
    <row r="21397" spans="30:30" x14ac:dyDescent="0.3">
      <c r="AD21397" s="16"/>
    </row>
    <row r="21398" spans="30:30" x14ac:dyDescent="0.3">
      <c r="AD21398" s="16"/>
    </row>
    <row r="21399" spans="30:30" x14ac:dyDescent="0.3">
      <c r="AD21399" s="16"/>
    </row>
    <row r="21400" spans="30:30" x14ac:dyDescent="0.3">
      <c r="AD21400" s="16"/>
    </row>
    <row r="21401" spans="30:30" x14ac:dyDescent="0.3">
      <c r="AD21401" s="16"/>
    </row>
    <row r="21402" spans="30:30" x14ac:dyDescent="0.3">
      <c r="AD21402" s="16"/>
    </row>
    <row r="21403" spans="30:30" x14ac:dyDescent="0.3">
      <c r="AD21403" s="16"/>
    </row>
    <row r="21404" spans="30:30" x14ac:dyDescent="0.3">
      <c r="AD21404" s="16"/>
    </row>
    <row r="21405" spans="30:30" x14ac:dyDescent="0.3">
      <c r="AD21405" s="16"/>
    </row>
    <row r="21406" spans="30:30" x14ac:dyDescent="0.3">
      <c r="AD21406" s="16"/>
    </row>
    <row r="21407" spans="30:30" x14ac:dyDescent="0.3">
      <c r="AD21407" s="16"/>
    </row>
    <row r="21408" spans="30:30" x14ac:dyDescent="0.3">
      <c r="AD21408" s="16"/>
    </row>
    <row r="21409" spans="30:30" x14ac:dyDescent="0.3">
      <c r="AD21409" s="16"/>
    </row>
    <row r="21410" spans="30:30" x14ac:dyDescent="0.3">
      <c r="AD21410" s="16"/>
    </row>
    <row r="21411" spans="30:30" x14ac:dyDescent="0.3">
      <c r="AD21411" s="16"/>
    </row>
    <row r="21412" spans="30:30" x14ac:dyDescent="0.3">
      <c r="AD21412" s="16"/>
    </row>
    <row r="21413" spans="30:30" x14ac:dyDescent="0.3">
      <c r="AD21413" s="16"/>
    </row>
    <row r="21414" spans="30:30" x14ac:dyDescent="0.3">
      <c r="AD21414" s="16"/>
    </row>
    <row r="21415" spans="30:30" x14ac:dyDescent="0.3">
      <c r="AD21415" s="16"/>
    </row>
    <row r="21416" spans="30:30" x14ac:dyDescent="0.3">
      <c r="AD21416" s="16"/>
    </row>
    <row r="21417" spans="30:30" x14ac:dyDescent="0.3">
      <c r="AD21417" s="16"/>
    </row>
    <row r="21418" spans="30:30" x14ac:dyDescent="0.3">
      <c r="AD21418" s="16"/>
    </row>
    <row r="21419" spans="30:30" x14ac:dyDescent="0.3">
      <c r="AD21419" s="16"/>
    </row>
    <row r="21420" spans="30:30" x14ac:dyDescent="0.3">
      <c r="AD21420" s="16"/>
    </row>
    <row r="21421" spans="30:30" x14ac:dyDescent="0.3">
      <c r="AD21421" s="16"/>
    </row>
    <row r="21422" spans="30:30" x14ac:dyDescent="0.3">
      <c r="AD21422" s="16"/>
    </row>
    <row r="21423" spans="30:30" x14ac:dyDescent="0.3">
      <c r="AD21423" s="16"/>
    </row>
    <row r="21424" spans="30:30" x14ac:dyDescent="0.3">
      <c r="AD21424" s="16"/>
    </row>
    <row r="21425" spans="30:30" x14ac:dyDescent="0.3">
      <c r="AD21425" s="16"/>
    </row>
    <row r="21426" spans="30:30" x14ac:dyDescent="0.3">
      <c r="AD21426" s="16"/>
    </row>
    <row r="21427" spans="30:30" x14ac:dyDescent="0.3">
      <c r="AD21427" s="16"/>
    </row>
    <row r="21428" spans="30:30" x14ac:dyDescent="0.3">
      <c r="AD21428" s="16"/>
    </row>
    <row r="21429" spans="30:30" x14ac:dyDescent="0.3">
      <c r="AD21429" s="16"/>
    </row>
    <row r="21430" spans="30:30" x14ac:dyDescent="0.3">
      <c r="AD21430" s="16"/>
    </row>
    <row r="21431" spans="30:30" x14ac:dyDescent="0.3">
      <c r="AD21431" s="16"/>
    </row>
    <row r="21432" spans="30:30" x14ac:dyDescent="0.3">
      <c r="AD21432" s="16"/>
    </row>
    <row r="21433" spans="30:30" x14ac:dyDescent="0.3">
      <c r="AD21433" s="16"/>
    </row>
    <row r="21434" spans="30:30" x14ac:dyDescent="0.3">
      <c r="AD21434" s="16"/>
    </row>
    <row r="21435" spans="30:30" x14ac:dyDescent="0.3">
      <c r="AD21435" s="16"/>
    </row>
    <row r="21436" spans="30:30" x14ac:dyDescent="0.3">
      <c r="AD21436" s="16"/>
    </row>
    <row r="21437" spans="30:30" x14ac:dyDescent="0.3">
      <c r="AD21437" s="16"/>
    </row>
    <row r="21438" spans="30:30" x14ac:dyDescent="0.3">
      <c r="AD21438" s="16"/>
    </row>
    <row r="21439" spans="30:30" x14ac:dyDescent="0.3">
      <c r="AD21439" s="16"/>
    </row>
    <row r="21440" spans="30:30" x14ac:dyDescent="0.3">
      <c r="AD21440" s="16"/>
    </row>
    <row r="21441" spans="30:30" x14ac:dyDescent="0.3">
      <c r="AD21441" s="16"/>
    </row>
    <row r="21442" spans="30:30" x14ac:dyDescent="0.3">
      <c r="AD21442" s="16"/>
    </row>
    <row r="21443" spans="30:30" x14ac:dyDescent="0.3">
      <c r="AD21443" s="16"/>
    </row>
    <row r="21444" spans="30:30" x14ac:dyDescent="0.3">
      <c r="AD21444" s="16"/>
    </row>
    <row r="21445" spans="30:30" x14ac:dyDescent="0.3">
      <c r="AD21445" s="16"/>
    </row>
    <row r="21446" spans="30:30" x14ac:dyDescent="0.3">
      <c r="AD21446" s="16"/>
    </row>
    <row r="21447" spans="30:30" x14ac:dyDescent="0.3">
      <c r="AD21447" s="16"/>
    </row>
    <row r="21448" spans="30:30" x14ac:dyDescent="0.3">
      <c r="AD21448" s="16"/>
    </row>
    <row r="21449" spans="30:30" x14ac:dyDescent="0.3">
      <c r="AD21449" s="16"/>
    </row>
    <row r="21450" spans="30:30" x14ac:dyDescent="0.3">
      <c r="AD21450" s="16"/>
    </row>
    <row r="21451" spans="30:30" x14ac:dyDescent="0.3">
      <c r="AD21451" s="16"/>
    </row>
    <row r="21452" spans="30:30" x14ac:dyDescent="0.3">
      <c r="AD21452" s="16"/>
    </row>
    <row r="21453" spans="30:30" x14ac:dyDescent="0.3">
      <c r="AD21453" s="16"/>
    </row>
    <row r="21454" spans="30:30" x14ac:dyDescent="0.3">
      <c r="AD21454" s="16"/>
    </row>
    <row r="21455" spans="30:30" x14ac:dyDescent="0.3">
      <c r="AD21455" s="16"/>
    </row>
    <row r="21456" spans="30:30" x14ac:dyDescent="0.3">
      <c r="AD21456" s="16"/>
    </row>
    <row r="21457" spans="30:30" x14ac:dyDescent="0.3">
      <c r="AD21457" s="16"/>
    </row>
    <row r="21458" spans="30:30" x14ac:dyDescent="0.3">
      <c r="AD21458" s="16"/>
    </row>
    <row r="21459" spans="30:30" x14ac:dyDescent="0.3">
      <c r="AD21459" s="16"/>
    </row>
    <row r="21460" spans="30:30" x14ac:dyDescent="0.3">
      <c r="AD21460" s="16"/>
    </row>
    <row r="21461" spans="30:30" x14ac:dyDescent="0.3">
      <c r="AD21461" s="16"/>
    </row>
    <row r="21462" spans="30:30" x14ac:dyDescent="0.3">
      <c r="AD21462" s="16"/>
    </row>
    <row r="21463" spans="30:30" x14ac:dyDescent="0.3">
      <c r="AD21463" s="16"/>
    </row>
    <row r="21464" spans="30:30" x14ac:dyDescent="0.3">
      <c r="AD21464" s="16"/>
    </row>
    <row r="21465" spans="30:30" x14ac:dyDescent="0.3">
      <c r="AD21465" s="16"/>
    </row>
    <row r="21466" spans="30:30" x14ac:dyDescent="0.3">
      <c r="AD21466" s="16"/>
    </row>
    <row r="21467" spans="30:30" x14ac:dyDescent="0.3">
      <c r="AD21467" s="16"/>
    </row>
    <row r="21468" spans="30:30" x14ac:dyDescent="0.3">
      <c r="AD21468" s="16"/>
    </row>
    <row r="21469" spans="30:30" x14ac:dyDescent="0.3">
      <c r="AD21469" s="16"/>
    </row>
    <row r="21470" spans="30:30" x14ac:dyDescent="0.3">
      <c r="AD21470" s="16"/>
    </row>
    <row r="21471" spans="30:30" x14ac:dyDescent="0.3">
      <c r="AD21471" s="16"/>
    </row>
    <row r="21472" spans="30:30" x14ac:dyDescent="0.3">
      <c r="AD21472" s="16"/>
    </row>
    <row r="21473" spans="30:30" x14ac:dyDescent="0.3">
      <c r="AD21473" s="16"/>
    </row>
    <row r="21474" spans="30:30" x14ac:dyDescent="0.3">
      <c r="AD21474" s="16"/>
    </row>
    <row r="21475" spans="30:30" x14ac:dyDescent="0.3">
      <c r="AD21475" s="16"/>
    </row>
    <row r="21476" spans="30:30" x14ac:dyDescent="0.3">
      <c r="AD21476" s="16"/>
    </row>
    <row r="21477" spans="30:30" x14ac:dyDescent="0.3">
      <c r="AD21477" s="16"/>
    </row>
    <row r="21478" spans="30:30" x14ac:dyDescent="0.3">
      <c r="AD21478" s="16"/>
    </row>
    <row r="21479" spans="30:30" x14ac:dyDescent="0.3">
      <c r="AD21479" s="16"/>
    </row>
    <row r="21480" spans="30:30" x14ac:dyDescent="0.3">
      <c r="AD21480" s="16"/>
    </row>
    <row r="21481" spans="30:30" x14ac:dyDescent="0.3">
      <c r="AD21481" s="16"/>
    </row>
    <row r="21482" spans="30:30" x14ac:dyDescent="0.3">
      <c r="AD21482" s="16"/>
    </row>
    <row r="21483" spans="30:30" x14ac:dyDescent="0.3">
      <c r="AD21483" s="16"/>
    </row>
    <row r="21484" spans="30:30" x14ac:dyDescent="0.3">
      <c r="AD21484" s="16"/>
    </row>
    <row r="21485" spans="30:30" x14ac:dyDescent="0.3">
      <c r="AD21485" s="16"/>
    </row>
    <row r="21486" spans="30:30" x14ac:dyDescent="0.3">
      <c r="AD21486" s="16"/>
    </row>
    <row r="21487" spans="30:30" x14ac:dyDescent="0.3">
      <c r="AD21487" s="16"/>
    </row>
    <row r="21488" spans="30:30" x14ac:dyDescent="0.3">
      <c r="AD21488" s="16"/>
    </row>
    <row r="21489" spans="30:30" x14ac:dyDescent="0.3">
      <c r="AD21489" s="16"/>
    </row>
    <row r="21490" spans="30:30" x14ac:dyDescent="0.3">
      <c r="AD21490" s="16"/>
    </row>
    <row r="21491" spans="30:30" x14ac:dyDescent="0.3">
      <c r="AD21491" s="16"/>
    </row>
    <row r="21492" spans="30:30" x14ac:dyDescent="0.3">
      <c r="AD21492" s="16"/>
    </row>
    <row r="21493" spans="30:30" x14ac:dyDescent="0.3">
      <c r="AD21493" s="16"/>
    </row>
    <row r="21494" spans="30:30" x14ac:dyDescent="0.3">
      <c r="AD21494" s="16"/>
    </row>
    <row r="21495" spans="30:30" x14ac:dyDescent="0.3">
      <c r="AD21495" s="16"/>
    </row>
    <row r="21496" spans="30:30" x14ac:dyDescent="0.3">
      <c r="AD21496" s="16"/>
    </row>
    <row r="21497" spans="30:30" x14ac:dyDescent="0.3">
      <c r="AD21497" s="16"/>
    </row>
    <row r="21498" spans="30:30" x14ac:dyDescent="0.3">
      <c r="AD21498" s="16"/>
    </row>
    <row r="21499" spans="30:30" x14ac:dyDescent="0.3">
      <c r="AD21499" s="16"/>
    </row>
    <row r="21500" spans="30:30" x14ac:dyDescent="0.3">
      <c r="AD21500" s="16"/>
    </row>
    <row r="21501" spans="30:30" x14ac:dyDescent="0.3">
      <c r="AD21501" s="16"/>
    </row>
    <row r="21502" spans="30:30" x14ac:dyDescent="0.3">
      <c r="AD21502" s="16"/>
    </row>
    <row r="21503" spans="30:30" x14ac:dyDescent="0.3">
      <c r="AD21503" s="16"/>
    </row>
    <row r="21504" spans="30:30" x14ac:dyDescent="0.3">
      <c r="AD21504" s="16"/>
    </row>
    <row r="21505" spans="30:30" x14ac:dyDescent="0.3">
      <c r="AD21505" s="16"/>
    </row>
    <row r="21506" spans="30:30" x14ac:dyDescent="0.3">
      <c r="AD21506" s="16"/>
    </row>
    <row r="21507" spans="30:30" x14ac:dyDescent="0.3">
      <c r="AD21507" s="16"/>
    </row>
    <row r="21508" spans="30:30" x14ac:dyDescent="0.3">
      <c r="AD21508" s="16"/>
    </row>
    <row r="21509" spans="30:30" x14ac:dyDescent="0.3">
      <c r="AD21509" s="16"/>
    </row>
    <row r="21510" spans="30:30" x14ac:dyDescent="0.3">
      <c r="AD21510" s="16"/>
    </row>
    <row r="21511" spans="30:30" x14ac:dyDescent="0.3">
      <c r="AD21511" s="16"/>
    </row>
    <row r="21512" spans="30:30" x14ac:dyDescent="0.3">
      <c r="AD21512" s="16"/>
    </row>
    <row r="21513" spans="30:30" x14ac:dyDescent="0.3">
      <c r="AD21513" s="16"/>
    </row>
    <row r="21514" spans="30:30" x14ac:dyDescent="0.3">
      <c r="AD21514" s="16"/>
    </row>
    <row r="21515" spans="30:30" x14ac:dyDescent="0.3">
      <c r="AD21515" s="16"/>
    </row>
    <row r="21516" spans="30:30" x14ac:dyDescent="0.3">
      <c r="AD21516" s="16"/>
    </row>
    <row r="21517" spans="30:30" x14ac:dyDescent="0.3">
      <c r="AD21517" s="16"/>
    </row>
    <row r="21518" spans="30:30" x14ac:dyDescent="0.3">
      <c r="AD21518" s="16"/>
    </row>
    <row r="21519" spans="30:30" x14ac:dyDescent="0.3">
      <c r="AD21519" s="16"/>
    </row>
    <row r="21520" spans="30:30" x14ac:dyDescent="0.3">
      <c r="AD21520" s="16"/>
    </row>
    <row r="21521" spans="30:30" x14ac:dyDescent="0.3">
      <c r="AD21521" s="16"/>
    </row>
    <row r="21522" spans="30:30" x14ac:dyDescent="0.3">
      <c r="AD21522" s="16"/>
    </row>
    <row r="21523" spans="30:30" x14ac:dyDescent="0.3">
      <c r="AD21523" s="16"/>
    </row>
    <row r="21524" spans="30:30" x14ac:dyDescent="0.3">
      <c r="AD21524" s="16"/>
    </row>
    <row r="21525" spans="30:30" x14ac:dyDescent="0.3">
      <c r="AD21525" s="16"/>
    </row>
    <row r="21526" spans="30:30" x14ac:dyDescent="0.3">
      <c r="AD21526" s="16"/>
    </row>
    <row r="21527" spans="30:30" x14ac:dyDescent="0.3">
      <c r="AD21527" s="16"/>
    </row>
    <row r="21528" spans="30:30" x14ac:dyDescent="0.3">
      <c r="AD21528" s="16"/>
    </row>
    <row r="21529" spans="30:30" x14ac:dyDescent="0.3">
      <c r="AD21529" s="16"/>
    </row>
    <row r="21530" spans="30:30" x14ac:dyDescent="0.3">
      <c r="AD21530" s="16"/>
    </row>
    <row r="21531" spans="30:30" x14ac:dyDescent="0.3">
      <c r="AD21531" s="16"/>
    </row>
    <row r="21532" spans="30:30" x14ac:dyDescent="0.3">
      <c r="AD21532" s="16"/>
    </row>
    <row r="21533" spans="30:30" x14ac:dyDescent="0.3">
      <c r="AD21533" s="16"/>
    </row>
    <row r="21534" spans="30:30" x14ac:dyDescent="0.3">
      <c r="AD21534" s="16"/>
    </row>
    <row r="21535" spans="30:30" x14ac:dyDescent="0.3">
      <c r="AD21535" s="16"/>
    </row>
    <row r="21536" spans="30:30" x14ac:dyDescent="0.3">
      <c r="AD21536" s="16"/>
    </row>
    <row r="21537" spans="30:30" x14ac:dyDescent="0.3">
      <c r="AD21537" s="16"/>
    </row>
    <row r="21538" spans="30:30" x14ac:dyDescent="0.3">
      <c r="AD21538" s="16"/>
    </row>
    <row r="21539" spans="30:30" x14ac:dyDescent="0.3">
      <c r="AD21539" s="16"/>
    </row>
    <row r="21540" spans="30:30" x14ac:dyDescent="0.3">
      <c r="AD21540" s="16"/>
    </row>
    <row r="21541" spans="30:30" x14ac:dyDescent="0.3">
      <c r="AD21541" s="16"/>
    </row>
    <row r="21542" spans="30:30" x14ac:dyDescent="0.3">
      <c r="AD21542" s="16"/>
    </row>
    <row r="21543" spans="30:30" x14ac:dyDescent="0.3">
      <c r="AD21543" s="16"/>
    </row>
    <row r="21544" spans="30:30" x14ac:dyDescent="0.3">
      <c r="AD21544" s="16"/>
    </row>
    <row r="21545" spans="30:30" x14ac:dyDescent="0.3">
      <c r="AD21545" s="16"/>
    </row>
    <row r="21546" spans="30:30" x14ac:dyDescent="0.3">
      <c r="AD21546" s="16"/>
    </row>
    <row r="21547" spans="30:30" x14ac:dyDescent="0.3">
      <c r="AD21547" s="16"/>
    </row>
    <row r="21548" spans="30:30" x14ac:dyDescent="0.3">
      <c r="AD21548" s="16"/>
    </row>
    <row r="21549" spans="30:30" x14ac:dyDescent="0.3">
      <c r="AD21549" s="16"/>
    </row>
    <row r="21550" spans="30:30" x14ac:dyDescent="0.3">
      <c r="AD21550" s="16"/>
    </row>
    <row r="21551" spans="30:30" x14ac:dyDescent="0.3">
      <c r="AD21551" s="16"/>
    </row>
    <row r="21552" spans="30:30" x14ac:dyDescent="0.3">
      <c r="AD21552" s="16"/>
    </row>
    <row r="21553" spans="30:30" x14ac:dyDescent="0.3">
      <c r="AD21553" s="16"/>
    </row>
    <row r="21554" spans="30:30" x14ac:dyDescent="0.3">
      <c r="AD21554" s="16"/>
    </row>
    <row r="21555" spans="30:30" x14ac:dyDescent="0.3">
      <c r="AD21555" s="16"/>
    </row>
    <row r="21556" spans="30:30" x14ac:dyDescent="0.3">
      <c r="AD21556" s="16"/>
    </row>
    <row r="21557" spans="30:30" x14ac:dyDescent="0.3">
      <c r="AD21557" s="16"/>
    </row>
    <row r="21558" spans="30:30" x14ac:dyDescent="0.3">
      <c r="AD21558" s="16"/>
    </row>
    <row r="21559" spans="30:30" x14ac:dyDescent="0.3">
      <c r="AD21559" s="16"/>
    </row>
    <row r="21560" spans="30:30" x14ac:dyDescent="0.3">
      <c r="AD21560" s="16"/>
    </row>
    <row r="21561" spans="30:30" x14ac:dyDescent="0.3">
      <c r="AD21561" s="16"/>
    </row>
    <row r="21562" spans="30:30" x14ac:dyDescent="0.3">
      <c r="AD21562" s="16"/>
    </row>
    <row r="21563" spans="30:30" x14ac:dyDescent="0.3">
      <c r="AD21563" s="16"/>
    </row>
    <row r="21564" spans="30:30" x14ac:dyDescent="0.3">
      <c r="AD21564" s="16"/>
    </row>
    <row r="21565" spans="30:30" x14ac:dyDescent="0.3">
      <c r="AD21565" s="16"/>
    </row>
    <row r="21566" spans="30:30" x14ac:dyDescent="0.3">
      <c r="AD21566" s="16"/>
    </row>
    <row r="21567" spans="30:30" x14ac:dyDescent="0.3">
      <c r="AD21567" s="16"/>
    </row>
    <row r="21568" spans="30:30" x14ac:dyDescent="0.3">
      <c r="AD21568" s="16"/>
    </row>
    <row r="21569" spans="30:30" x14ac:dyDescent="0.3">
      <c r="AD21569" s="16"/>
    </row>
    <row r="21570" spans="30:30" x14ac:dyDescent="0.3">
      <c r="AD21570" s="16"/>
    </row>
    <row r="21571" spans="30:30" x14ac:dyDescent="0.3">
      <c r="AD21571" s="16"/>
    </row>
    <row r="21572" spans="30:30" x14ac:dyDescent="0.3">
      <c r="AD21572" s="16"/>
    </row>
    <row r="21573" spans="30:30" x14ac:dyDescent="0.3">
      <c r="AD21573" s="16"/>
    </row>
    <row r="21574" spans="30:30" x14ac:dyDescent="0.3">
      <c r="AD21574" s="16"/>
    </row>
    <row r="21575" spans="30:30" x14ac:dyDescent="0.3">
      <c r="AD21575" s="16"/>
    </row>
    <row r="21576" spans="30:30" x14ac:dyDescent="0.3">
      <c r="AD21576" s="16"/>
    </row>
    <row r="21577" spans="30:30" x14ac:dyDescent="0.3">
      <c r="AD21577" s="16"/>
    </row>
    <row r="21578" spans="30:30" x14ac:dyDescent="0.3">
      <c r="AD21578" s="16"/>
    </row>
    <row r="21579" spans="30:30" x14ac:dyDescent="0.3">
      <c r="AD21579" s="16"/>
    </row>
    <row r="21580" spans="30:30" x14ac:dyDescent="0.3">
      <c r="AD21580" s="16"/>
    </row>
    <row r="21581" spans="30:30" x14ac:dyDescent="0.3">
      <c r="AD21581" s="16"/>
    </row>
    <row r="21582" spans="30:30" x14ac:dyDescent="0.3">
      <c r="AD21582" s="16"/>
    </row>
    <row r="21583" spans="30:30" x14ac:dyDescent="0.3">
      <c r="AD21583" s="16"/>
    </row>
    <row r="21584" spans="30:30" x14ac:dyDescent="0.3">
      <c r="AD21584" s="16"/>
    </row>
    <row r="21585" spans="30:30" x14ac:dyDescent="0.3">
      <c r="AD21585" s="16"/>
    </row>
    <row r="21586" spans="30:30" x14ac:dyDescent="0.3">
      <c r="AD21586" s="16"/>
    </row>
    <row r="21587" spans="30:30" x14ac:dyDescent="0.3">
      <c r="AD21587" s="16"/>
    </row>
    <row r="21588" spans="30:30" x14ac:dyDescent="0.3">
      <c r="AD21588" s="16"/>
    </row>
    <row r="21589" spans="30:30" x14ac:dyDescent="0.3">
      <c r="AD21589" s="16"/>
    </row>
    <row r="21590" spans="30:30" x14ac:dyDescent="0.3">
      <c r="AD21590" s="16"/>
    </row>
    <row r="21591" spans="30:30" x14ac:dyDescent="0.3">
      <c r="AD21591" s="16"/>
    </row>
    <row r="21592" spans="30:30" x14ac:dyDescent="0.3">
      <c r="AD21592" s="16"/>
    </row>
    <row r="21593" spans="30:30" x14ac:dyDescent="0.3">
      <c r="AD21593" s="16"/>
    </row>
    <row r="21594" spans="30:30" x14ac:dyDescent="0.3">
      <c r="AD21594" s="16"/>
    </row>
    <row r="21595" spans="30:30" x14ac:dyDescent="0.3">
      <c r="AD21595" s="16"/>
    </row>
    <row r="21596" spans="30:30" x14ac:dyDescent="0.3">
      <c r="AD21596" s="16"/>
    </row>
    <row r="21597" spans="30:30" x14ac:dyDescent="0.3">
      <c r="AD21597" s="16"/>
    </row>
    <row r="21598" spans="30:30" x14ac:dyDescent="0.3">
      <c r="AD21598" s="16"/>
    </row>
    <row r="21599" spans="30:30" x14ac:dyDescent="0.3">
      <c r="AD21599" s="16"/>
    </row>
    <row r="21600" spans="30:30" x14ac:dyDescent="0.3">
      <c r="AD21600" s="16"/>
    </row>
    <row r="21601" spans="30:30" x14ac:dyDescent="0.3">
      <c r="AD21601" s="16"/>
    </row>
    <row r="21602" spans="30:30" x14ac:dyDescent="0.3">
      <c r="AD21602" s="16"/>
    </row>
    <row r="21603" spans="30:30" x14ac:dyDescent="0.3">
      <c r="AD21603" s="16"/>
    </row>
    <row r="21604" spans="30:30" x14ac:dyDescent="0.3">
      <c r="AD21604" s="16"/>
    </row>
    <row r="21605" spans="30:30" x14ac:dyDescent="0.3">
      <c r="AD21605" s="16"/>
    </row>
    <row r="21606" spans="30:30" x14ac:dyDescent="0.3">
      <c r="AD21606" s="16"/>
    </row>
    <row r="21607" spans="30:30" x14ac:dyDescent="0.3">
      <c r="AD21607" s="16"/>
    </row>
    <row r="21608" spans="30:30" x14ac:dyDescent="0.3">
      <c r="AD21608" s="16"/>
    </row>
    <row r="21609" spans="30:30" x14ac:dyDescent="0.3">
      <c r="AD21609" s="16"/>
    </row>
    <row r="21610" spans="30:30" x14ac:dyDescent="0.3">
      <c r="AD21610" s="16"/>
    </row>
    <row r="21611" spans="30:30" x14ac:dyDescent="0.3">
      <c r="AD21611" s="16"/>
    </row>
    <row r="21612" spans="30:30" x14ac:dyDescent="0.3">
      <c r="AD21612" s="16"/>
    </row>
    <row r="21613" spans="30:30" x14ac:dyDescent="0.3">
      <c r="AD21613" s="16"/>
    </row>
    <row r="21614" spans="30:30" x14ac:dyDescent="0.3">
      <c r="AD21614" s="16"/>
    </row>
    <row r="21615" spans="30:30" x14ac:dyDescent="0.3">
      <c r="AD21615" s="16"/>
    </row>
    <row r="21616" spans="30:30" x14ac:dyDescent="0.3">
      <c r="AD21616" s="16"/>
    </row>
    <row r="21617" spans="30:30" x14ac:dyDescent="0.3">
      <c r="AD21617" s="16"/>
    </row>
    <row r="21618" spans="30:30" x14ac:dyDescent="0.3">
      <c r="AD21618" s="16"/>
    </row>
    <row r="21619" spans="30:30" x14ac:dyDescent="0.3">
      <c r="AD21619" s="16"/>
    </row>
    <row r="21620" spans="30:30" x14ac:dyDescent="0.3">
      <c r="AD21620" s="16"/>
    </row>
    <row r="21621" spans="30:30" x14ac:dyDescent="0.3">
      <c r="AD21621" s="16"/>
    </row>
    <row r="21622" spans="30:30" x14ac:dyDescent="0.3">
      <c r="AD21622" s="16"/>
    </row>
    <row r="21623" spans="30:30" x14ac:dyDescent="0.3">
      <c r="AD21623" s="16"/>
    </row>
    <row r="21624" spans="30:30" x14ac:dyDescent="0.3">
      <c r="AD21624" s="16"/>
    </row>
    <row r="21625" spans="30:30" x14ac:dyDescent="0.3">
      <c r="AD21625" s="16"/>
    </row>
    <row r="21626" spans="30:30" x14ac:dyDescent="0.3">
      <c r="AD21626" s="16"/>
    </row>
    <row r="21627" spans="30:30" x14ac:dyDescent="0.3">
      <c r="AD21627" s="16"/>
    </row>
    <row r="21628" spans="30:30" x14ac:dyDescent="0.3">
      <c r="AD21628" s="16"/>
    </row>
    <row r="21629" spans="30:30" x14ac:dyDescent="0.3">
      <c r="AD21629" s="16"/>
    </row>
    <row r="21630" spans="30:30" x14ac:dyDescent="0.3">
      <c r="AD21630" s="16"/>
    </row>
    <row r="21631" spans="30:30" x14ac:dyDescent="0.3">
      <c r="AD21631" s="16"/>
    </row>
    <row r="21632" spans="30:30" x14ac:dyDescent="0.3">
      <c r="AD21632" s="16"/>
    </row>
    <row r="21633" spans="30:30" x14ac:dyDescent="0.3">
      <c r="AD21633" s="16"/>
    </row>
    <row r="21634" spans="30:30" x14ac:dyDescent="0.3">
      <c r="AD21634" s="16"/>
    </row>
    <row r="21635" spans="30:30" x14ac:dyDescent="0.3">
      <c r="AD21635" s="16"/>
    </row>
    <row r="21636" spans="30:30" x14ac:dyDescent="0.3">
      <c r="AD21636" s="16"/>
    </row>
    <row r="21637" spans="30:30" x14ac:dyDescent="0.3">
      <c r="AD21637" s="16"/>
    </row>
    <row r="21638" spans="30:30" x14ac:dyDescent="0.3">
      <c r="AD21638" s="16"/>
    </row>
    <row r="21639" spans="30:30" x14ac:dyDescent="0.3">
      <c r="AD21639" s="16"/>
    </row>
    <row r="21640" spans="30:30" x14ac:dyDescent="0.3">
      <c r="AD21640" s="16"/>
    </row>
    <row r="21641" spans="30:30" x14ac:dyDescent="0.3">
      <c r="AD21641" s="16"/>
    </row>
    <row r="21642" spans="30:30" x14ac:dyDescent="0.3">
      <c r="AD21642" s="16"/>
    </row>
    <row r="21643" spans="30:30" x14ac:dyDescent="0.3">
      <c r="AD21643" s="16"/>
    </row>
    <row r="21644" spans="30:30" x14ac:dyDescent="0.3">
      <c r="AD21644" s="16"/>
    </row>
    <row r="21645" spans="30:30" x14ac:dyDescent="0.3">
      <c r="AD21645" s="16"/>
    </row>
    <row r="21646" spans="30:30" x14ac:dyDescent="0.3">
      <c r="AD21646" s="16"/>
    </row>
    <row r="21647" spans="30:30" x14ac:dyDescent="0.3">
      <c r="AD21647" s="16"/>
    </row>
    <row r="21648" spans="30:30" x14ac:dyDescent="0.3">
      <c r="AD21648" s="16"/>
    </row>
    <row r="21649" spans="30:30" x14ac:dyDescent="0.3">
      <c r="AD21649" s="16"/>
    </row>
    <row r="21650" spans="30:30" x14ac:dyDescent="0.3">
      <c r="AD21650" s="16"/>
    </row>
    <row r="21651" spans="30:30" x14ac:dyDescent="0.3">
      <c r="AD21651" s="16"/>
    </row>
    <row r="21652" spans="30:30" x14ac:dyDescent="0.3">
      <c r="AD21652" s="16"/>
    </row>
    <row r="21653" spans="30:30" x14ac:dyDescent="0.3">
      <c r="AD21653" s="16"/>
    </row>
    <row r="21654" spans="30:30" x14ac:dyDescent="0.3">
      <c r="AD21654" s="16"/>
    </row>
    <row r="21655" spans="30:30" x14ac:dyDescent="0.3">
      <c r="AD21655" s="16"/>
    </row>
    <row r="21656" spans="30:30" x14ac:dyDescent="0.3">
      <c r="AD21656" s="16"/>
    </row>
    <row r="21657" spans="30:30" x14ac:dyDescent="0.3">
      <c r="AD21657" s="16"/>
    </row>
    <row r="21658" spans="30:30" x14ac:dyDescent="0.3">
      <c r="AD21658" s="16"/>
    </row>
    <row r="21659" spans="30:30" x14ac:dyDescent="0.3">
      <c r="AD21659" s="16"/>
    </row>
    <row r="21660" spans="30:30" x14ac:dyDescent="0.3">
      <c r="AD21660" s="16"/>
    </row>
    <row r="21661" spans="30:30" x14ac:dyDescent="0.3">
      <c r="AD21661" s="16"/>
    </row>
    <row r="21662" spans="30:30" x14ac:dyDescent="0.3">
      <c r="AD21662" s="16"/>
    </row>
    <row r="21663" spans="30:30" x14ac:dyDescent="0.3">
      <c r="AD21663" s="16"/>
    </row>
    <row r="21664" spans="30:30" x14ac:dyDescent="0.3">
      <c r="AD21664" s="16"/>
    </row>
    <row r="21665" spans="30:30" x14ac:dyDescent="0.3">
      <c r="AD21665" s="16"/>
    </row>
    <row r="21666" spans="30:30" x14ac:dyDescent="0.3">
      <c r="AD21666" s="16"/>
    </row>
    <row r="21667" spans="30:30" x14ac:dyDescent="0.3">
      <c r="AD21667" s="16"/>
    </row>
    <row r="21668" spans="30:30" x14ac:dyDescent="0.3">
      <c r="AD21668" s="16"/>
    </row>
    <row r="21669" spans="30:30" x14ac:dyDescent="0.3">
      <c r="AD21669" s="16"/>
    </row>
    <row r="21670" spans="30:30" x14ac:dyDescent="0.3">
      <c r="AD21670" s="16"/>
    </row>
    <row r="21671" spans="30:30" x14ac:dyDescent="0.3">
      <c r="AD21671" s="16"/>
    </row>
    <row r="21672" spans="30:30" x14ac:dyDescent="0.3">
      <c r="AD21672" s="16"/>
    </row>
    <row r="21673" spans="30:30" x14ac:dyDescent="0.3">
      <c r="AD21673" s="16"/>
    </row>
    <row r="21674" spans="30:30" x14ac:dyDescent="0.3">
      <c r="AD21674" s="16"/>
    </row>
    <row r="21675" spans="30:30" x14ac:dyDescent="0.3">
      <c r="AD21675" s="16"/>
    </row>
    <row r="21676" spans="30:30" x14ac:dyDescent="0.3">
      <c r="AD21676" s="16"/>
    </row>
    <row r="21677" spans="30:30" x14ac:dyDescent="0.3">
      <c r="AD21677" s="16"/>
    </row>
    <row r="21678" spans="30:30" x14ac:dyDescent="0.3">
      <c r="AD21678" s="16"/>
    </row>
    <row r="21679" spans="30:30" x14ac:dyDescent="0.3">
      <c r="AD21679" s="16"/>
    </row>
    <row r="21680" spans="30:30" x14ac:dyDescent="0.3">
      <c r="AD21680" s="16"/>
    </row>
    <row r="21681" spans="30:30" x14ac:dyDescent="0.3">
      <c r="AD21681" s="16"/>
    </row>
    <row r="21682" spans="30:30" x14ac:dyDescent="0.3">
      <c r="AD21682" s="16"/>
    </row>
    <row r="21683" spans="30:30" x14ac:dyDescent="0.3">
      <c r="AD21683" s="16"/>
    </row>
    <row r="21684" spans="30:30" x14ac:dyDescent="0.3">
      <c r="AD21684" s="16"/>
    </row>
    <row r="21685" spans="30:30" x14ac:dyDescent="0.3">
      <c r="AD21685" s="16"/>
    </row>
    <row r="21686" spans="30:30" x14ac:dyDescent="0.3">
      <c r="AD21686" s="16"/>
    </row>
    <row r="21687" spans="30:30" x14ac:dyDescent="0.3">
      <c r="AD21687" s="16"/>
    </row>
    <row r="21688" spans="30:30" x14ac:dyDescent="0.3">
      <c r="AD21688" s="16"/>
    </row>
    <row r="21689" spans="30:30" x14ac:dyDescent="0.3">
      <c r="AD21689" s="16"/>
    </row>
    <row r="21690" spans="30:30" x14ac:dyDescent="0.3">
      <c r="AD21690" s="16"/>
    </row>
    <row r="21691" spans="30:30" x14ac:dyDescent="0.3">
      <c r="AD21691" s="16"/>
    </row>
    <row r="21692" spans="30:30" x14ac:dyDescent="0.3">
      <c r="AD21692" s="16"/>
    </row>
    <row r="21693" spans="30:30" x14ac:dyDescent="0.3">
      <c r="AD21693" s="16"/>
    </row>
    <row r="21694" spans="30:30" x14ac:dyDescent="0.3">
      <c r="AD21694" s="16"/>
    </row>
    <row r="21695" spans="30:30" x14ac:dyDescent="0.3">
      <c r="AD21695" s="16"/>
    </row>
    <row r="21696" spans="30:30" x14ac:dyDescent="0.3">
      <c r="AD21696" s="16"/>
    </row>
    <row r="21697" spans="30:30" x14ac:dyDescent="0.3">
      <c r="AD21697" s="16"/>
    </row>
    <row r="21698" spans="30:30" x14ac:dyDescent="0.3">
      <c r="AD21698" s="16"/>
    </row>
    <row r="21699" spans="30:30" x14ac:dyDescent="0.3">
      <c r="AD21699" s="16"/>
    </row>
    <row r="21700" spans="30:30" x14ac:dyDescent="0.3">
      <c r="AD21700" s="16"/>
    </row>
    <row r="21701" spans="30:30" x14ac:dyDescent="0.3">
      <c r="AD21701" s="16"/>
    </row>
    <row r="21702" spans="30:30" x14ac:dyDescent="0.3">
      <c r="AD21702" s="16"/>
    </row>
    <row r="21703" spans="30:30" x14ac:dyDescent="0.3">
      <c r="AD21703" s="16"/>
    </row>
    <row r="21704" spans="30:30" x14ac:dyDescent="0.3">
      <c r="AD21704" s="16"/>
    </row>
    <row r="21705" spans="30:30" x14ac:dyDescent="0.3">
      <c r="AD21705" s="16"/>
    </row>
    <row r="21706" spans="30:30" x14ac:dyDescent="0.3">
      <c r="AD21706" s="16"/>
    </row>
    <row r="21707" spans="30:30" x14ac:dyDescent="0.3">
      <c r="AD21707" s="16"/>
    </row>
    <row r="21708" spans="30:30" x14ac:dyDescent="0.3">
      <c r="AD21708" s="16"/>
    </row>
    <row r="21709" spans="30:30" x14ac:dyDescent="0.3">
      <c r="AD21709" s="16"/>
    </row>
    <row r="21710" spans="30:30" x14ac:dyDescent="0.3">
      <c r="AD21710" s="16"/>
    </row>
    <row r="21711" spans="30:30" x14ac:dyDescent="0.3">
      <c r="AD21711" s="16"/>
    </row>
    <row r="21712" spans="30:30" x14ac:dyDescent="0.3">
      <c r="AD21712" s="16"/>
    </row>
    <row r="21713" spans="30:30" x14ac:dyDescent="0.3">
      <c r="AD21713" s="16"/>
    </row>
    <row r="21714" spans="30:30" x14ac:dyDescent="0.3">
      <c r="AD21714" s="16"/>
    </row>
    <row r="21715" spans="30:30" x14ac:dyDescent="0.3">
      <c r="AD21715" s="16"/>
    </row>
    <row r="21716" spans="30:30" x14ac:dyDescent="0.3">
      <c r="AD21716" s="16"/>
    </row>
    <row r="21717" spans="30:30" x14ac:dyDescent="0.3">
      <c r="AD21717" s="16"/>
    </row>
    <row r="21718" spans="30:30" x14ac:dyDescent="0.3">
      <c r="AD21718" s="16"/>
    </row>
    <row r="21719" spans="30:30" x14ac:dyDescent="0.3">
      <c r="AD21719" s="16"/>
    </row>
    <row r="21720" spans="30:30" x14ac:dyDescent="0.3">
      <c r="AD21720" s="16"/>
    </row>
    <row r="21721" spans="30:30" x14ac:dyDescent="0.3">
      <c r="AD21721" s="16"/>
    </row>
    <row r="21722" spans="30:30" x14ac:dyDescent="0.3">
      <c r="AD21722" s="16"/>
    </row>
    <row r="21723" spans="30:30" x14ac:dyDescent="0.3">
      <c r="AD21723" s="16"/>
    </row>
    <row r="21724" spans="30:30" x14ac:dyDescent="0.3">
      <c r="AD21724" s="16"/>
    </row>
    <row r="21725" spans="30:30" x14ac:dyDescent="0.3">
      <c r="AD21725" s="16"/>
    </row>
    <row r="21726" spans="30:30" x14ac:dyDescent="0.3">
      <c r="AD21726" s="16"/>
    </row>
    <row r="21727" spans="30:30" x14ac:dyDescent="0.3">
      <c r="AD21727" s="16"/>
    </row>
    <row r="21728" spans="30:30" x14ac:dyDescent="0.3">
      <c r="AD21728" s="16"/>
    </row>
    <row r="21729" spans="30:30" x14ac:dyDescent="0.3">
      <c r="AD21729" s="16"/>
    </row>
    <row r="21730" spans="30:30" x14ac:dyDescent="0.3">
      <c r="AD21730" s="16"/>
    </row>
    <row r="21731" spans="30:30" x14ac:dyDescent="0.3">
      <c r="AD21731" s="16"/>
    </row>
    <row r="21732" spans="30:30" x14ac:dyDescent="0.3">
      <c r="AD21732" s="16"/>
    </row>
    <row r="21733" spans="30:30" x14ac:dyDescent="0.3">
      <c r="AD21733" s="16"/>
    </row>
    <row r="21734" spans="30:30" x14ac:dyDescent="0.3">
      <c r="AD21734" s="16"/>
    </row>
    <row r="21735" spans="30:30" x14ac:dyDescent="0.3">
      <c r="AD21735" s="16"/>
    </row>
    <row r="21736" spans="30:30" x14ac:dyDescent="0.3">
      <c r="AD21736" s="16"/>
    </row>
    <row r="21737" spans="30:30" x14ac:dyDescent="0.3">
      <c r="AD21737" s="16"/>
    </row>
    <row r="21738" spans="30:30" x14ac:dyDescent="0.3">
      <c r="AD21738" s="16"/>
    </row>
    <row r="21739" spans="30:30" x14ac:dyDescent="0.3">
      <c r="AD21739" s="16"/>
    </row>
    <row r="21740" spans="30:30" x14ac:dyDescent="0.3">
      <c r="AD21740" s="16"/>
    </row>
    <row r="21741" spans="30:30" x14ac:dyDescent="0.3">
      <c r="AD21741" s="16"/>
    </row>
    <row r="21742" spans="30:30" x14ac:dyDescent="0.3">
      <c r="AD21742" s="16"/>
    </row>
    <row r="21743" spans="30:30" x14ac:dyDescent="0.3">
      <c r="AD21743" s="16"/>
    </row>
    <row r="21744" spans="30:30" x14ac:dyDescent="0.3">
      <c r="AD21744" s="16"/>
    </row>
    <row r="21745" spans="30:30" x14ac:dyDescent="0.3">
      <c r="AD21745" s="16"/>
    </row>
    <row r="21746" spans="30:30" x14ac:dyDescent="0.3">
      <c r="AD21746" s="16"/>
    </row>
    <row r="21747" spans="30:30" x14ac:dyDescent="0.3">
      <c r="AD21747" s="16"/>
    </row>
    <row r="21748" spans="30:30" x14ac:dyDescent="0.3">
      <c r="AD21748" s="16"/>
    </row>
    <row r="21749" spans="30:30" x14ac:dyDescent="0.3">
      <c r="AD21749" s="16"/>
    </row>
    <row r="21750" spans="30:30" x14ac:dyDescent="0.3">
      <c r="AD21750" s="16"/>
    </row>
    <row r="21751" spans="30:30" x14ac:dyDescent="0.3">
      <c r="AD21751" s="16"/>
    </row>
    <row r="21752" spans="30:30" x14ac:dyDescent="0.3">
      <c r="AD21752" s="16"/>
    </row>
    <row r="21753" spans="30:30" x14ac:dyDescent="0.3">
      <c r="AD21753" s="16"/>
    </row>
    <row r="21754" spans="30:30" x14ac:dyDescent="0.3">
      <c r="AD21754" s="16"/>
    </row>
    <row r="21755" spans="30:30" x14ac:dyDescent="0.3">
      <c r="AD21755" s="16"/>
    </row>
    <row r="21756" spans="30:30" x14ac:dyDescent="0.3">
      <c r="AD21756" s="16"/>
    </row>
    <row r="21757" spans="30:30" x14ac:dyDescent="0.3">
      <c r="AD21757" s="16"/>
    </row>
    <row r="21758" spans="30:30" x14ac:dyDescent="0.3">
      <c r="AD21758" s="16"/>
    </row>
    <row r="21759" spans="30:30" x14ac:dyDescent="0.3">
      <c r="AD21759" s="16"/>
    </row>
    <row r="21760" spans="30:30" x14ac:dyDescent="0.3">
      <c r="AD21760" s="16"/>
    </row>
    <row r="21761" spans="30:30" x14ac:dyDescent="0.3">
      <c r="AD21761" s="16"/>
    </row>
    <row r="21762" spans="30:30" x14ac:dyDescent="0.3">
      <c r="AD21762" s="16"/>
    </row>
    <row r="21763" spans="30:30" x14ac:dyDescent="0.3">
      <c r="AD21763" s="16"/>
    </row>
    <row r="21764" spans="30:30" x14ac:dyDescent="0.3">
      <c r="AD21764" s="16"/>
    </row>
    <row r="21765" spans="30:30" x14ac:dyDescent="0.3">
      <c r="AD21765" s="16"/>
    </row>
    <row r="21766" spans="30:30" x14ac:dyDescent="0.3">
      <c r="AD21766" s="16"/>
    </row>
    <row r="21767" spans="30:30" x14ac:dyDescent="0.3">
      <c r="AD21767" s="16"/>
    </row>
    <row r="21768" spans="30:30" x14ac:dyDescent="0.3">
      <c r="AD21768" s="16"/>
    </row>
    <row r="21769" spans="30:30" x14ac:dyDescent="0.3">
      <c r="AD21769" s="16"/>
    </row>
    <row r="21770" spans="30:30" x14ac:dyDescent="0.3">
      <c r="AD21770" s="16"/>
    </row>
    <row r="21771" spans="30:30" x14ac:dyDescent="0.3">
      <c r="AD21771" s="16"/>
    </row>
    <row r="21772" spans="30:30" x14ac:dyDescent="0.3">
      <c r="AD21772" s="16"/>
    </row>
    <row r="21773" spans="30:30" x14ac:dyDescent="0.3">
      <c r="AD21773" s="16"/>
    </row>
    <row r="21774" spans="30:30" x14ac:dyDescent="0.3">
      <c r="AD21774" s="16"/>
    </row>
    <row r="21775" spans="30:30" x14ac:dyDescent="0.3">
      <c r="AD21775" s="16"/>
    </row>
    <row r="21776" spans="30:30" x14ac:dyDescent="0.3">
      <c r="AD21776" s="16"/>
    </row>
    <row r="21777" spans="30:30" x14ac:dyDescent="0.3">
      <c r="AD21777" s="16"/>
    </row>
    <row r="21778" spans="30:30" x14ac:dyDescent="0.3">
      <c r="AD21778" s="16"/>
    </row>
    <row r="21779" spans="30:30" x14ac:dyDescent="0.3">
      <c r="AD21779" s="16"/>
    </row>
    <row r="21780" spans="30:30" x14ac:dyDescent="0.3">
      <c r="AD21780" s="16"/>
    </row>
    <row r="21781" spans="30:30" x14ac:dyDescent="0.3">
      <c r="AD21781" s="16"/>
    </row>
    <row r="21782" spans="30:30" x14ac:dyDescent="0.3">
      <c r="AD21782" s="16"/>
    </row>
    <row r="21783" spans="30:30" x14ac:dyDescent="0.3">
      <c r="AD21783" s="16"/>
    </row>
    <row r="21784" spans="30:30" x14ac:dyDescent="0.3">
      <c r="AD21784" s="16"/>
    </row>
    <row r="21785" spans="30:30" x14ac:dyDescent="0.3">
      <c r="AD21785" s="16"/>
    </row>
    <row r="21786" spans="30:30" x14ac:dyDescent="0.3">
      <c r="AD21786" s="16"/>
    </row>
    <row r="21787" spans="30:30" x14ac:dyDescent="0.3">
      <c r="AD21787" s="16"/>
    </row>
    <row r="21788" spans="30:30" x14ac:dyDescent="0.3">
      <c r="AD21788" s="16"/>
    </row>
    <row r="21789" spans="30:30" x14ac:dyDescent="0.3">
      <c r="AD21789" s="16"/>
    </row>
    <row r="21790" spans="30:30" x14ac:dyDescent="0.3">
      <c r="AD21790" s="16"/>
    </row>
    <row r="21791" spans="30:30" x14ac:dyDescent="0.3">
      <c r="AD21791" s="16"/>
    </row>
    <row r="21792" spans="30:30" x14ac:dyDescent="0.3">
      <c r="AD21792" s="16"/>
    </row>
    <row r="21793" spans="30:30" x14ac:dyDescent="0.3">
      <c r="AD21793" s="16"/>
    </row>
    <row r="21794" spans="30:30" x14ac:dyDescent="0.3">
      <c r="AD21794" s="16"/>
    </row>
    <row r="21795" spans="30:30" x14ac:dyDescent="0.3">
      <c r="AD21795" s="16"/>
    </row>
    <row r="21796" spans="30:30" x14ac:dyDescent="0.3">
      <c r="AD21796" s="16"/>
    </row>
    <row r="21797" spans="30:30" x14ac:dyDescent="0.3">
      <c r="AD21797" s="16"/>
    </row>
    <row r="21798" spans="30:30" x14ac:dyDescent="0.3">
      <c r="AD21798" s="16"/>
    </row>
    <row r="21799" spans="30:30" x14ac:dyDescent="0.3">
      <c r="AD21799" s="16"/>
    </row>
    <row r="21800" spans="30:30" x14ac:dyDescent="0.3">
      <c r="AD21800" s="16"/>
    </row>
    <row r="21801" spans="30:30" x14ac:dyDescent="0.3">
      <c r="AD21801" s="16"/>
    </row>
    <row r="21802" spans="30:30" x14ac:dyDescent="0.3">
      <c r="AD21802" s="16"/>
    </row>
    <row r="21803" spans="30:30" x14ac:dyDescent="0.3">
      <c r="AD21803" s="16"/>
    </row>
    <row r="21804" spans="30:30" x14ac:dyDescent="0.3">
      <c r="AD21804" s="16"/>
    </row>
    <row r="21805" spans="30:30" x14ac:dyDescent="0.3">
      <c r="AD21805" s="16"/>
    </row>
    <row r="21806" spans="30:30" x14ac:dyDescent="0.3">
      <c r="AD21806" s="16"/>
    </row>
    <row r="21807" spans="30:30" x14ac:dyDescent="0.3">
      <c r="AD21807" s="16"/>
    </row>
    <row r="21808" spans="30:30" x14ac:dyDescent="0.3">
      <c r="AD21808" s="16"/>
    </row>
    <row r="21809" spans="30:30" x14ac:dyDescent="0.3">
      <c r="AD21809" s="16"/>
    </row>
    <row r="21810" spans="30:30" x14ac:dyDescent="0.3">
      <c r="AD21810" s="16"/>
    </row>
    <row r="21811" spans="30:30" x14ac:dyDescent="0.3">
      <c r="AD21811" s="16"/>
    </row>
    <row r="21812" spans="30:30" x14ac:dyDescent="0.3">
      <c r="AD21812" s="16"/>
    </row>
    <row r="21813" spans="30:30" x14ac:dyDescent="0.3">
      <c r="AD21813" s="16"/>
    </row>
    <row r="21814" spans="30:30" x14ac:dyDescent="0.3">
      <c r="AD21814" s="16"/>
    </row>
    <row r="21815" spans="30:30" x14ac:dyDescent="0.3">
      <c r="AD21815" s="16"/>
    </row>
    <row r="21816" spans="30:30" x14ac:dyDescent="0.3">
      <c r="AD21816" s="16"/>
    </row>
    <row r="21817" spans="30:30" x14ac:dyDescent="0.3">
      <c r="AD21817" s="16"/>
    </row>
    <row r="21818" spans="30:30" x14ac:dyDescent="0.3">
      <c r="AD21818" s="16"/>
    </row>
    <row r="21819" spans="30:30" x14ac:dyDescent="0.3">
      <c r="AD21819" s="16"/>
    </row>
    <row r="21820" spans="30:30" x14ac:dyDescent="0.3">
      <c r="AD21820" s="16"/>
    </row>
    <row r="21821" spans="30:30" x14ac:dyDescent="0.3">
      <c r="AD21821" s="16"/>
    </row>
    <row r="21822" spans="30:30" x14ac:dyDescent="0.3">
      <c r="AD21822" s="16"/>
    </row>
    <row r="21823" spans="30:30" x14ac:dyDescent="0.3">
      <c r="AD21823" s="16"/>
    </row>
    <row r="21824" spans="30:30" x14ac:dyDescent="0.3">
      <c r="AD21824" s="16"/>
    </row>
    <row r="21825" spans="30:30" x14ac:dyDescent="0.3">
      <c r="AD21825" s="16"/>
    </row>
    <row r="21826" spans="30:30" x14ac:dyDescent="0.3">
      <c r="AD21826" s="16"/>
    </row>
    <row r="21827" spans="30:30" x14ac:dyDescent="0.3">
      <c r="AD21827" s="16"/>
    </row>
    <row r="21828" spans="30:30" x14ac:dyDescent="0.3">
      <c r="AD21828" s="16"/>
    </row>
    <row r="21829" spans="30:30" x14ac:dyDescent="0.3">
      <c r="AD21829" s="16"/>
    </row>
    <row r="21830" spans="30:30" x14ac:dyDescent="0.3">
      <c r="AD21830" s="16"/>
    </row>
    <row r="21831" spans="30:30" x14ac:dyDescent="0.3">
      <c r="AD21831" s="16"/>
    </row>
    <row r="21832" spans="30:30" x14ac:dyDescent="0.3">
      <c r="AD21832" s="16"/>
    </row>
    <row r="21833" spans="30:30" x14ac:dyDescent="0.3">
      <c r="AD21833" s="16"/>
    </row>
    <row r="21834" spans="30:30" x14ac:dyDescent="0.3">
      <c r="AD21834" s="16"/>
    </row>
    <row r="21835" spans="30:30" x14ac:dyDescent="0.3">
      <c r="AD21835" s="16"/>
    </row>
    <row r="21836" spans="30:30" x14ac:dyDescent="0.3">
      <c r="AD21836" s="16"/>
    </row>
    <row r="21837" spans="30:30" x14ac:dyDescent="0.3">
      <c r="AD21837" s="16"/>
    </row>
    <row r="21838" spans="30:30" x14ac:dyDescent="0.3">
      <c r="AD21838" s="16"/>
    </row>
    <row r="21839" spans="30:30" x14ac:dyDescent="0.3">
      <c r="AD21839" s="16"/>
    </row>
    <row r="21840" spans="30:30" x14ac:dyDescent="0.3">
      <c r="AD21840" s="16"/>
    </row>
    <row r="21841" spans="30:30" x14ac:dyDescent="0.3">
      <c r="AD21841" s="16"/>
    </row>
    <row r="21842" spans="30:30" x14ac:dyDescent="0.3">
      <c r="AD21842" s="16"/>
    </row>
    <row r="21843" spans="30:30" x14ac:dyDescent="0.3">
      <c r="AD21843" s="16"/>
    </row>
    <row r="21844" spans="30:30" x14ac:dyDescent="0.3">
      <c r="AD21844" s="16"/>
    </row>
    <row r="21845" spans="30:30" x14ac:dyDescent="0.3">
      <c r="AD21845" s="16"/>
    </row>
    <row r="21846" spans="30:30" x14ac:dyDescent="0.3">
      <c r="AD21846" s="16"/>
    </row>
    <row r="21847" spans="30:30" x14ac:dyDescent="0.3">
      <c r="AD21847" s="16"/>
    </row>
    <row r="21848" spans="30:30" x14ac:dyDescent="0.3">
      <c r="AD21848" s="16"/>
    </row>
    <row r="21849" spans="30:30" x14ac:dyDescent="0.3">
      <c r="AD21849" s="16"/>
    </row>
    <row r="21850" spans="30:30" x14ac:dyDescent="0.3">
      <c r="AD21850" s="16"/>
    </row>
    <row r="21851" spans="30:30" x14ac:dyDescent="0.3">
      <c r="AD21851" s="16"/>
    </row>
    <row r="21852" spans="30:30" x14ac:dyDescent="0.3">
      <c r="AD21852" s="16"/>
    </row>
    <row r="21853" spans="30:30" x14ac:dyDescent="0.3">
      <c r="AD21853" s="16"/>
    </row>
    <row r="21854" spans="30:30" x14ac:dyDescent="0.3">
      <c r="AD21854" s="16"/>
    </row>
    <row r="21855" spans="30:30" x14ac:dyDescent="0.3">
      <c r="AD21855" s="16"/>
    </row>
    <row r="21856" spans="30:30" x14ac:dyDescent="0.3">
      <c r="AD21856" s="16"/>
    </row>
    <row r="21857" spans="30:30" x14ac:dyDescent="0.3">
      <c r="AD21857" s="16"/>
    </row>
    <row r="21858" spans="30:30" x14ac:dyDescent="0.3">
      <c r="AD21858" s="16"/>
    </row>
    <row r="21859" spans="30:30" x14ac:dyDescent="0.3">
      <c r="AD21859" s="16"/>
    </row>
    <row r="21860" spans="30:30" x14ac:dyDescent="0.3">
      <c r="AD21860" s="16"/>
    </row>
    <row r="21861" spans="30:30" x14ac:dyDescent="0.3">
      <c r="AD21861" s="16"/>
    </row>
    <row r="21862" spans="30:30" x14ac:dyDescent="0.3">
      <c r="AD21862" s="16"/>
    </row>
    <row r="21863" spans="30:30" x14ac:dyDescent="0.3">
      <c r="AD21863" s="16"/>
    </row>
    <row r="21864" spans="30:30" x14ac:dyDescent="0.3">
      <c r="AD21864" s="16"/>
    </row>
    <row r="21865" spans="30:30" x14ac:dyDescent="0.3">
      <c r="AD21865" s="16"/>
    </row>
    <row r="21866" spans="30:30" x14ac:dyDescent="0.3">
      <c r="AD21866" s="16"/>
    </row>
    <row r="21867" spans="30:30" x14ac:dyDescent="0.3">
      <c r="AD21867" s="16"/>
    </row>
    <row r="21868" spans="30:30" x14ac:dyDescent="0.3">
      <c r="AD21868" s="16"/>
    </row>
    <row r="21869" spans="30:30" x14ac:dyDescent="0.3">
      <c r="AD21869" s="16"/>
    </row>
    <row r="21870" spans="30:30" x14ac:dyDescent="0.3">
      <c r="AD21870" s="16"/>
    </row>
    <row r="21871" spans="30:30" x14ac:dyDescent="0.3">
      <c r="AD21871" s="16"/>
    </row>
    <row r="21872" spans="30:30" x14ac:dyDescent="0.3">
      <c r="AD21872" s="16"/>
    </row>
    <row r="21873" spans="30:30" x14ac:dyDescent="0.3">
      <c r="AD21873" s="16"/>
    </row>
    <row r="21874" spans="30:30" x14ac:dyDescent="0.3">
      <c r="AD21874" s="16"/>
    </row>
    <row r="21875" spans="30:30" x14ac:dyDescent="0.3">
      <c r="AD21875" s="16"/>
    </row>
    <row r="21876" spans="30:30" x14ac:dyDescent="0.3">
      <c r="AD21876" s="16"/>
    </row>
    <row r="21877" spans="30:30" x14ac:dyDescent="0.3">
      <c r="AD21877" s="16"/>
    </row>
    <row r="21878" spans="30:30" x14ac:dyDescent="0.3">
      <c r="AD21878" s="16"/>
    </row>
    <row r="21879" spans="30:30" x14ac:dyDescent="0.3">
      <c r="AD21879" s="16"/>
    </row>
    <row r="21880" spans="30:30" x14ac:dyDescent="0.3">
      <c r="AD21880" s="16"/>
    </row>
    <row r="21881" spans="30:30" x14ac:dyDescent="0.3">
      <c r="AD21881" s="16"/>
    </row>
    <row r="21882" spans="30:30" x14ac:dyDescent="0.3">
      <c r="AD21882" s="16"/>
    </row>
    <row r="21883" spans="30:30" x14ac:dyDescent="0.3">
      <c r="AD21883" s="16"/>
    </row>
    <row r="21884" spans="30:30" x14ac:dyDescent="0.3">
      <c r="AD21884" s="16"/>
    </row>
    <row r="21885" spans="30:30" x14ac:dyDescent="0.3">
      <c r="AD21885" s="16"/>
    </row>
    <row r="21886" spans="30:30" x14ac:dyDescent="0.3">
      <c r="AD21886" s="16"/>
    </row>
    <row r="21887" spans="30:30" x14ac:dyDescent="0.3">
      <c r="AD21887" s="16"/>
    </row>
    <row r="21888" spans="30:30" x14ac:dyDescent="0.3">
      <c r="AD21888" s="16"/>
    </row>
    <row r="21889" spans="30:30" x14ac:dyDescent="0.3">
      <c r="AD21889" s="16"/>
    </row>
    <row r="21890" spans="30:30" x14ac:dyDescent="0.3">
      <c r="AD21890" s="16"/>
    </row>
    <row r="21891" spans="30:30" x14ac:dyDescent="0.3">
      <c r="AD21891" s="16"/>
    </row>
    <row r="21892" spans="30:30" x14ac:dyDescent="0.3">
      <c r="AD21892" s="16"/>
    </row>
    <row r="21893" spans="30:30" x14ac:dyDescent="0.3">
      <c r="AD21893" s="16"/>
    </row>
    <row r="21894" spans="30:30" x14ac:dyDescent="0.3">
      <c r="AD21894" s="16"/>
    </row>
    <row r="21895" spans="30:30" x14ac:dyDescent="0.3">
      <c r="AD21895" s="16"/>
    </row>
    <row r="21896" spans="30:30" x14ac:dyDescent="0.3">
      <c r="AD21896" s="16"/>
    </row>
    <row r="21897" spans="30:30" x14ac:dyDescent="0.3">
      <c r="AD21897" s="16"/>
    </row>
    <row r="21898" spans="30:30" x14ac:dyDescent="0.3">
      <c r="AD21898" s="16"/>
    </row>
    <row r="21899" spans="30:30" x14ac:dyDescent="0.3">
      <c r="AD21899" s="16"/>
    </row>
    <row r="21900" spans="30:30" x14ac:dyDescent="0.3">
      <c r="AD21900" s="16"/>
    </row>
    <row r="21901" spans="30:30" x14ac:dyDescent="0.3">
      <c r="AD21901" s="16"/>
    </row>
    <row r="21902" spans="30:30" x14ac:dyDescent="0.3">
      <c r="AD21902" s="16"/>
    </row>
    <row r="21903" spans="30:30" x14ac:dyDescent="0.3">
      <c r="AD21903" s="16"/>
    </row>
    <row r="21904" spans="30:30" x14ac:dyDescent="0.3">
      <c r="AD21904" s="16"/>
    </row>
    <row r="21905" spans="30:30" x14ac:dyDescent="0.3">
      <c r="AD21905" s="16"/>
    </row>
    <row r="21906" spans="30:30" x14ac:dyDescent="0.3">
      <c r="AD21906" s="16"/>
    </row>
    <row r="21907" spans="30:30" x14ac:dyDescent="0.3">
      <c r="AD21907" s="16"/>
    </row>
    <row r="21908" spans="30:30" x14ac:dyDescent="0.3">
      <c r="AD21908" s="16"/>
    </row>
    <row r="21909" spans="30:30" x14ac:dyDescent="0.3">
      <c r="AD21909" s="16"/>
    </row>
    <row r="21910" spans="30:30" x14ac:dyDescent="0.3">
      <c r="AD21910" s="16"/>
    </row>
    <row r="21911" spans="30:30" x14ac:dyDescent="0.3">
      <c r="AD21911" s="16"/>
    </row>
    <row r="21912" spans="30:30" x14ac:dyDescent="0.3">
      <c r="AD21912" s="16"/>
    </row>
    <row r="21913" spans="30:30" x14ac:dyDescent="0.3">
      <c r="AD21913" s="16"/>
    </row>
    <row r="21914" spans="30:30" x14ac:dyDescent="0.3">
      <c r="AD21914" s="16"/>
    </row>
    <row r="21915" spans="30:30" x14ac:dyDescent="0.3">
      <c r="AD21915" s="16"/>
    </row>
    <row r="21916" spans="30:30" x14ac:dyDescent="0.3">
      <c r="AD21916" s="16"/>
    </row>
    <row r="21917" spans="30:30" x14ac:dyDescent="0.3">
      <c r="AD21917" s="16"/>
    </row>
    <row r="21918" spans="30:30" x14ac:dyDescent="0.3">
      <c r="AD21918" s="16"/>
    </row>
    <row r="21919" spans="30:30" x14ac:dyDescent="0.3">
      <c r="AD21919" s="16"/>
    </row>
    <row r="21920" spans="30:30" x14ac:dyDescent="0.3">
      <c r="AD21920" s="16"/>
    </row>
    <row r="21921" spans="30:30" x14ac:dyDescent="0.3">
      <c r="AD21921" s="16"/>
    </row>
    <row r="21922" spans="30:30" x14ac:dyDescent="0.3">
      <c r="AD21922" s="16"/>
    </row>
    <row r="21923" spans="30:30" x14ac:dyDescent="0.3">
      <c r="AD21923" s="16"/>
    </row>
    <row r="21924" spans="30:30" x14ac:dyDescent="0.3">
      <c r="AD21924" s="16"/>
    </row>
    <row r="21925" spans="30:30" x14ac:dyDescent="0.3">
      <c r="AD21925" s="16"/>
    </row>
    <row r="21926" spans="30:30" x14ac:dyDescent="0.3">
      <c r="AD21926" s="16"/>
    </row>
    <row r="21927" spans="30:30" x14ac:dyDescent="0.3">
      <c r="AD21927" s="16"/>
    </row>
    <row r="21928" spans="30:30" x14ac:dyDescent="0.3">
      <c r="AD21928" s="16"/>
    </row>
    <row r="21929" spans="30:30" x14ac:dyDescent="0.3">
      <c r="AD21929" s="16"/>
    </row>
    <row r="21930" spans="30:30" x14ac:dyDescent="0.3">
      <c r="AD21930" s="16"/>
    </row>
    <row r="21931" spans="30:30" x14ac:dyDescent="0.3">
      <c r="AD21931" s="16"/>
    </row>
    <row r="21932" spans="30:30" x14ac:dyDescent="0.3">
      <c r="AD21932" s="16"/>
    </row>
    <row r="21933" spans="30:30" x14ac:dyDescent="0.3">
      <c r="AD21933" s="16"/>
    </row>
    <row r="21934" spans="30:30" x14ac:dyDescent="0.3">
      <c r="AD21934" s="16"/>
    </row>
    <row r="21935" spans="30:30" x14ac:dyDescent="0.3">
      <c r="AD21935" s="16"/>
    </row>
    <row r="21936" spans="30:30" x14ac:dyDescent="0.3">
      <c r="AD21936" s="16"/>
    </row>
    <row r="21937" spans="30:30" x14ac:dyDescent="0.3">
      <c r="AD21937" s="16"/>
    </row>
    <row r="21938" spans="30:30" x14ac:dyDescent="0.3">
      <c r="AD21938" s="16"/>
    </row>
    <row r="21939" spans="30:30" x14ac:dyDescent="0.3">
      <c r="AD21939" s="16"/>
    </row>
    <row r="21940" spans="30:30" x14ac:dyDescent="0.3">
      <c r="AD21940" s="16"/>
    </row>
    <row r="21941" spans="30:30" x14ac:dyDescent="0.3">
      <c r="AD21941" s="16"/>
    </row>
    <row r="21942" spans="30:30" x14ac:dyDescent="0.3">
      <c r="AD21942" s="16"/>
    </row>
    <row r="21943" spans="30:30" x14ac:dyDescent="0.3">
      <c r="AD21943" s="16"/>
    </row>
    <row r="21944" spans="30:30" x14ac:dyDescent="0.3">
      <c r="AD21944" s="16"/>
    </row>
    <row r="21945" spans="30:30" x14ac:dyDescent="0.3">
      <c r="AD21945" s="16"/>
    </row>
    <row r="21946" spans="30:30" x14ac:dyDescent="0.3">
      <c r="AD21946" s="16"/>
    </row>
    <row r="21947" spans="30:30" x14ac:dyDescent="0.3">
      <c r="AD21947" s="16"/>
    </row>
    <row r="21948" spans="30:30" x14ac:dyDescent="0.3">
      <c r="AD21948" s="16"/>
    </row>
    <row r="21949" spans="30:30" x14ac:dyDescent="0.3">
      <c r="AD21949" s="16"/>
    </row>
    <row r="21950" spans="30:30" x14ac:dyDescent="0.3">
      <c r="AD21950" s="16"/>
    </row>
    <row r="21951" spans="30:30" x14ac:dyDescent="0.3">
      <c r="AD21951" s="16"/>
    </row>
    <row r="21952" spans="30:30" x14ac:dyDescent="0.3">
      <c r="AD21952" s="16"/>
    </row>
    <row r="21953" spans="30:30" x14ac:dyDescent="0.3">
      <c r="AD21953" s="16"/>
    </row>
    <row r="21954" spans="30:30" x14ac:dyDescent="0.3">
      <c r="AD21954" s="16"/>
    </row>
    <row r="21955" spans="30:30" x14ac:dyDescent="0.3">
      <c r="AD21955" s="16"/>
    </row>
    <row r="21956" spans="30:30" x14ac:dyDescent="0.3">
      <c r="AD21956" s="16"/>
    </row>
    <row r="21957" spans="30:30" x14ac:dyDescent="0.3">
      <c r="AD21957" s="16"/>
    </row>
    <row r="21958" spans="30:30" x14ac:dyDescent="0.3">
      <c r="AD21958" s="16"/>
    </row>
    <row r="21959" spans="30:30" x14ac:dyDescent="0.3">
      <c r="AD21959" s="16"/>
    </row>
    <row r="21960" spans="30:30" x14ac:dyDescent="0.3">
      <c r="AD21960" s="16"/>
    </row>
    <row r="21961" spans="30:30" x14ac:dyDescent="0.3">
      <c r="AD21961" s="16"/>
    </row>
    <row r="21962" spans="30:30" x14ac:dyDescent="0.3">
      <c r="AD21962" s="16"/>
    </row>
    <row r="21963" spans="30:30" x14ac:dyDescent="0.3">
      <c r="AD21963" s="16"/>
    </row>
    <row r="21964" spans="30:30" x14ac:dyDescent="0.3">
      <c r="AD21964" s="16"/>
    </row>
    <row r="21965" spans="30:30" x14ac:dyDescent="0.3">
      <c r="AD21965" s="16"/>
    </row>
    <row r="21966" spans="30:30" x14ac:dyDescent="0.3">
      <c r="AD21966" s="16"/>
    </row>
    <row r="21967" spans="30:30" x14ac:dyDescent="0.3">
      <c r="AD21967" s="16"/>
    </row>
    <row r="21968" spans="30:30" x14ac:dyDescent="0.3">
      <c r="AD21968" s="16"/>
    </row>
    <row r="21969" spans="30:30" x14ac:dyDescent="0.3">
      <c r="AD21969" s="16"/>
    </row>
    <row r="21970" spans="30:30" x14ac:dyDescent="0.3">
      <c r="AD21970" s="16"/>
    </row>
    <row r="21971" spans="30:30" x14ac:dyDescent="0.3">
      <c r="AD21971" s="16"/>
    </row>
    <row r="21972" spans="30:30" x14ac:dyDescent="0.3">
      <c r="AD21972" s="16"/>
    </row>
    <row r="21973" spans="30:30" x14ac:dyDescent="0.3">
      <c r="AD21973" s="16"/>
    </row>
    <row r="21974" spans="30:30" x14ac:dyDescent="0.3">
      <c r="AD21974" s="16"/>
    </row>
    <row r="21975" spans="30:30" x14ac:dyDescent="0.3">
      <c r="AD21975" s="16"/>
    </row>
    <row r="21976" spans="30:30" x14ac:dyDescent="0.3">
      <c r="AD21976" s="16"/>
    </row>
    <row r="21977" spans="30:30" x14ac:dyDescent="0.3">
      <c r="AD21977" s="16"/>
    </row>
    <row r="21978" spans="30:30" x14ac:dyDescent="0.3">
      <c r="AD21978" s="16"/>
    </row>
    <row r="21979" spans="30:30" x14ac:dyDescent="0.3">
      <c r="AD21979" s="16"/>
    </row>
    <row r="21980" spans="30:30" x14ac:dyDescent="0.3">
      <c r="AD21980" s="16"/>
    </row>
    <row r="21981" spans="30:30" x14ac:dyDescent="0.3">
      <c r="AD21981" s="16"/>
    </row>
    <row r="21982" spans="30:30" x14ac:dyDescent="0.3">
      <c r="AD21982" s="16"/>
    </row>
    <row r="21983" spans="30:30" x14ac:dyDescent="0.3">
      <c r="AD21983" s="16"/>
    </row>
    <row r="21984" spans="30:30" x14ac:dyDescent="0.3">
      <c r="AD21984" s="16"/>
    </row>
    <row r="21985" spans="30:30" x14ac:dyDescent="0.3">
      <c r="AD21985" s="16"/>
    </row>
    <row r="21986" spans="30:30" x14ac:dyDescent="0.3">
      <c r="AD21986" s="16"/>
    </row>
    <row r="21987" spans="30:30" x14ac:dyDescent="0.3">
      <c r="AD21987" s="16"/>
    </row>
    <row r="21988" spans="30:30" x14ac:dyDescent="0.3">
      <c r="AD21988" s="16"/>
    </row>
    <row r="21989" spans="30:30" x14ac:dyDescent="0.3">
      <c r="AD21989" s="16"/>
    </row>
    <row r="21990" spans="30:30" x14ac:dyDescent="0.3">
      <c r="AD21990" s="16"/>
    </row>
    <row r="21991" spans="30:30" x14ac:dyDescent="0.3">
      <c r="AD21991" s="16"/>
    </row>
    <row r="21992" spans="30:30" x14ac:dyDescent="0.3">
      <c r="AD21992" s="16"/>
    </row>
    <row r="21993" spans="30:30" x14ac:dyDescent="0.3">
      <c r="AD21993" s="16"/>
    </row>
    <row r="21994" spans="30:30" x14ac:dyDescent="0.3">
      <c r="AD21994" s="16"/>
    </row>
    <row r="21995" spans="30:30" x14ac:dyDescent="0.3">
      <c r="AD21995" s="16"/>
    </row>
    <row r="21996" spans="30:30" x14ac:dyDescent="0.3">
      <c r="AD21996" s="16"/>
    </row>
    <row r="21997" spans="30:30" x14ac:dyDescent="0.3">
      <c r="AD21997" s="16"/>
    </row>
    <row r="21998" spans="30:30" x14ac:dyDescent="0.3">
      <c r="AD21998" s="16"/>
    </row>
    <row r="21999" spans="30:30" x14ac:dyDescent="0.3">
      <c r="AD21999" s="16"/>
    </row>
    <row r="22000" spans="30:30" x14ac:dyDescent="0.3">
      <c r="AD22000" s="16"/>
    </row>
    <row r="22001" spans="30:30" x14ac:dyDescent="0.3">
      <c r="AD22001" s="16"/>
    </row>
    <row r="22002" spans="30:30" x14ac:dyDescent="0.3">
      <c r="AD22002" s="16"/>
    </row>
    <row r="22003" spans="30:30" x14ac:dyDescent="0.3">
      <c r="AD22003" s="16"/>
    </row>
    <row r="22004" spans="30:30" x14ac:dyDescent="0.3">
      <c r="AD22004" s="16"/>
    </row>
    <row r="22005" spans="30:30" x14ac:dyDescent="0.3">
      <c r="AD22005" s="16"/>
    </row>
    <row r="22006" spans="30:30" x14ac:dyDescent="0.3">
      <c r="AD22006" s="16"/>
    </row>
    <row r="22007" spans="30:30" x14ac:dyDescent="0.3">
      <c r="AD22007" s="16"/>
    </row>
    <row r="22008" spans="30:30" x14ac:dyDescent="0.3">
      <c r="AD22008" s="16"/>
    </row>
    <row r="22009" spans="30:30" x14ac:dyDescent="0.3">
      <c r="AD22009" s="16"/>
    </row>
    <row r="22010" spans="30:30" x14ac:dyDescent="0.3">
      <c r="AD22010" s="16"/>
    </row>
    <row r="22011" spans="30:30" x14ac:dyDescent="0.3">
      <c r="AD22011" s="16"/>
    </row>
    <row r="22012" spans="30:30" x14ac:dyDescent="0.3">
      <c r="AD22012" s="16"/>
    </row>
    <row r="22013" spans="30:30" x14ac:dyDescent="0.3">
      <c r="AD22013" s="16"/>
    </row>
    <row r="22014" spans="30:30" x14ac:dyDescent="0.3">
      <c r="AD22014" s="16"/>
    </row>
    <row r="22015" spans="30:30" x14ac:dyDescent="0.3">
      <c r="AD22015" s="16"/>
    </row>
    <row r="22016" spans="30:30" x14ac:dyDescent="0.3">
      <c r="AD22016" s="16"/>
    </row>
    <row r="22017" spans="30:30" x14ac:dyDescent="0.3">
      <c r="AD22017" s="16"/>
    </row>
    <row r="22018" spans="30:30" x14ac:dyDescent="0.3">
      <c r="AD22018" s="16"/>
    </row>
    <row r="22019" spans="30:30" x14ac:dyDescent="0.3">
      <c r="AD22019" s="16"/>
    </row>
    <row r="22020" spans="30:30" x14ac:dyDescent="0.3">
      <c r="AD22020" s="16"/>
    </row>
    <row r="22021" spans="30:30" x14ac:dyDescent="0.3">
      <c r="AD22021" s="16"/>
    </row>
    <row r="22022" spans="30:30" x14ac:dyDescent="0.3">
      <c r="AD22022" s="16"/>
    </row>
    <row r="22023" spans="30:30" x14ac:dyDescent="0.3">
      <c r="AD22023" s="16"/>
    </row>
    <row r="22024" spans="30:30" x14ac:dyDescent="0.3">
      <c r="AD22024" s="16"/>
    </row>
    <row r="22025" spans="30:30" x14ac:dyDescent="0.3">
      <c r="AD22025" s="16"/>
    </row>
    <row r="22026" spans="30:30" x14ac:dyDescent="0.3">
      <c r="AD22026" s="16"/>
    </row>
    <row r="22027" spans="30:30" x14ac:dyDescent="0.3">
      <c r="AD22027" s="16"/>
    </row>
    <row r="22028" spans="30:30" x14ac:dyDescent="0.3">
      <c r="AD22028" s="16"/>
    </row>
    <row r="22029" spans="30:30" x14ac:dyDescent="0.3">
      <c r="AD22029" s="16"/>
    </row>
    <row r="22030" spans="30:30" x14ac:dyDescent="0.3">
      <c r="AD22030" s="16"/>
    </row>
    <row r="22031" spans="30:30" x14ac:dyDescent="0.3">
      <c r="AD22031" s="16"/>
    </row>
    <row r="22032" spans="30:30" x14ac:dyDescent="0.3">
      <c r="AD22032" s="16"/>
    </row>
    <row r="22033" spans="30:30" x14ac:dyDescent="0.3">
      <c r="AD22033" s="16"/>
    </row>
    <row r="22034" spans="30:30" x14ac:dyDescent="0.3">
      <c r="AD22034" s="16"/>
    </row>
    <row r="22035" spans="30:30" x14ac:dyDescent="0.3">
      <c r="AD22035" s="16"/>
    </row>
    <row r="22036" spans="30:30" x14ac:dyDescent="0.3">
      <c r="AD22036" s="16"/>
    </row>
    <row r="22037" spans="30:30" x14ac:dyDescent="0.3">
      <c r="AD22037" s="16"/>
    </row>
    <row r="22038" spans="30:30" x14ac:dyDescent="0.3">
      <c r="AD22038" s="16"/>
    </row>
    <row r="22039" spans="30:30" x14ac:dyDescent="0.3">
      <c r="AD22039" s="16"/>
    </row>
    <row r="22040" spans="30:30" x14ac:dyDescent="0.3">
      <c r="AD22040" s="16"/>
    </row>
    <row r="22041" spans="30:30" x14ac:dyDescent="0.3">
      <c r="AD22041" s="16"/>
    </row>
    <row r="22042" spans="30:30" x14ac:dyDescent="0.3">
      <c r="AD22042" s="16"/>
    </row>
    <row r="22043" spans="30:30" x14ac:dyDescent="0.3">
      <c r="AD22043" s="16"/>
    </row>
    <row r="22044" spans="30:30" x14ac:dyDescent="0.3">
      <c r="AD22044" s="16"/>
    </row>
    <row r="22045" spans="30:30" x14ac:dyDescent="0.3">
      <c r="AD22045" s="16"/>
    </row>
    <row r="22046" spans="30:30" x14ac:dyDescent="0.3">
      <c r="AD22046" s="16"/>
    </row>
    <row r="22047" spans="30:30" x14ac:dyDescent="0.3">
      <c r="AD22047" s="16"/>
    </row>
    <row r="22048" spans="30:30" x14ac:dyDescent="0.3">
      <c r="AD22048" s="16"/>
    </row>
    <row r="22049" spans="30:30" x14ac:dyDescent="0.3">
      <c r="AD22049" s="16"/>
    </row>
    <row r="22050" spans="30:30" x14ac:dyDescent="0.3">
      <c r="AD22050" s="16"/>
    </row>
    <row r="22051" spans="30:30" x14ac:dyDescent="0.3">
      <c r="AD22051" s="16"/>
    </row>
    <row r="22052" spans="30:30" x14ac:dyDescent="0.3">
      <c r="AD22052" s="16"/>
    </row>
    <row r="22053" spans="30:30" x14ac:dyDescent="0.3">
      <c r="AD22053" s="16"/>
    </row>
    <row r="22054" spans="30:30" x14ac:dyDescent="0.3">
      <c r="AD22054" s="16"/>
    </row>
    <row r="22055" spans="30:30" x14ac:dyDescent="0.3">
      <c r="AD22055" s="16"/>
    </row>
    <row r="22056" spans="30:30" x14ac:dyDescent="0.3">
      <c r="AD22056" s="16"/>
    </row>
    <row r="22057" spans="30:30" x14ac:dyDescent="0.3">
      <c r="AD22057" s="16"/>
    </row>
    <row r="22058" spans="30:30" x14ac:dyDescent="0.3">
      <c r="AD22058" s="16"/>
    </row>
    <row r="22059" spans="30:30" x14ac:dyDescent="0.3">
      <c r="AD22059" s="16"/>
    </row>
    <row r="22060" spans="30:30" x14ac:dyDescent="0.3">
      <c r="AD22060" s="16"/>
    </row>
    <row r="22061" spans="30:30" x14ac:dyDescent="0.3">
      <c r="AD22061" s="16"/>
    </row>
    <row r="22062" spans="30:30" x14ac:dyDescent="0.3">
      <c r="AD22062" s="16"/>
    </row>
    <row r="22063" spans="30:30" x14ac:dyDescent="0.3">
      <c r="AD22063" s="16"/>
    </row>
    <row r="22064" spans="30:30" x14ac:dyDescent="0.3">
      <c r="AD22064" s="16"/>
    </row>
    <row r="22065" spans="30:30" x14ac:dyDescent="0.3">
      <c r="AD22065" s="16"/>
    </row>
    <row r="22066" spans="30:30" x14ac:dyDescent="0.3">
      <c r="AD22066" s="16"/>
    </row>
    <row r="22067" spans="30:30" x14ac:dyDescent="0.3">
      <c r="AD22067" s="16"/>
    </row>
    <row r="22068" spans="30:30" x14ac:dyDescent="0.3">
      <c r="AD22068" s="16"/>
    </row>
    <row r="22069" spans="30:30" x14ac:dyDescent="0.3">
      <c r="AD22069" s="16"/>
    </row>
    <row r="22070" spans="30:30" x14ac:dyDescent="0.3">
      <c r="AD22070" s="16"/>
    </row>
    <row r="22071" spans="30:30" x14ac:dyDescent="0.3">
      <c r="AD22071" s="16"/>
    </row>
    <row r="22072" spans="30:30" x14ac:dyDescent="0.3">
      <c r="AD22072" s="16"/>
    </row>
    <row r="22073" spans="30:30" x14ac:dyDescent="0.3">
      <c r="AD22073" s="16"/>
    </row>
    <row r="22074" spans="30:30" x14ac:dyDescent="0.3">
      <c r="AD22074" s="16"/>
    </row>
    <row r="22075" spans="30:30" x14ac:dyDescent="0.3">
      <c r="AD22075" s="16"/>
    </row>
    <row r="22076" spans="30:30" x14ac:dyDescent="0.3">
      <c r="AD22076" s="16"/>
    </row>
    <row r="22077" spans="30:30" x14ac:dyDescent="0.3">
      <c r="AD22077" s="16"/>
    </row>
    <row r="22078" spans="30:30" x14ac:dyDescent="0.3">
      <c r="AD22078" s="16"/>
    </row>
    <row r="22079" spans="30:30" x14ac:dyDescent="0.3">
      <c r="AD22079" s="16"/>
    </row>
    <row r="22080" spans="30:30" x14ac:dyDescent="0.3">
      <c r="AD22080" s="16"/>
    </row>
    <row r="22081" spans="30:30" x14ac:dyDescent="0.3">
      <c r="AD22081" s="16"/>
    </row>
    <row r="22082" spans="30:30" x14ac:dyDescent="0.3">
      <c r="AD22082" s="16"/>
    </row>
    <row r="22083" spans="30:30" x14ac:dyDescent="0.3">
      <c r="AD22083" s="16"/>
    </row>
    <row r="22084" spans="30:30" x14ac:dyDescent="0.3">
      <c r="AD22084" s="16"/>
    </row>
    <row r="22085" spans="30:30" x14ac:dyDescent="0.3">
      <c r="AD22085" s="16"/>
    </row>
    <row r="22086" spans="30:30" x14ac:dyDescent="0.3">
      <c r="AD22086" s="16"/>
    </row>
    <row r="22087" spans="30:30" x14ac:dyDescent="0.3">
      <c r="AD22087" s="16"/>
    </row>
    <row r="22088" spans="30:30" x14ac:dyDescent="0.3">
      <c r="AD22088" s="16"/>
    </row>
    <row r="22089" spans="30:30" x14ac:dyDescent="0.3">
      <c r="AD22089" s="16"/>
    </row>
    <row r="22090" spans="30:30" x14ac:dyDescent="0.3">
      <c r="AD22090" s="16"/>
    </row>
    <row r="22091" spans="30:30" x14ac:dyDescent="0.3">
      <c r="AD22091" s="16"/>
    </row>
    <row r="22092" spans="30:30" x14ac:dyDescent="0.3">
      <c r="AD22092" s="16"/>
    </row>
    <row r="22093" spans="30:30" x14ac:dyDescent="0.3">
      <c r="AD22093" s="16"/>
    </row>
    <row r="22094" spans="30:30" x14ac:dyDescent="0.3">
      <c r="AD22094" s="16"/>
    </row>
    <row r="22095" spans="30:30" x14ac:dyDescent="0.3">
      <c r="AD22095" s="16"/>
    </row>
    <row r="22096" spans="30:30" x14ac:dyDescent="0.3">
      <c r="AD22096" s="16"/>
    </row>
    <row r="22097" spans="30:30" x14ac:dyDescent="0.3">
      <c r="AD22097" s="16"/>
    </row>
    <row r="22098" spans="30:30" x14ac:dyDescent="0.3">
      <c r="AD22098" s="16"/>
    </row>
    <row r="22099" spans="30:30" x14ac:dyDescent="0.3">
      <c r="AD22099" s="16"/>
    </row>
    <row r="22100" spans="30:30" x14ac:dyDescent="0.3">
      <c r="AD22100" s="16"/>
    </row>
    <row r="22101" spans="30:30" x14ac:dyDescent="0.3">
      <c r="AD22101" s="16"/>
    </row>
    <row r="22102" spans="30:30" x14ac:dyDescent="0.3">
      <c r="AD22102" s="16"/>
    </row>
    <row r="22103" spans="30:30" x14ac:dyDescent="0.3">
      <c r="AD22103" s="16"/>
    </row>
    <row r="22104" spans="30:30" x14ac:dyDescent="0.3">
      <c r="AD22104" s="16"/>
    </row>
    <row r="22105" spans="30:30" x14ac:dyDescent="0.3">
      <c r="AD22105" s="16"/>
    </row>
    <row r="22106" spans="30:30" x14ac:dyDescent="0.3">
      <c r="AD22106" s="16"/>
    </row>
    <row r="22107" spans="30:30" x14ac:dyDescent="0.3">
      <c r="AD22107" s="16"/>
    </row>
    <row r="22108" spans="30:30" x14ac:dyDescent="0.3">
      <c r="AD22108" s="16"/>
    </row>
    <row r="22109" spans="30:30" x14ac:dyDescent="0.3">
      <c r="AD22109" s="16"/>
    </row>
    <row r="22110" spans="30:30" x14ac:dyDescent="0.3">
      <c r="AD22110" s="16"/>
    </row>
    <row r="22111" spans="30:30" x14ac:dyDescent="0.3">
      <c r="AD22111" s="16"/>
    </row>
    <row r="22112" spans="30:30" x14ac:dyDescent="0.3">
      <c r="AD22112" s="16"/>
    </row>
    <row r="22113" spans="30:30" x14ac:dyDescent="0.3">
      <c r="AD22113" s="16"/>
    </row>
    <row r="22114" spans="30:30" x14ac:dyDescent="0.3">
      <c r="AD22114" s="16"/>
    </row>
    <row r="22115" spans="30:30" x14ac:dyDescent="0.3">
      <c r="AD22115" s="16"/>
    </row>
    <row r="22116" spans="30:30" x14ac:dyDescent="0.3">
      <c r="AD22116" s="16"/>
    </row>
    <row r="22117" spans="30:30" x14ac:dyDescent="0.3">
      <c r="AD22117" s="16"/>
    </row>
    <row r="22118" spans="30:30" x14ac:dyDescent="0.3">
      <c r="AD22118" s="16"/>
    </row>
    <row r="22119" spans="30:30" x14ac:dyDescent="0.3">
      <c r="AD22119" s="16"/>
    </row>
    <row r="22120" spans="30:30" x14ac:dyDescent="0.3">
      <c r="AD22120" s="16"/>
    </row>
    <row r="22121" spans="30:30" x14ac:dyDescent="0.3">
      <c r="AD22121" s="16"/>
    </row>
    <row r="22122" spans="30:30" x14ac:dyDescent="0.3">
      <c r="AD22122" s="16"/>
    </row>
    <row r="22123" spans="30:30" x14ac:dyDescent="0.3">
      <c r="AD22123" s="16"/>
    </row>
    <row r="22124" spans="30:30" x14ac:dyDescent="0.3">
      <c r="AD22124" s="16"/>
    </row>
    <row r="22125" spans="30:30" x14ac:dyDescent="0.3">
      <c r="AD22125" s="16"/>
    </row>
    <row r="22126" spans="30:30" x14ac:dyDescent="0.3">
      <c r="AD22126" s="16"/>
    </row>
    <row r="22127" spans="30:30" x14ac:dyDescent="0.3">
      <c r="AD22127" s="16"/>
    </row>
    <row r="22128" spans="30:30" x14ac:dyDescent="0.3">
      <c r="AD22128" s="16"/>
    </row>
    <row r="22129" spans="30:30" x14ac:dyDescent="0.3">
      <c r="AD22129" s="16"/>
    </row>
    <row r="22130" spans="30:30" x14ac:dyDescent="0.3">
      <c r="AD22130" s="16"/>
    </row>
    <row r="22131" spans="30:30" x14ac:dyDescent="0.3">
      <c r="AD22131" s="16"/>
    </row>
    <row r="22132" spans="30:30" x14ac:dyDescent="0.3">
      <c r="AD22132" s="16"/>
    </row>
    <row r="22133" spans="30:30" x14ac:dyDescent="0.3">
      <c r="AD22133" s="16"/>
    </row>
    <row r="22134" spans="30:30" x14ac:dyDescent="0.3">
      <c r="AD22134" s="16"/>
    </row>
    <row r="22135" spans="30:30" x14ac:dyDescent="0.3">
      <c r="AD22135" s="16"/>
    </row>
    <row r="22136" spans="30:30" x14ac:dyDescent="0.3">
      <c r="AD22136" s="16"/>
    </row>
    <row r="22137" spans="30:30" x14ac:dyDescent="0.3">
      <c r="AD22137" s="16"/>
    </row>
    <row r="22138" spans="30:30" x14ac:dyDescent="0.3">
      <c r="AD22138" s="16"/>
    </row>
    <row r="22139" spans="30:30" x14ac:dyDescent="0.3">
      <c r="AD22139" s="16"/>
    </row>
    <row r="22140" spans="30:30" x14ac:dyDescent="0.3">
      <c r="AD22140" s="16"/>
    </row>
    <row r="22141" spans="30:30" x14ac:dyDescent="0.3">
      <c r="AD22141" s="16"/>
    </row>
    <row r="22142" spans="30:30" x14ac:dyDescent="0.3">
      <c r="AD22142" s="16"/>
    </row>
    <row r="22143" spans="30:30" x14ac:dyDescent="0.3">
      <c r="AD22143" s="16"/>
    </row>
    <row r="22144" spans="30:30" x14ac:dyDescent="0.3">
      <c r="AD22144" s="16"/>
    </row>
    <row r="22145" spans="30:30" x14ac:dyDescent="0.3">
      <c r="AD22145" s="16"/>
    </row>
    <row r="22146" spans="30:30" x14ac:dyDescent="0.3">
      <c r="AD22146" s="16"/>
    </row>
    <row r="22147" spans="30:30" x14ac:dyDescent="0.3">
      <c r="AD22147" s="16"/>
    </row>
    <row r="22148" spans="30:30" x14ac:dyDescent="0.3">
      <c r="AD22148" s="16"/>
    </row>
    <row r="22149" spans="30:30" x14ac:dyDescent="0.3">
      <c r="AD22149" s="16"/>
    </row>
    <row r="22150" spans="30:30" x14ac:dyDescent="0.3">
      <c r="AD22150" s="16"/>
    </row>
    <row r="22151" spans="30:30" x14ac:dyDescent="0.3">
      <c r="AD22151" s="16"/>
    </row>
    <row r="22152" spans="30:30" x14ac:dyDescent="0.3">
      <c r="AD22152" s="16"/>
    </row>
    <row r="22153" spans="30:30" x14ac:dyDescent="0.3">
      <c r="AD22153" s="16"/>
    </row>
    <row r="22154" spans="30:30" x14ac:dyDescent="0.3">
      <c r="AD22154" s="16"/>
    </row>
    <row r="22155" spans="30:30" x14ac:dyDescent="0.3">
      <c r="AD22155" s="16"/>
    </row>
    <row r="22156" spans="30:30" x14ac:dyDescent="0.3">
      <c r="AD22156" s="16"/>
    </row>
    <row r="22157" spans="30:30" x14ac:dyDescent="0.3">
      <c r="AD22157" s="16"/>
    </row>
    <row r="22158" spans="30:30" x14ac:dyDescent="0.3">
      <c r="AD22158" s="16"/>
    </row>
    <row r="22159" spans="30:30" x14ac:dyDescent="0.3">
      <c r="AD22159" s="16"/>
    </row>
    <row r="22160" spans="30:30" x14ac:dyDescent="0.3">
      <c r="AD22160" s="16"/>
    </row>
    <row r="22161" spans="30:30" x14ac:dyDescent="0.3">
      <c r="AD22161" s="16"/>
    </row>
    <row r="22162" spans="30:30" x14ac:dyDescent="0.3">
      <c r="AD22162" s="16"/>
    </row>
    <row r="22163" spans="30:30" x14ac:dyDescent="0.3">
      <c r="AD22163" s="16"/>
    </row>
    <row r="22164" spans="30:30" x14ac:dyDescent="0.3">
      <c r="AD22164" s="16"/>
    </row>
    <row r="22165" spans="30:30" x14ac:dyDescent="0.3">
      <c r="AD22165" s="16"/>
    </row>
    <row r="22166" spans="30:30" x14ac:dyDescent="0.3">
      <c r="AD22166" s="16"/>
    </row>
    <row r="22167" spans="30:30" x14ac:dyDescent="0.3">
      <c r="AD22167" s="16"/>
    </row>
    <row r="22168" spans="30:30" x14ac:dyDescent="0.3">
      <c r="AD22168" s="16"/>
    </row>
    <row r="22169" spans="30:30" x14ac:dyDescent="0.3">
      <c r="AD22169" s="16"/>
    </row>
    <row r="22170" spans="30:30" x14ac:dyDescent="0.3">
      <c r="AD22170" s="16"/>
    </row>
    <row r="22171" spans="30:30" x14ac:dyDescent="0.3">
      <c r="AD22171" s="16"/>
    </row>
    <row r="22172" spans="30:30" x14ac:dyDescent="0.3">
      <c r="AD22172" s="16"/>
    </row>
    <row r="22173" spans="30:30" x14ac:dyDescent="0.3">
      <c r="AD22173" s="16"/>
    </row>
    <row r="22174" spans="30:30" x14ac:dyDescent="0.3">
      <c r="AD22174" s="16"/>
    </row>
    <row r="22175" spans="30:30" x14ac:dyDescent="0.3">
      <c r="AD22175" s="16"/>
    </row>
    <row r="22176" spans="30:30" x14ac:dyDescent="0.3">
      <c r="AD22176" s="16"/>
    </row>
    <row r="22177" spans="30:30" x14ac:dyDescent="0.3">
      <c r="AD22177" s="16"/>
    </row>
    <row r="22178" spans="30:30" x14ac:dyDescent="0.3">
      <c r="AD22178" s="16"/>
    </row>
    <row r="22179" spans="30:30" x14ac:dyDescent="0.3">
      <c r="AD22179" s="16"/>
    </row>
    <row r="22180" spans="30:30" x14ac:dyDescent="0.3">
      <c r="AD22180" s="16"/>
    </row>
    <row r="22181" spans="30:30" x14ac:dyDescent="0.3">
      <c r="AD22181" s="16"/>
    </row>
    <row r="22182" spans="30:30" x14ac:dyDescent="0.3">
      <c r="AD22182" s="16"/>
    </row>
    <row r="22183" spans="30:30" x14ac:dyDescent="0.3">
      <c r="AD22183" s="16"/>
    </row>
    <row r="22184" spans="30:30" x14ac:dyDescent="0.3">
      <c r="AD22184" s="16"/>
    </row>
    <row r="22185" spans="30:30" x14ac:dyDescent="0.3">
      <c r="AD22185" s="16"/>
    </row>
    <row r="22186" spans="30:30" x14ac:dyDescent="0.3">
      <c r="AD22186" s="16"/>
    </row>
    <row r="22187" spans="30:30" x14ac:dyDescent="0.3">
      <c r="AD22187" s="16"/>
    </row>
    <row r="22188" spans="30:30" x14ac:dyDescent="0.3">
      <c r="AD22188" s="16"/>
    </row>
    <row r="22189" spans="30:30" x14ac:dyDescent="0.3">
      <c r="AD22189" s="16"/>
    </row>
    <row r="22190" spans="30:30" x14ac:dyDescent="0.3">
      <c r="AD22190" s="16"/>
    </row>
    <row r="22191" spans="30:30" x14ac:dyDescent="0.3">
      <c r="AD22191" s="16"/>
    </row>
    <row r="22192" spans="30:30" x14ac:dyDescent="0.3">
      <c r="AD22192" s="16"/>
    </row>
    <row r="22193" spans="30:30" x14ac:dyDescent="0.3">
      <c r="AD22193" s="16"/>
    </row>
    <row r="22194" spans="30:30" x14ac:dyDescent="0.3">
      <c r="AD22194" s="16"/>
    </row>
    <row r="22195" spans="30:30" x14ac:dyDescent="0.3">
      <c r="AD22195" s="16"/>
    </row>
    <row r="22196" spans="30:30" x14ac:dyDescent="0.3">
      <c r="AD22196" s="16"/>
    </row>
    <row r="22197" spans="30:30" x14ac:dyDescent="0.3">
      <c r="AD22197" s="16"/>
    </row>
    <row r="22198" spans="30:30" x14ac:dyDescent="0.3">
      <c r="AD22198" s="16"/>
    </row>
    <row r="22199" spans="30:30" x14ac:dyDescent="0.3">
      <c r="AD22199" s="16"/>
    </row>
    <row r="22200" spans="30:30" x14ac:dyDescent="0.3">
      <c r="AD22200" s="16"/>
    </row>
    <row r="22201" spans="30:30" x14ac:dyDescent="0.3">
      <c r="AD22201" s="16"/>
    </row>
    <row r="22202" spans="30:30" x14ac:dyDescent="0.3">
      <c r="AD22202" s="16"/>
    </row>
    <row r="22203" spans="30:30" x14ac:dyDescent="0.3">
      <c r="AD22203" s="16"/>
    </row>
    <row r="22204" spans="30:30" x14ac:dyDescent="0.3">
      <c r="AD22204" s="16"/>
    </row>
    <row r="22205" spans="30:30" x14ac:dyDescent="0.3">
      <c r="AD22205" s="16"/>
    </row>
    <row r="22206" spans="30:30" x14ac:dyDescent="0.3">
      <c r="AD22206" s="16"/>
    </row>
    <row r="22207" spans="30:30" x14ac:dyDescent="0.3">
      <c r="AD22207" s="16"/>
    </row>
    <row r="22208" spans="30:30" x14ac:dyDescent="0.3">
      <c r="AD22208" s="16"/>
    </row>
    <row r="22209" spans="30:30" x14ac:dyDescent="0.3">
      <c r="AD22209" s="16"/>
    </row>
    <row r="22210" spans="30:30" x14ac:dyDescent="0.3">
      <c r="AD22210" s="16"/>
    </row>
    <row r="22211" spans="30:30" x14ac:dyDescent="0.3">
      <c r="AD22211" s="16"/>
    </row>
    <row r="22212" spans="30:30" x14ac:dyDescent="0.3">
      <c r="AD22212" s="16"/>
    </row>
    <row r="22213" spans="30:30" x14ac:dyDescent="0.3">
      <c r="AD22213" s="16"/>
    </row>
    <row r="22214" spans="30:30" x14ac:dyDescent="0.3">
      <c r="AD22214" s="16"/>
    </row>
    <row r="22215" spans="30:30" x14ac:dyDescent="0.3">
      <c r="AD22215" s="16"/>
    </row>
    <row r="22216" spans="30:30" x14ac:dyDescent="0.3">
      <c r="AD22216" s="16"/>
    </row>
    <row r="22217" spans="30:30" x14ac:dyDescent="0.3">
      <c r="AD22217" s="16"/>
    </row>
    <row r="22218" spans="30:30" x14ac:dyDescent="0.3">
      <c r="AD22218" s="16"/>
    </row>
    <row r="22219" spans="30:30" x14ac:dyDescent="0.3">
      <c r="AD22219" s="16"/>
    </row>
    <row r="22220" spans="30:30" x14ac:dyDescent="0.3">
      <c r="AD22220" s="16"/>
    </row>
    <row r="22221" spans="30:30" x14ac:dyDescent="0.3">
      <c r="AD22221" s="16"/>
    </row>
    <row r="22222" spans="30:30" x14ac:dyDescent="0.3">
      <c r="AD22222" s="16"/>
    </row>
    <row r="22223" spans="30:30" x14ac:dyDescent="0.3">
      <c r="AD22223" s="16"/>
    </row>
    <row r="22224" spans="30:30" x14ac:dyDescent="0.3">
      <c r="AD22224" s="16"/>
    </row>
    <row r="22225" spans="30:30" x14ac:dyDescent="0.3">
      <c r="AD22225" s="16"/>
    </row>
    <row r="22226" spans="30:30" x14ac:dyDescent="0.3">
      <c r="AD22226" s="16"/>
    </row>
    <row r="22227" spans="30:30" x14ac:dyDescent="0.3">
      <c r="AD22227" s="16"/>
    </row>
    <row r="22228" spans="30:30" x14ac:dyDescent="0.3">
      <c r="AD22228" s="16"/>
    </row>
    <row r="22229" spans="30:30" x14ac:dyDescent="0.3">
      <c r="AD22229" s="16"/>
    </row>
    <row r="22230" spans="30:30" x14ac:dyDescent="0.3">
      <c r="AD22230" s="16"/>
    </row>
    <row r="22231" spans="30:30" x14ac:dyDescent="0.3">
      <c r="AD22231" s="16"/>
    </row>
    <row r="22232" spans="30:30" x14ac:dyDescent="0.3">
      <c r="AD22232" s="16"/>
    </row>
    <row r="22233" spans="30:30" x14ac:dyDescent="0.3">
      <c r="AD22233" s="16"/>
    </row>
    <row r="22234" spans="30:30" x14ac:dyDescent="0.3">
      <c r="AD22234" s="16"/>
    </row>
    <row r="22235" spans="30:30" x14ac:dyDescent="0.3">
      <c r="AD22235" s="16"/>
    </row>
    <row r="22236" spans="30:30" x14ac:dyDescent="0.3">
      <c r="AD22236" s="16"/>
    </row>
    <row r="22237" spans="30:30" x14ac:dyDescent="0.3">
      <c r="AD22237" s="16"/>
    </row>
    <row r="22238" spans="30:30" x14ac:dyDescent="0.3">
      <c r="AD22238" s="16"/>
    </row>
    <row r="22239" spans="30:30" x14ac:dyDescent="0.3">
      <c r="AD22239" s="16"/>
    </row>
    <row r="22240" spans="30:30" x14ac:dyDescent="0.3">
      <c r="AD22240" s="16"/>
    </row>
    <row r="22241" spans="30:30" x14ac:dyDescent="0.3">
      <c r="AD22241" s="16"/>
    </row>
    <row r="22242" spans="30:30" x14ac:dyDescent="0.3">
      <c r="AD22242" s="16"/>
    </row>
    <row r="22243" spans="30:30" x14ac:dyDescent="0.3">
      <c r="AD22243" s="16"/>
    </row>
    <row r="22244" spans="30:30" x14ac:dyDescent="0.3">
      <c r="AD22244" s="16"/>
    </row>
    <row r="22245" spans="30:30" x14ac:dyDescent="0.3">
      <c r="AD22245" s="16"/>
    </row>
    <row r="22246" spans="30:30" x14ac:dyDescent="0.3">
      <c r="AD22246" s="16"/>
    </row>
    <row r="22247" spans="30:30" x14ac:dyDescent="0.3">
      <c r="AD22247" s="16"/>
    </row>
    <row r="22248" spans="30:30" x14ac:dyDescent="0.3">
      <c r="AD22248" s="16"/>
    </row>
    <row r="22249" spans="30:30" x14ac:dyDescent="0.3">
      <c r="AD22249" s="16"/>
    </row>
    <row r="22250" spans="30:30" x14ac:dyDescent="0.3">
      <c r="AD22250" s="16"/>
    </row>
    <row r="22251" spans="30:30" x14ac:dyDescent="0.3">
      <c r="AD22251" s="16"/>
    </row>
    <row r="22252" spans="30:30" x14ac:dyDescent="0.3">
      <c r="AD22252" s="16"/>
    </row>
    <row r="22253" spans="30:30" x14ac:dyDescent="0.3">
      <c r="AD22253" s="16"/>
    </row>
    <row r="22254" spans="30:30" x14ac:dyDescent="0.3">
      <c r="AD22254" s="16"/>
    </row>
    <row r="22255" spans="30:30" x14ac:dyDescent="0.3">
      <c r="AD22255" s="16"/>
    </row>
    <row r="22256" spans="30:30" x14ac:dyDescent="0.3">
      <c r="AD22256" s="16"/>
    </row>
    <row r="22257" spans="30:30" x14ac:dyDescent="0.3">
      <c r="AD22257" s="16"/>
    </row>
    <row r="22258" spans="30:30" x14ac:dyDescent="0.3">
      <c r="AD22258" s="16"/>
    </row>
    <row r="22259" spans="30:30" x14ac:dyDescent="0.3">
      <c r="AD22259" s="16"/>
    </row>
    <row r="22260" spans="30:30" x14ac:dyDescent="0.3">
      <c r="AD22260" s="16"/>
    </row>
    <row r="22261" spans="30:30" x14ac:dyDescent="0.3">
      <c r="AD22261" s="16"/>
    </row>
    <row r="22262" spans="30:30" x14ac:dyDescent="0.3">
      <c r="AD22262" s="16"/>
    </row>
    <row r="22263" spans="30:30" x14ac:dyDescent="0.3">
      <c r="AD22263" s="16"/>
    </row>
    <row r="22264" spans="30:30" x14ac:dyDescent="0.3">
      <c r="AD22264" s="16"/>
    </row>
    <row r="22265" spans="30:30" x14ac:dyDescent="0.3">
      <c r="AD22265" s="16"/>
    </row>
    <row r="22266" spans="30:30" x14ac:dyDescent="0.3">
      <c r="AD22266" s="16"/>
    </row>
    <row r="22267" spans="30:30" x14ac:dyDescent="0.3">
      <c r="AD22267" s="16"/>
    </row>
    <row r="22268" spans="30:30" x14ac:dyDescent="0.3">
      <c r="AD22268" s="16"/>
    </row>
    <row r="22269" spans="30:30" x14ac:dyDescent="0.3">
      <c r="AD22269" s="16"/>
    </row>
    <row r="22270" spans="30:30" x14ac:dyDescent="0.3">
      <c r="AD22270" s="16"/>
    </row>
    <row r="22271" spans="30:30" x14ac:dyDescent="0.3">
      <c r="AD22271" s="16"/>
    </row>
    <row r="22272" spans="30:30" x14ac:dyDescent="0.3">
      <c r="AD22272" s="16"/>
    </row>
    <row r="22273" spans="30:30" x14ac:dyDescent="0.3">
      <c r="AD22273" s="16"/>
    </row>
    <row r="22274" spans="30:30" x14ac:dyDescent="0.3">
      <c r="AD22274" s="16"/>
    </row>
    <row r="22275" spans="30:30" x14ac:dyDescent="0.3">
      <c r="AD22275" s="16"/>
    </row>
    <row r="22276" spans="30:30" x14ac:dyDescent="0.3">
      <c r="AD22276" s="16"/>
    </row>
    <row r="22277" spans="30:30" x14ac:dyDescent="0.3">
      <c r="AD22277" s="16"/>
    </row>
    <row r="22278" spans="30:30" x14ac:dyDescent="0.3">
      <c r="AD22278" s="16"/>
    </row>
    <row r="22279" spans="30:30" x14ac:dyDescent="0.3">
      <c r="AD22279" s="16"/>
    </row>
    <row r="22280" spans="30:30" x14ac:dyDescent="0.3">
      <c r="AD22280" s="16"/>
    </row>
    <row r="22281" spans="30:30" x14ac:dyDescent="0.3">
      <c r="AD22281" s="16"/>
    </row>
    <row r="22282" spans="30:30" x14ac:dyDescent="0.3">
      <c r="AD22282" s="16"/>
    </row>
    <row r="22283" spans="30:30" x14ac:dyDescent="0.3">
      <c r="AD22283" s="16"/>
    </row>
    <row r="22284" spans="30:30" x14ac:dyDescent="0.3">
      <c r="AD22284" s="16"/>
    </row>
    <row r="22285" spans="30:30" x14ac:dyDescent="0.3">
      <c r="AD22285" s="16"/>
    </row>
    <row r="22286" spans="30:30" x14ac:dyDescent="0.3">
      <c r="AD22286" s="16"/>
    </row>
    <row r="22287" spans="30:30" x14ac:dyDescent="0.3">
      <c r="AD22287" s="16"/>
    </row>
    <row r="22288" spans="30:30" x14ac:dyDescent="0.3">
      <c r="AD22288" s="16"/>
    </row>
    <row r="22289" spans="30:30" x14ac:dyDescent="0.3">
      <c r="AD22289" s="16"/>
    </row>
    <row r="22290" spans="30:30" x14ac:dyDescent="0.3">
      <c r="AD22290" s="16"/>
    </row>
    <row r="22291" spans="30:30" x14ac:dyDescent="0.3">
      <c r="AD22291" s="16"/>
    </row>
    <row r="22292" spans="30:30" x14ac:dyDescent="0.3">
      <c r="AD22292" s="16"/>
    </row>
    <row r="22293" spans="30:30" x14ac:dyDescent="0.3">
      <c r="AD22293" s="16"/>
    </row>
    <row r="22294" spans="30:30" x14ac:dyDescent="0.3">
      <c r="AD22294" s="16"/>
    </row>
    <row r="22295" spans="30:30" x14ac:dyDescent="0.3">
      <c r="AD22295" s="16"/>
    </row>
    <row r="22296" spans="30:30" x14ac:dyDescent="0.3">
      <c r="AD22296" s="16"/>
    </row>
    <row r="22297" spans="30:30" x14ac:dyDescent="0.3">
      <c r="AD22297" s="16"/>
    </row>
    <row r="22298" spans="30:30" x14ac:dyDescent="0.3">
      <c r="AD22298" s="16"/>
    </row>
    <row r="22299" spans="30:30" x14ac:dyDescent="0.3">
      <c r="AD22299" s="16"/>
    </row>
    <row r="22300" spans="30:30" x14ac:dyDescent="0.3">
      <c r="AD22300" s="16"/>
    </row>
    <row r="22301" spans="30:30" x14ac:dyDescent="0.3">
      <c r="AD22301" s="16"/>
    </row>
    <row r="22302" spans="30:30" x14ac:dyDescent="0.3">
      <c r="AD22302" s="16"/>
    </row>
    <row r="22303" spans="30:30" x14ac:dyDescent="0.3">
      <c r="AD22303" s="16"/>
    </row>
    <row r="22304" spans="30:30" x14ac:dyDescent="0.3">
      <c r="AD22304" s="16"/>
    </row>
    <row r="22305" spans="30:30" x14ac:dyDescent="0.3">
      <c r="AD22305" s="16"/>
    </row>
    <row r="22306" spans="30:30" x14ac:dyDescent="0.3">
      <c r="AD22306" s="16"/>
    </row>
    <row r="22307" spans="30:30" x14ac:dyDescent="0.3">
      <c r="AD22307" s="16"/>
    </row>
    <row r="22308" spans="30:30" x14ac:dyDescent="0.3">
      <c r="AD22308" s="16"/>
    </row>
    <row r="22309" spans="30:30" x14ac:dyDescent="0.3">
      <c r="AD22309" s="16"/>
    </row>
    <row r="22310" spans="30:30" x14ac:dyDescent="0.3">
      <c r="AD22310" s="16"/>
    </row>
    <row r="22311" spans="30:30" x14ac:dyDescent="0.3">
      <c r="AD22311" s="16"/>
    </row>
    <row r="22312" spans="30:30" x14ac:dyDescent="0.3">
      <c r="AD22312" s="16"/>
    </row>
    <row r="22313" spans="30:30" x14ac:dyDescent="0.3">
      <c r="AD22313" s="16"/>
    </row>
    <row r="22314" spans="30:30" x14ac:dyDescent="0.3">
      <c r="AD22314" s="16"/>
    </row>
    <row r="22315" spans="30:30" x14ac:dyDescent="0.3">
      <c r="AD22315" s="16"/>
    </row>
    <row r="22316" spans="30:30" x14ac:dyDescent="0.3">
      <c r="AD22316" s="16"/>
    </row>
    <row r="22317" spans="30:30" x14ac:dyDescent="0.3">
      <c r="AD22317" s="16"/>
    </row>
    <row r="22318" spans="30:30" x14ac:dyDescent="0.3">
      <c r="AD22318" s="16"/>
    </row>
    <row r="22319" spans="30:30" x14ac:dyDescent="0.3">
      <c r="AD22319" s="16"/>
    </row>
    <row r="22320" spans="30:30" x14ac:dyDescent="0.3">
      <c r="AD22320" s="16"/>
    </row>
    <row r="22321" spans="30:30" x14ac:dyDescent="0.3">
      <c r="AD22321" s="16"/>
    </row>
    <row r="22322" spans="30:30" x14ac:dyDescent="0.3">
      <c r="AD22322" s="16"/>
    </row>
    <row r="22323" spans="30:30" x14ac:dyDescent="0.3">
      <c r="AD22323" s="16"/>
    </row>
    <row r="22324" spans="30:30" x14ac:dyDescent="0.3">
      <c r="AD22324" s="16"/>
    </row>
    <row r="22325" spans="30:30" x14ac:dyDescent="0.3">
      <c r="AD22325" s="16"/>
    </row>
    <row r="22326" spans="30:30" x14ac:dyDescent="0.3">
      <c r="AD22326" s="16"/>
    </row>
    <row r="22327" spans="30:30" x14ac:dyDescent="0.3">
      <c r="AD22327" s="16"/>
    </row>
    <row r="22328" spans="30:30" x14ac:dyDescent="0.3">
      <c r="AD22328" s="16"/>
    </row>
    <row r="22329" spans="30:30" x14ac:dyDescent="0.3">
      <c r="AD22329" s="16"/>
    </row>
    <row r="22330" spans="30:30" x14ac:dyDescent="0.3">
      <c r="AD22330" s="16"/>
    </row>
    <row r="22331" spans="30:30" x14ac:dyDescent="0.3">
      <c r="AD22331" s="16"/>
    </row>
    <row r="22332" spans="30:30" x14ac:dyDescent="0.3">
      <c r="AD22332" s="16"/>
    </row>
    <row r="22333" spans="30:30" x14ac:dyDescent="0.3">
      <c r="AD22333" s="16"/>
    </row>
    <row r="22334" spans="30:30" x14ac:dyDescent="0.3">
      <c r="AD22334" s="16"/>
    </row>
    <row r="22335" spans="30:30" x14ac:dyDescent="0.3">
      <c r="AD22335" s="16"/>
    </row>
    <row r="22336" spans="30:30" x14ac:dyDescent="0.3">
      <c r="AD22336" s="16"/>
    </row>
    <row r="22337" spans="30:30" x14ac:dyDescent="0.3">
      <c r="AD22337" s="16"/>
    </row>
    <row r="22338" spans="30:30" x14ac:dyDescent="0.3">
      <c r="AD22338" s="16"/>
    </row>
    <row r="22339" spans="30:30" x14ac:dyDescent="0.3">
      <c r="AD22339" s="16"/>
    </row>
    <row r="22340" spans="30:30" x14ac:dyDescent="0.3">
      <c r="AD22340" s="16"/>
    </row>
    <row r="22341" spans="30:30" x14ac:dyDescent="0.3">
      <c r="AD22341" s="16"/>
    </row>
    <row r="22342" spans="30:30" x14ac:dyDescent="0.3">
      <c r="AD22342" s="16"/>
    </row>
    <row r="22343" spans="30:30" x14ac:dyDescent="0.3">
      <c r="AD22343" s="16"/>
    </row>
    <row r="22344" spans="30:30" x14ac:dyDescent="0.3">
      <c r="AD22344" s="16"/>
    </row>
    <row r="22345" spans="30:30" x14ac:dyDescent="0.3">
      <c r="AD22345" s="16"/>
    </row>
    <row r="22346" spans="30:30" x14ac:dyDescent="0.3">
      <c r="AD22346" s="16"/>
    </row>
    <row r="22347" spans="30:30" x14ac:dyDescent="0.3">
      <c r="AD22347" s="16"/>
    </row>
    <row r="22348" spans="30:30" x14ac:dyDescent="0.3">
      <c r="AD22348" s="16"/>
    </row>
    <row r="22349" spans="30:30" x14ac:dyDescent="0.3">
      <c r="AD22349" s="16"/>
    </row>
    <row r="22350" spans="30:30" x14ac:dyDescent="0.3">
      <c r="AD22350" s="16"/>
    </row>
    <row r="22351" spans="30:30" x14ac:dyDescent="0.3">
      <c r="AD22351" s="16"/>
    </row>
    <row r="22352" spans="30:30" x14ac:dyDescent="0.3">
      <c r="AD22352" s="16"/>
    </row>
    <row r="22353" spans="30:30" x14ac:dyDescent="0.3">
      <c r="AD22353" s="16"/>
    </row>
    <row r="22354" spans="30:30" x14ac:dyDescent="0.3">
      <c r="AD22354" s="16"/>
    </row>
    <row r="22355" spans="30:30" x14ac:dyDescent="0.3">
      <c r="AD22355" s="16"/>
    </row>
    <row r="22356" spans="30:30" x14ac:dyDescent="0.3">
      <c r="AD22356" s="16"/>
    </row>
    <row r="22357" spans="30:30" x14ac:dyDescent="0.3">
      <c r="AD22357" s="16"/>
    </row>
    <row r="22358" spans="30:30" x14ac:dyDescent="0.3">
      <c r="AD22358" s="16"/>
    </row>
    <row r="22359" spans="30:30" x14ac:dyDescent="0.3">
      <c r="AD22359" s="16"/>
    </row>
    <row r="22360" spans="30:30" x14ac:dyDescent="0.3">
      <c r="AD22360" s="16"/>
    </row>
    <row r="22361" spans="30:30" x14ac:dyDescent="0.3">
      <c r="AD22361" s="16"/>
    </row>
    <row r="22362" spans="30:30" x14ac:dyDescent="0.3">
      <c r="AD22362" s="16"/>
    </row>
    <row r="22363" spans="30:30" x14ac:dyDescent="0.3">
      <c r="AD22363" s="16"/>
    </row>
    <row r="22364" spans="30:30" x14ac:dyDescent="0.3">
      <c r="AD22364" s="16"/>
    </row>
    <row r="22365" spans="30:30" x14ac:dyDescent="0.3">
      <c r="AD22365" s="16"/>
    </row>
    <row r="22366" spans="30:30" x14ac:dyDescent="0.3">
      <c r="AD22366" s="16"/>
    </row>
    <row r="22367" spans="30:30" x14ac:dyDescent="0.3">
      <c r="AD22367" s="16"/>
    </row>
    <row r="22368" spans="30:30" x14ac:dyDescent="0.3">
      <c r="AD22368" s="16"/>
    </row>
    <row r="22369" spans="30:30" x14ac:dyDescent="0.3">
      <c r="AD22369" s="16"/>
    </row>
    <row r="22370" spans="30:30" x14ac:dyDescent="0.3">
      <c r="AD22370" s="16"/>
    </row>
    <row r="22371" spans="30:30" x14ac:dyDescent="0.3">
      <c r="AD22371" s="16"/>
    </row>
    <row r="22372" spans="30:30" x14ac:dyDescent="0.3">
      <c r="AD22372" s="16"/>
    </row>
    <row r="22373" spans="30:30" x14ac:dyDescent="0.3">
      <c r="AD22373" s="16"/>
    </row>
    <row r="22374" spans="30:30" x14ac:dyDescent="0.3">
      <c r="AD22374" s="16"/>
    </row>
    <row r="22375" spans="30:30" x14ac:dyDescent="0.3">
      <c r="AD22375" s="16"/>
    </row>
    <row r="22376" spans="30:30" x14ac:dyDescent="0.3">
      <c r="AD22376" s="16"/>
    </row>
    <row r="22377" spans="30:30" x14ac:dyDescent="0.3">
      <c r="AD22377" s="16"/>
    </row>
    <row r="22378" spans="30:30" x14ac:dyDescent="0.3">
      <c r="AD22378" s="16"/>
    </row>
    <row r="22379" spans="30:30" x14ac:dyDescent="0.3">
      <c r="AD22379" s="16"/>
    </row>
    <row r="22380" spans="30:30" x14ac:dyDescent="0.3">
      <c r="AD22380" s="16"/>
    </row>
    <row r="22381" spans="30:30" x14ac:dyDescent="0.3">
      <c r="AD22381" s="16"/>
    </row>
    <row r="22382" spans="30:30" x14ac:dyDescent="0.3">
      <c r="AD22382" s="16"/>
    </row>
    <row r="22383" spans="30:30" x14ac:dyDescent="0.3">
      <c r="AD22383" s="16"/>
    </row>
    <row r="22384" spans="30:30" x14ac:dyDescent="0.3">
      <c r="AD22384" s="16"/>
    </row>
    <row r="22385" spans="30:30" x14ac:dyDescent="0.3">
      <c r="AD22385" s="16"/>
    </row>
    <row r="22386" spans="30:30" x14ac:dyDescent="0.3">
      <c r="AD22386" s="16"/>
    </row>
    <row r="22387" spans="30:30" x14ac:dyDescent="0.3">
      <c r="AD22387" s="16"/>
    </row>
    <row r="22388" spans="30:30" x14ac:dyDescent="0.3">
      <c r="AD22388" s="16"/>
    </row>
    <row r="22389" spans="30:30" x14ac:dyDescent="0.3">
      <c r="AD22389" s="16"/>
    </row>
    <row r="22390" spans="30:30" x14ac:dyDescent="0.3">
      <c r="AD22390" s="16"/>
    </row>
    <row r="22391" spans="30:30" x14ac:dyDescent="0.3">
      <c r="AD22391" s="16"/>
    </row>
    <row r="22392" spans="30:30" x14ac:dyDescent="0.3">
      <c r="AD22392" s="16"/>
    </row>
    <row r="22393" spans="30:30" x14ac:dyDescent="0.3">
      <c r="AD22393" s="16"/>
    </row>
    <row r="22394" spans="30:30" x14ac:dyDescent="0.3">
      <c r="AD22394" s="16"/>
    </row>
    <row r="22395" spans="30:30" x14ac:dyDescent="0.3">
      <c r="AD22395" s="16"/>
    </row>
    <row r="22396" spans="30:30" x14ac:dyDescent="0.3">
      <c r="AD22396" s="16"/>
    </row>
    <row r="22397" spans="30:30" x14ac:dyDescent="0.3">
      <c r="AD22397" s="16"/>
    </row>
    <row r="22398" spans="30:30" x14ac:dyDescent="0.3">
      <c r="AD22398" s="16"/>
    </row>
    <row r="22399" spans="30:30" x14ac:dyDescent="0.3">
      <c r="AD22399" s="16"/>
    </row>
    <row r="22400" spans="30:30" x14ac:dyDescent="0.3">
      <c r="AD22400" s="16"/>
    </row>
    <row r="22401" spans="30:30" x14ac:dyDescent="0.3">
      <c r="AD22401" s="16"/>
    </row>
    <row r="22402" spans="30:30" x14ac:dyDescent="0.3">
      <c r="AD22402" s="16"/>
    </row>
    <row r="22403" spans="30:30" x14ac:dyDescent="0.3">
      <c r="AD22403" s="16"/>
    </row>
    <row r="22404" spans="30:30" x14ac:dyDescent="0.3">
      <c r="AD22404" s="16"/>
    </row>
    <row r="22405" spans="30:30" x14ac:dyDescent="0.3">
      <c r="AD22405" s="16"/>
    </row>
    <row r="22406" spans="30:30" x14ac:dyDescent="0.3">
      <c r="AD22406" s="16"/>
    </row>
    <row r="22407" spans="30:30" x14ac:dyDescent="0.3">
      <c r="AD22407" s="16"/>
    </row>
    <row r="22408" spans="30:30" x14ac:dyDescent="0.3">
      <c r="AD22408" s="16"/>
    </row>
    <row r="22409" spans="30:30" x14ac:dyDescent="0.3">
      <c r="AD22409" s="16"/>
    </row>
    <row r="22410" spans="30:30" x14ac:dyDescent="0.3">
      <c r="AD22410" s="16"/>
    </row>
    <row r="22411" spans="30:30" x14ac:dyDescent="0.3">
      <c r="AD22411" s="16"/>
    </row>
    <row r="22412" spans="30:30" x14ac:dyDescent="0.3">
      <c r="AD22412" s="16"/>
    </row>
    <row r="22413" spans="30:30" x14ac:dyDescent="0.3">
      <c r="AD22413" s="16"/>
    </row>
    <row r="22414" spans="30:30" x14ac:dyDescent="0.3">
      <c r="AD22414" s="16"/>
    </row>
    <row r="22415" spans="30:30" x14ac:dyDescent="0.3">
      <c r="AD22415" s="16"/>
    </row>
    <row r="22416" spans="30:30" x14ac:dyDescent="0.3">
      <c r="AD22416" s="16"/>
    </row>
    <row r="22417" spans="30:30" x14ac:dyDescent="0.3">
      <c r="AD22417" s="16"/>
    </row>
    <row r="22418" spans="30:30" x14ac:dyDescent="0.3">
      <c r="AD22418" s="16"/>
    </row>
    <row r="22419" spans="30:30" x14ac:dyDescent="0.3">
      <c r="AD22419" s="16"/>
    </row>
    <row r="22420" spans="30:30" x14ac:dyDescent="0.3">
      <c r="AD22420" s="16"/>
    </row>
    <row r="22421" spans="30:30" x14ac:dyDescent="0.3">
      <c r="AD22421" s="16"/>
    </row>
    <row r="22422" spans="30:30" x14ac:dyDescent="0.3">
      <c r="AD22422" s="16"/>
    </row>
    <row r="22423" spans="30:30" x14ac:dyDescent="0.3">
      <c r="AD22423" s="16"/>
    </row>
    <row r="22424" spans="30:30" x14ac:dyDescent="0.3">
      <c r="AD22424" s="16"/>
    </row>
    <row r="22425" spans="30:30" x14ac:dyDescent="0.3">
      <c r="AD22425" s="16"/>
    </row>
    <row r="22426" spans="30:30" x14ac:dyDescent="0.3">
      <c r="AD22426" s="16"/>
    </row>
    <row r="22427" spans="30:30" x14ac:dyDescent="0.3">
      <c r="AD22427" s="16"/>
    </row>
    <row r="22428" spans="30:30" x14ac:dyDescent="0.3">
      <c r="AD22428" s="16"/>
    </row>
    <row r="22429" spans="30:30" x14ac:dyDescent="0.3">
      <c r="AD22429" s="16"/>
    </row>
    <row r="22430" spans="30:30" x14ac:dyDescent="0.3">
      <c r="AD22430" s="16"/>
    </row>
    <row r="22431" spans="30:30" x14ac:dyDescent="0.3">
      <c r="AD22431" s="16"/>
    </row>
    <row r="22432" spans="30:30" x14ac:dyDescent="0.3">
      <c r="AD22432" s="16"/>
    </row>
    <row r="22433" spans="30:30" x14ac:dyDescent="0.3">
      <c r="AD22433" s="16"/>
    </row>
    <row r="22434" spans="30:30" x14ac:dyDescent="0.3">
      <c r="AD22434" s="16"/>
    </row>
    <row r="22435" spans="30:30" x14ac:dyDescent="0.3">
      <c r="AD22435" s="16"/>
    </row>
    <row r="22436" spans="30:30" x14ac:dyDescent="0.3">
      <c r="AD22436" s="16"/>
    </row>
    <row r="22437" spans="30:30" x14ac:dyDescent="0.3">
      <c r="AD22437" s="16"/>
    </row>
    <row r="22438" spans="30:30" x14ac:dyDescent="0.3">
      <c r="AD22438" s="16"/>
    </row>
    <row r="22439" spans="30:30" x14ac:dyDescent="0.3">
      <c r="AD22439" s="16"/>
    </row>
    <row r="22440" spans="30:30" x14ac:dyDescent="0.3">
      <c r="AD22440" s="16"/>
    </row>
    <row r="22441" spans="30:30" x14ac:dyDescent="0.3">
      <c r="AD22441" s="16"/>
    </row>
    <row r="22442" spans="30:30" x14ac:dyDescent="0.3">
      <c r="AD22442" s="16"/>
    </row>
    <row r="22443" spans="30:30" x14ac:dyDescent="0.3">
      <c r="AD22443" s="16"/>
    </row>
    <row r="22444" spans="30:30" x14ac:dyDescent="0.3">
      <c r="AD22444" s="16"/>
    </row>
    <row r="22445" spans="30:30" x14ac:dyDescent="0.3">
      <c r="AD22445" s="16"/>
    </row>
    <row r="22446" spans="30:30" x14ac:dyDescent="0.3">
      <c r="AD22446" s="16"/>
    </row>
    <row r="22447" spans="30:30" x14ac:dyDescent="0.3">
      <c r="AD22447" s="16"/>
    </row>
    <row r="22448" spans="30:30" x14ac:dyDescent="0.3">
      <c r="AD22448" s="16"/>
    </row>
    <row r="22449" spans="30:30" x14ac:dyDescent="0.3">
      <c r="AD22449" s="16"/>
    </row>
    <row r="22450" spans="30:30" x14ac:dyDescent="0.3">
      <c r="AD22450" s="16"/>
    </row>
    <row r="22451" spans="30:30" x14ac:dyDescent="0.3">
      <c r="AD22451" s="16"/>
    </row>
    <row r="22452" spans="30:30" x14ac:dyDescent="0.3">
      <c r="AD22452" s="16"/>
    </row>
    <row r="22453" spans="30:30" x14ac:dyDescent="0.3">
      <c r="AD22453" s="16"/>
    </row>
    <row r="22454" spans="30:30" x14ac:dyDescent="0.3">
      <c r="AD22454" s="16"/>
    </row>
    <row r="22455" spans="30:30" x14ac:dyDescent="0.3">
      <c r="AD22455" s="16"/>
    </row>
    <row r="22456" spans="30:30" x14ac:dyDescent="0.3">
      <c r="AD22456" s="16"/>
    </row>
    <row r="22457" spans="30:30" x14ac:dyDescent="0.3">
      <c r="AD22457" s="16"/>
    </row>
    <row r="22458" spans="30:30" x14ac:dyDescent="0.3">
      <c r="AD22458" s="16"/>
    </row>
    <row r="22459" spans="30:30" x14ac:dyDescent="0.3">
      <c r="AD22459" s="16"/>
    </row>
    <row r="22460" spans="30:30" x14ac:dyDescent="0.3">
      <c r="AD22460" s="16"/>
    </row>
    <row r="22461" spans="30:30" x14ac:dyDescent="0.3">
      <c r="AD22461" s="16"/>
    </row>
    <row r="22462" spans="30:30" x14ac:dyDescent="0.3">
      <c r="AD22462" s="16"/>
    </row>
    <row r="22463" spans="30:30" x14ac:dyDescent="0.3">
      <c r="AD22463" s="16"/>
    </row>
    <row r="22464" spans="30:30" x14ac:dyDescent="0.3">
      <c r="AD22464" s="16"/>
    </row>
    <row r="22465" spans="30:30" x14ac:dyDescent="0.3">
      <c r="AD22465" s="16"/>
    </row>
    <row r="22466" spans="30:30" x14ac:dyDescent="0.3">
      <c r="AD22466" s="16"/>
    </row>
    <row r="22467" spans="30:30" x14ac:dyDescent="0.3">
      <c r="AD22467" s="16"/>
    </row>
    <row r="22468" spans="30:30" x14ac:dyDescent="0.3">
      <c r="AD22468" s="16"/>
    </row>
    <row r="22469" spans="30:30" x14ac:dyDescent="0.3">
      <c r="AD22469" s="16"/>
    </row>
    <row r="22470" spans="30:30" x14ac:dyDescent="0.3">
      <c r="AD22470" s="16"/>
    </row>
    <row r="22471" spans="30:30" x14ac:dyDescent="0.3">
      <c r="AD22471" s="16"/>
    </row>
    <row r="22472" spans="30:30" x14ac:dyDescent="0.3">
      <c r="AD22472" s="16"/>
    </row>
    <row r="22473" spans="30:30" x14ac:dyDescent="0.3">
      <c r="AD22473" s="16"/>
    </row>
    <row r="22474" spans="30:30" x14ac:dyDescent="0.3">
      <c r="AD22474" s="16"/>
    </row>
    <row r="22475" spans="30:30" x14ac:dyDescent="0.3">
      <c r="AD22475" s="16"/>
    </row>
    <row r="22476" spans="30:30" x14ac:dyDescent="0.3">
      <c r="AD22476" s="16"/>
    </row>
    <row r="22477" spans="30:30" x14ac:dyDescent="0.3">
      <c r="AD22477" s="16"/>
    </row>
    <row r="22478" spans="30:30" x14ac:dyDescent="0.3">
      <c r="AD22478" s="16"/>
    </row>
    <row r="22479" spans="30:30" x14ac:dyDescent="0.3">
      <c r="AD22479" s="16"/>
    </row>
    <row r="22480" spans="30:30" x14ac:dyDescent="0.3">
      <c r="AD22480" s="16"/>
    </row>
    <row r="22481" spans="30:30" x14ac:dyDescent="0.3">
      <c r="AD22481" s="16"/>
    </row>
    <row r="22482" spans="30:30" x14ac:dyDescent="0.3">
      <c r="AD22482" s="16"/>
    </row>
    <row r="22483" spans="30:30" x14ac:dyDescent="0.3">
      <c r="AD22483" s="16"/>
    </row>
    <row r="22484" spans="30:30" x14ac:dyDescent="0.3">
      <c r="AD22484" s="16"/>
    </row>
    <row r="22485" spans="30:30" x14ac:dyDescent="0.3">
      <c r="AD22485" s="16"/>
    </row>
    <row r="22486" spans="30:30" x14ac:dyDescent="0.3">
      <c r="AD22486" s="16"/>
    </row>
    <row r="22487" spans="30:30" x14ac:dyDescent="0.3">
      <c r="AD22487" s="16"/>
    </row>
    <row r="22488" spans="30:30" x14ac:dyDescent="0.3">
      <c r="AD22488" s="16"/>
    </row>
    <row r="22489" spans="30:30" x14ac:dyDescent="0.3">
      <c r="AD22489" s="16"/>
    </row>
    <row r="22490" spans="30:30" x14ac:dyDescent="0.3">
      <c r="AD22490" s="16"/>
    </row>
    <row r="22491" spans="30:30" x14ac:dyDescent="0.3">
      <c r="AD22491" s="16"/>
    </row>
    <row r="22492" spans="30:30" x14ac:dyDescent="0.3">
      <c r="AD22492" s="16"/>
    </row>
    <row r="22493" spans="30:30" x14ac:dyDescent="0.3">
      <c r="AD22493" s="16"/>
    </row>
    <row r="22494" spans="30:30" x14ac:dyDescent="0.3">
      <c r="AD22494" s="16"/>
    </row>
    <row r="22495" spans="30:30" x14ac:dyDescent="0.3">
      <c r="AD22495" s="16"/>
    </row>
    <row r="22496" spans="30:30" x14ac:dyDescent="0.3">
      <c r="AD22496" s="16"/>
    </row>
    <row r="22497" spans="30:30" x14ac:dyDescent="0.3">
      <c r="AD22497" s="16"/>
    </row>
    <row r="22498" spans="30:30" x14ac:dyDescent="0.3">
      <c r="AD22498" s="16"/>
    </row>
    <row r="22499" spans="30:30" x14ac:dyDescent="0.3">
      <c r="AD22499" s="16"/>
    </row>
    <row r="22500" spans="30:30" x14ac:dyDescent="0.3">
      <c r="AD22500" s="16"/>
    </row>
    <row r="22501" spans="30:30" x14ac:dyDescent="0.3">
      <c r="AD22501" s="16"/>
    </row>
    <row r="22502" spans="30:30" x14ac:dyDescent="0.3">
      <c r="AD22502" s="16"/>
    </row>
    <row r="22503" spans="30:30" x14ac:dyDescent="0.3">
      <c r="AD22503" s="16"/>
    </row>
    <row r="22504" spans="30:30" x14ac:dyDescent="0.3">
      <c r="AD22504" s="16"/>
    </row>
    <row r="22505" spans="30:30" x14ac:dyDescent="0.3">
      <c r="AD22505" s="16"/>
    </row>
    <row r="22506" spans="30:30" x14ac:dyDescent="0.3">
      <c r="AD22506" s="16"/>
    </row>
    <row r="22507" spans="30:30" x14ac:dyDescent="0.3">
      <c r="AD22507" s="16"/>
    </row>
    <row r="22508" spans="30:30" x14ac:dyDescent="0.3">
      <c r="AD22508" s="16"/>
    </row>
    <row r="22509" spans="30:30" x14ac:dyDescent="0.3">
      <c r="AD22509" s="16"/>
    </row>
    <row r="22510" spans="30:30" x14ac:dyDescent="0.3">
      <c r="AD22510" s="16"/>
    </row>
    <row r="22511" spans="30:30" x14ac:dyDescent="0.3">
      <c r="AD22511" s="16"/>
    </row>
    <row r="22512" spans="30:30" x14ac:dyDescent="0.3">
      <c r="AD22512" s="16"/>
    </row>
    <row r="22513" spans="30:30" x14ac:dyDescent="0.3">
      <c r="AD22513" s="16"/>
    </row>
    <row r="22514" spans="30:30" x14ac:dyDescent="0.3">
      <c r="AD22514" s="16"/>
    </row>
    <row r="22515" spans="30:30" x14ac:dyDescent="0.3">
      <c r="AD22515" s="16"/>
    </row>
    <row r="22516" spans="30:30" x14ac:dyDescent="0.3">
      <c r="AD22516" s="16"/>
    </row>
    <row r="22517" spans="30:30" x14ac:dyDescent="0.3">
      <c r="AD22517" s="16"/>
    </row>
    <row r="22518" spans="30:30" x14ac:dyDescent="0.3">
      <c r="AD22518" s="16"/>
    </row>
    <row r="22519" spans="30:30" x14ac:dyDescent="0.3">
      <c r="AD22519" s="16"/>
    </row>
    <row r="22520" spans="30:30" x14ac:dyDescent="0.3">
      <c r="AD22520" s="16"/>
    </row>
    <row r="22521" spans="30:30" x14ac:dyDescent="0.3">
      <c r="AD22521" s="16"/>
    </row>
    <row r="22522" spans="30:30" x14ac:dyDescent="0.3">
      <c r="AD22522" s="16"/>
    </row>
    <row r="22523" spans="30:30" x14ac:dyDescent="0.3">
      <c r="AD22523" s="16"/>
    </row>
    <row r="22524" spans="30:30" x14ac:dyDescent="0.3">
      <c r="AD22524" s="16"/>
    </row>
    <row r="22525" spans="30:30" x14ac:dyDescent="0.3">
      <c r="AD22525" s="16"/>
    </row>
    <row r="22526" spans="30:30" x14ac:dyDescent="0.3">
      <c r="AD22526" s="16"/>
    </row>
    <row r="22527" spans="30:30" x14ac:dyDescent="0.3">
      <c r="AD22527" s="16"/>
    </row>
    <row r="22528" spans="30:30" x14ac:dyDescent="0.3">
      <c r="AD22528" s="16"/>
    </row>
    <row r="22529" spans="30:30" x14ac:dyDescent="0.3">
      <c r="AD22529" s="16"/>
    </row>
    <row r="22530" spans="30:30" x14ac:dyDescent="0.3">
      <c r="AD22530" s="16"/>
    </row>
    <row r="22531" spans="30:30" x14ac:dyDescent="0.3">
      <c r="AD22531" s="16"/>
    </row>
    <row r="22532" spans="30:30" x14ac:dyDescent="0.3">
      <c r="AD22532" s="16"/>
    </row>
    <row r="22533" spans="30:30" x14ac:dyDescent="0.3">
      <c r="AD22533" s="16"/>
    </row>
    <row r="22534" spans="30:30" x14ac:dyDescent="0.3">
      <c r="AD22534" s="16"/>
    </row>
    <row r="22535" spans="30:30" x14ac:dyDescent="0.3">
      <c r="AD22535" s="16"/>
    </row>
    <row r="22536" spans="30:30" x14ac:dyDescent="0.3">
      <c r="AD22536" s="16"/>
    </row>
    <row r="22537" spans="30:30" x14ac:dyDescent="0.3">
      <c r="AD22537" s="16"/>
    </row>
    <row r="22538" spans="30:30" x14ac:dyDescent="0.3">
      <c r="AD22538" s="16"/>
    </row>
    <row r="22539" spans="30:30" x14ac:dyDescent="0.3">
      <c r="AD22539" s="16"/>
    </row>
    <row r="22540" spans="30:30" x14ac:dyDescent="0.3">
      <c r="AD22540" s="16"/>
    </row>
    <row r="22541" spans="30:30" x14ac:dyDescent="0.3">
      <c r="AD22541" s="16"/>
    </row>
    <row r="22542" spans="30:30" x14ac:dyDescent="0.3">
      <c r="AD22542" s="16"/>
    </row>
    <row r="22543" spans="30:30" x14ac:dyDescent="0.3">
      <c r="AD22543" s="16"/>
    </row>
    <row r="22544" spans="30:30" x14ac:dyDescent="0.3">
      <c r="AD22544" s="16"/>
    </row>
    <row r="22545" spans="30:30" x14ac:dyDescent="0.3">
      <c r="AD22545" s="16"/>
    </row>
    <row r="22546" spans="30:30" x14ac:dyDescent="0.3">
      <c r="AD22546" s="16"/>
    </row>
    <row r="22547" spans="30:30" x14ac:dyDescent="0.3">
      <c r="AD22547" s="16"/>
    </row>
    <row r="22548" spans="30:30" x14ac:dyDescent="0.3">
      <c r="AD22548" s="16"/>
    </row>
    <row r="22549" spans="30:30" x14ac:dyDescent="0.3">
      <c r="AD22549" s="16"/>
    </row>
    <row r="22550" spans="30:30" x14ac:dyDescent="0.3">
      <c r="AD22550" s="16"/>
    </row>
    <row r="22551" spans="30:30" x14ac:dyDescent="0.3">
      <c r="AD22551" s="16"/>
    </row>
    <row r="22552" spans="30:30" x14ac:dyDescent="0.3">
      <c r="AD22552" s="16"/>
    </row>
    <row r="22553" spans="30:30" x14ac:dyDescent="0.3">
      <c r="AD22553" s="16"/>
    </row>
    <row r="22554" spans="30:30" x14ac:dyDescent="0.3">
      <c r="AD22554" s="16"/>
    </row>
    <row r="22555" spans="30:30" x14ac:dyDescent="0.3">
      <c r="AD22555" s="16"/>
    </row>
    <row r="22556" spans="30:30" x14ac:dyDescent="0.3">
      <c r="AD22556" s="16"/>
    </row>
    <row r="22557" spans="30:30" x14ac:dyDescent="0.3">
      <c r="AD22557" s="16"/>
    </row>
    <row r="22558" spans="30:30" x14ac:dyDescent="0.3">
      <c r="AD22558" s="16"/>
    </row>
    <row r="22559" spans="30:30" x14ac:dyDescent="0.3">
      <c r="AD22559" s="16"/>
    </row>
    <row r="22560" spans="30:30" x14ac:dyDescent="0.3">
      <c r="AD22560" s="16"/>
    </row>
    <row r="22561" spans="30:30" x14ac:dyDescent="0.3">
      <c r="AD22561" s="16"/>
    </row>
    <row r="22562" spans="30:30" x14ac:dyDescent="0.3">
      <c r="AD22562" s="16"/>
    </row>
    <row r="22563" spans="30:30" x14ac:dyDescent="0.3">
      <c r="AD22563" s="16"/>
    </row>
    <row r="22564" spans="30:30" x14ac:dyDescent="0.3">
      <c r="AD22564" s="16"/>
    </row>
    <row r="22565" spans="30:30" x14ac:dyDescent="0.3">
      <c r="AD22565" s="16"/>
    </row>
    <row r="22566" spans="30:30" x14ac:dyDescent="0.3">
      <c r="AD22566" s="16"/>
    </row>
    <row r="22567" spans="30:30" x14ac:dyDescent="0.3">
      <c r="AD22567" s="16"/>
    </row>
    <row r="22568" spans="30:30" x14ac:dyDescent="0.3">
      <c r="AD22568" s="16"/>
    </row>
    <row r="22569" spans="30:30" x14ac:dyDescent="0.3">
      <c r="AD22569" s="16"/>
    </row>
    <row r="22570" spans="30:30" x14ac:dyDescent="0.3">
      <c r="AD22570" s="16"/>
    </row>
    <row r="22571" spans="30:30" x14ac:dyDescent="0.3">
      <c r="AD22571" s="16"/>
    </row>
    <row r="22572" spans="30:30" x14ac:dyDescent="0.3">
      <c r="AD22572" s="16"/>
    </row>
    <row r="22573" spans="30:30" x14ac:dyDescent="0.3">
      <c r="AD22573" s="16"/>
    </row>
    <row r="22574" spans="30:30" x14ac:dyDescent="0.3">
      <c r="AD22574" s="16"/>
    </row>
    <row r="22575" spans="30:30" x14ac:dyDescent="0.3">
      <c r="AD22575" s="16"/>
    </row>
    <row r="22576" spans="30:30" x14ac:dyDescent="0.3">
      <c r="AD22576" s="16"/>
    </row>
    <row r="22577" spans="30:30" x14ac:dyDescent="0.3">
      <c r="AD22577" s="16"/>
    </row>
    <row r="22578" spans="30:30" x14ac:dyDescent="0.3">
      <c r="AD22578" s="16"/>
    </row>
    <row r="22579" spans="30:30" x14ac:dyDescent="0.3">
      <c r="AD22579" s="16"/>
    </row>
    <row r="22580" spans="30:30" x14ac:dyDescent="0.3">
      <c r="AD22580" s="16"/>
    </row>
    <row r="22581" spans="30:30" x14ac:dyDescent="0.3">
      <c r="AD22581" s="16"/>
    </row>
    <row r="22582" spans="30:30" x14ac:dyDescent="0.3">
      <c r="AD22582" s="16"/>
    </row>
    <row r="22583" spans="30:30" x14ac:dyDescent="0.3">
      <c r="AD22583" s="16"/>
    </row>
    <row r="22584" spans="30:30" x14ac:dyDescent="0.3">
      <c r="AD22584" s="16"/>
    </row>
    <row r="22585" spans="30:30" x14ac:dyDescent="0.3">
      <c r="AD22585" s="16"/>
    </row>
    <row r="22586" spans="30:30" x14ac:dyDescent="0.3">
      <c r="AD22586" s="16"/>
    </row>
    <row r="22587" spans="30:30" x14ac:dyDescent="0.3">
      <c r="AD22587" s="16"/>
    </row>
    <row r="22588" spans="30:30" x14ac:dyDescent="0.3">
      <c r="AD22588" s="16"/>
    </row>
    <row r="22589" spans="30:30" x14ac:dyDescent="0.3">
      <c r="AD22589" s="16"/>
    </row>
    <row r="22590" spans="30:30" x14ac:dyDescent="0.3">
      <c r="AD22590" s="16"/>
    </row>
    <row r="22591" spans="30:30" x14ac:dyDescent="0.3">
      <c r="AD22591" s="16"/>
    </row>
    <row r="22592" spans="30:30" x14ac:dyDescent="0.3">
      <c r="AD22592" s="16"/>
    </row>
    <row r="22593" spans="30:30" x14ac:dyDescent="0.3">
      <c r="AD22593" s="16"/>
    </row>
    <row r="22594" spans="30:30" x14ac:dyDescent="0.3">
      <c r="AD22594" s="16"/>
    </row>
    <row r="22595" spans="30:30" x14ac:dyDescent="0.3">
      <c r="AD22595" s="16"/>
    </row>
    <row r="22596" spans="30:30" x14ac:dyDescent="0.3">
      <c r="AD22596" s="16"/>
    </row>
    <row r="22597" spans="30:30" x14ac:dyDescent="0.3">
      <c r="AD22597" s="16"/>
    </row>
    <row r="22598" spans="30:30" x14ac:dyDescent="0.3">
      <c r="AD22598" s="16"/>
    </row>
    <row r="22599" spans="30:30" x14ac:dyDescent="0.3">
      <c r="AD22599" s="16"/>
    </row>
    <row r="22600" spans="30:30" x14ac:dyDescent="0.3">
      <c r="AD22600" s="16"/>
    </row>
    <row r="22601" spans="30:30" x14ac:dyDescent="0.3">
      <c r="AD22601" s="16"/>
    </row>
    <row r="22602" spans="30:30" x14ac:dyDescent="0.3">
      <c r="AD22602" s="16"/>
    </row>
    <row r="22603" spans="30:30" x14ac:dyDescent="0.3">
      <c r="AD22603" s="16"/>
    </row>
    <row r="22604" spans="30:30" x14ac:dyDescent="0.3">
      <c r="AD22604" s="16"/>
    </row>
    <row r="22605" spans="30:30" x14ac:dyDescent="0.3">
      <c r="AD22605" s="16"/>
    </row>
    <row r="22606" spans="30:30" x14ac:dyDescent="0.3">
      <c r="AD22606" s="16"/>
    </row>
    <row r="22607" spans="30:30" x14ac:dyDescent="0.3">
      <c r="AD22607" s="16"/>
    </row>
    <row r="22608" spans="30:30" x14ac:dyDescent="0.3">
      <c r="AD22608" s="16"/>
    </row>
    <row r="22609" spans="30:30" x14ac:dyDescent="0.3">
      <c r="AD22609" s="16"/>
    </row>
    <row r="22610" spans="30:30" x14ac:dyDescent="0.3">
      <c r="AD22610" s="16"/>
    </row>
    <row r="22611" spans="30:30" x14ac:dyDescent="0.3">
      <c r="AD22611" s="16"/>
    </row>
    <row r="22612" spans="30:30" x14ac:dyDescent="0.3">
      <c r="AD22612" s="16"/>
    </row>
    <row r="22613" spans="30:30" x14ac:dyDescent="0.3">
      <c r="AD22613" s="16"/>
    </row>
    <row r="22614" spans="30:30" x14ac:dyDescent="0.3">
      <c r="AD22614" s="16"/>
    </row>
    <row r="22615" spans="30:30" x14ac:dyDescent="0.3">
      <c r="AD22615" s="16"/>
    </row>
    <row r="22616" spans="30:30" x14ac:dyDescent="0.3">
      <c r="AD22616" s="16"/>
    </row>
    <row r="22617" spans="30:30" x14ac:dyDescent="0.3">
      <c r="AD22617" s="16"/>
    </row>
    <row r="22618" spans="30:30" x14ac:dyDescent="0.3">
      <c r="AD22618" s="16"/>
    </row>
    <row r="22619" spans="30:30" x14ac:dyDescent="0.3">
      <c r="AD22619" s="16"/>
    </row>
    <row r="22620" spans="30:30" x14ac:dyDescent="0.3">
      <c r="AD22620" s="16"/>
    </row>
    <row r="22621" spans="30:30" x14ac:dyDescent="0.3">
      <c r="AD22621" s="16"/>
    </row>
    <row r="22622" spans="30:30" x14ac:dyDescent="0.3">
      <c r="AD22622" s="16"/>
    </row>
    <row r="22623" spans="30:30" x14ac:dyDescent="0.3">
      <c r="AD22623" s="16"/>
    </row>
    <row r="22624" spans="30:30" x14ac:dyDescent="0.3">
      <c r="AD22624" s="16"/>
    </row>
    <row r="22625" spans="30:30" x14ac:dyDescent="0.3">
      <c r="AD22625" s="16"/>
    </row>
    <row r="22626" spans="30:30" x14ac:dyDescent="0.3">
      <c r="AD22626" s="16"/>
    </row>
    <row r="22627" spans="30:30" x14ac:dyDescent="0.3">
      <c r="AD22627" s="16"/>
    </row>
    <row r="22628" spans="30:30" x14ac:dyDescent="0.3">
      <c r="AD22628" s="16"/>
    </row>
    <row r="22629" spans="30:30" x14ac:dyDescent="0.3">
      <c r="AD22629" s="16"/>
    </row>
    <row r="22630" spans="30:30" x14ac:dyDescent="0.3">
      <c r="AD22630" s="16"/>
    </row>
    <row r="22631" spans="30:30" x14ac:dyDescent="0.3">
      <c r="AD22631" s="16"/>
    </row>
    <row r="22632" spans="30:30" x14ac:dyDescent="0.3">
      <c r="AD22632" s="16"/>
    </row>
    <row r="22633" spans="30:30" x14ac:dyDescent="0.3">
      <c r="AD22633" s="16"/>
    </row>
    <row r="22634" spans="30:30" x14ac:dyDescent="0.3">
      <c r="AD22634" s="16"/>
    </row>
    <row r="22635" spans="30:30" x14ac:dyDescent="0.3">
      <c r="AD22635" s="16"/>
    </row>
    <row r="22636" spans="30:30" x14ac:dyDescent="0.3">
      <c r="AD22636" s="16"/>
    </row>
    <row r="22637" spans="30:30" x14ac:dyDescent="0.3">
      <c r="AD22637" s="16"/>
    </row>
    <row r="22638" spans="30:30" x14ac:dyDescent="0.3">
      <c r="AD22638" s="16"/>
    </row>
    <row r="22639" spans="30:30" x14ac:dyDescent="0.3">
      <c r="AD22639" s="16"/>
    </row>
    <row r="22640" spans="30:30" x14ac:dyDescent="0.3">
      <c r="AD22640" s="16"/>
    </row>
    <row r="22641" spans="30:30" x14ac:dyDescent="0.3">
      <c r="AD22641" s="16"/>
    </row>
    <row r="22642" spans="30:30" x14ac:dyDescent="0.3">
      <c r="AD22642" s="16"/>
    </row>
    <row r="22643" spans="30:30" x14ac:dyDescent="0.3">
      <c r="AD22643" s="16"/>
    </row>
    <row r="22644" spans="30:30" x14ac:dyDescent="0.3">
      <c r="AD22644" s="16"/>
    </row>
    <row r="22645" spans="30:30" x14ac:dyDescent="0.3">
      <c r="AD22645" s="16"/>
    </row>
    <row r="22646" spans="30:30" x14ac:dyDescent="0.3">
      <c r="AD22646" s="16"/>
    </row>
    <row r="22647" spans="30:30" x14ac:dyDescent="0.3">
      <c r="AD22647" s="16"/>
    </row>
    <row r="22648" spans="30:30" x14ac:dyDescent="0.3">
      <c r="AD22648" s="16"/>
    </row>
    <row r="22649" spans="30:30" x14ac:dyDescent="0.3">
      <c r="AD22649" s="16"/>
    </row>
    <row r="22650" spans="30:30" x14ac:dyDescent="0.3">
      <c r="AD22650" s="16"/>
    </row>
    <row r="22651" spans="30:30" x14ac:dyDescent="0.3">
      <c r="AD22651" s="16"/>
    </row>
    <row r="22652" spans="30:30" x14ac:dyDescent="0.3">
      <c r="AD22652" s="16"/>
    </row>
    <row r="22653" spans="30:30" x14ac:dyDescent="0.3">
      <c r="AD22653" s="16"/>
    </row>
    <row r="22654" spans="30:30" x14ac:dyDescent="0.3">
      <c r="AD22654" s="16"/>
    </row>
    <row r="22655" spans="30:30" x14ac:dyDescent="0.3">
      <c r="AD22655" s="16"/>
    </row>
    <row r="22656" spans="30:30" x14ac:dyDescent="0.3">
      <c r="AD22656" s="16"/>
    </row>
    <row r="22657" spans="30:30" x14ac:dyDescent="0.3">
      <c r="AD22657" s="16"/>
    </row>
    <row r="22658" spans="30:30" x14ac:dyDescent="0.3">
      <c r="AD22658" s="16"/>
    </row>
    <row r="22659" spans="30:30" x14ac:dyDescent="0.3">
      <c r="AD22659" s="16"/>
    </row>
    <row r="22660" spans="30:30" x14ac:dyDescent="0.3">
      <c r="AD22660" s="16"/>
    </row>
    <row r="22661" spans="30:30" x14ac:dyDescent="0.3">
      <c r="AD22661" s="16"/>
    </row>
    <row r="22662" spans="30:30" x14ac:dyDescent="0.3">
      <c r="AD22662" s="16"/>
    </row>
    <row r="22663" spans="30:30" x14ac:dyDescent="0.3">
      <c r="AD22663" s="16"/>
    </row>
    <row r="22664" spans="30:30" x14ac:dyDescent="0.3">
      <c r="AD22664" s="16"/>
    </row>
    <row r="22665" spans="30:30" x14ac:dyDescent="0.3">
      <c r="AD22665" s="16"/>
    </row>
    <row r="22666" spans="30:30" x14ac:dyDescent="0.3">
      <c r="AD22666" s="16"/>
    </row>
    <row r="22667" spans="30:30" x14ac:dyDescent="0.3">
      <c r="AD22667" s="16"/>
    </row>
    <row r="22668" spans="30:30" x14ac:dyDescent="0.3">
      <c r="AD22668" s="16"/>
    </row>
    <row r="22669" spans="30:30" x14ac:dyDescent="0.3">
      <c r="AD22669" s="16"/>
    </row>
    <row r="22670" spans="30:30" x14ac:dyDescent="0.3">
      <c r="AD22670" s="16"/>
    </row>
    <row r="22671" spans="30:30" x14ac:dyDescent="0.3">
      <c r="AD22671" s="16"/>
    </row>
    <row r="22672" spans="30:30" x14ac:dyDescent="0.3">
      <c r="AD22672" s="16"/>
    </row>
    <row r="22673" spans="30:30" x14ac:dyDescent="0.3">
      <c r="AD22673" s="16"/>
    </row>
    <row r="22674" spans="30:30" x14ac:dyDescent="0.3">
      <c r="AD22674" s="16"/>
    </row>
    <row r="22675" spans="30:30" x14ac:dyDescent="0.3">
      <c r="AD22675" s="16"/>
    </row>
    <row r="22676" spans="30:30" x14ac:dyDescent="0.3">
      <c r="AD22676" s="16"/>
    </row>
    <row r="22677" spans="30:30" x14ac:dyDescent="0.3">
      <c r="AD22677" s="16"/>
    </row>
    <row r="22678" spans="30:30" x14ac:dyDescent="0.3">
      <c r="AD22678" s="16"/>
    </row>
    <row r="22679" spans="30:30" x14ac:dyDescent="0.3">
      <c r="AD22679" s="16"/>
    </row>
    <row r="22680" spans="30:30" x14ac:dyDescent="0.3">
      <c r="AD22680" s="16"/>
    </row>
    <row r="22681" spans="30:30" x14ac:dyDescent="0.3">
      <c r="AD22681" s="16"/>
    </row>
    <row r="22682" spans="30:30" x14ac:dyDescent="0.3">
      <c r="AD22682" s="16"/>
    </row>
    <row r="22683" spans="30:30" x14ac:dyDescent="0.3">
      <c r="AD22683" s="16"/>
    </row>
    <row r="22684" spans="30:30" x14ac:dyDescent="0.3">
      <c r="AD22684" s="16"/>
    </row>
    <row r="22685" spans="30:30" x14ac:dyDescent="0.3">
      <c r="AD22685" s="16"/>
    </row>
    <row r="22686" spans="30:30" x14ac:dyDescent="0.3">
      <c r="AD22686" s="16"/>
    </row>
    <row r="22687" spans="30:30" x14ac:dyDescent="0.3">
      <c r="AD22687" s="16"/>
    </row>
    <row r="22688" spans="30:30" x14ac:dyDescent="0.3">
      <c r="AD22688" s="16"/>
    </row>
    <row r="22689" spans="30:30" x14ac:dyDescent="0.3">
      <c r="AD22689" s="16"/>
    </row>
    <row r="22690" spans="30:30" x14ac:dyDescent="0.3">
      <c r="AD22690" s="16"/>
    </row>
    <row r="22691" spans="30:30" x14ac:dyDescent="0.3">
      <c r="AD22691" s="16"/>
    </row>
    <row r="22692" spans="30:30" x14ac:dyDescent="0.3">
      <c r="AD22692" s="16"/>
    </row>
    <row r="22693" spans="30:30" x14ac:dyDescent="0.3">
      <c r="AD22693" s="16"/>
    </row>
    <row r="22694" spans="30:30" x14ac:dyDescent="0.3">
      <c r="AD22694" s="16"/>
    </row>
    <row r="22695" spans="30:30" x14ac:dyDescent="0.3">
      <c r="AD22695" s="16"/>
    </row>
    <row r="22696" spans="30:30" x14ac:dyDescent="0.3">
      <c r="AD22696" s="16"/>
    </row>
    <row r="22697" spans="30:30" x14ac:dyDescent="0.3">
      <c r="AD22697" s="16"/>
    </row>
    <row r="22698" spans="30:30" x14ac:dyDescent="0.3">
      <c r="AD22698" s="16"/>
    </row>
    <row r="22699" spans="30:30" x14ac:dyDescent="0.3">
      <c r="AD22699" s="16"/>
    </row>
    <row r="22700" spans="30:30" x14ac:dyDescent="0.3">
      <c r="AD22700" s="16"/>
    </row>
    <row r="22701" spans="30:30" x14ac:dyDescent="0.3">
      <c r="AD22701" s="16"/>
    </row>
    <row r="22702" spans="30:30" x14ac:dyDescent="0.3">
      <c r="AD22702" s="16"/>
    </row>
    <row r="22703" spans="30:30" x14ac:dyDescent="0.3">
      <c r="AD22703" s="16"/>
    </row>
    <row r="22704" spans="30:30" x14ac:dyDescent="0.3">
      <c r="AD22704" s="16"/>
    </row>
    <row r="22705" spans="30:30" x14ac:dyDescent="0.3">
      <c r="AD22705" s="16"/>
    </row>
    <row r="22706" spans="30:30" x14ac:dyDescent="0.3">
      <c r="AD22706" s="16"/>
    </row>
    <row r="22707" spans="30:30" x14ac:dyDescent="0.3">
      <c r="AD22707" s="16"/>
    </row>
    <row r="22708" spans="30:30" x14ac:dyDescent="0.3">
      <c r="AD22708" s="16"/>
    </row>
    <row r="22709" spans="30:30" x14ac:dyDescent="0.3">
      <c r="AD22709" s="16"/>
    </row>
    <row r="22710" spans="30:30" x14ac:dyDescent="0.3">
      <c r="AD22710" s="16"/>
    </row>
    <row r="22711" spans="30:30" x14ac:dyDescent="0.3">
      <c r="AD22711" s="16"/>
    </row>
    <row r="22712" spans="30:30" x14ac:dyDescent="0.3">
      <c r="AD22712" s="16"/>
    </row>
    <row r="22713" spans="30:30" x14ac:dyDescent="0.3">
      <c r="AD22713" s="16"/>
    </row>
    <row r="22714" spans="30:30" x14ac:dyDescent="0.3">
      <c r="AD22714" s="16"/>
    </row>
    <row r="22715" spans="30:30" x14ac:dyDescent="0.3">
      <c r="AD22715" s="16"/>
    </row>
    <row r="22716" spans="30:30" x14ac:dyDescent="0.3">
      <c r="AD22716" s="16"/>
    </row>
    <row r="22717" spans="30:30" x14ac:dyDescent="0.3">
      <c r="AD22717" s="16"/>
    </row>
    <row r="22718" spans="30:30" x14ac:dyDescent="0.3">
      <c r="AD22718" s="16"/>
    </row>
    <row r="22719" spans="30:30" x14ac:dyDescent="0.3">
      <c r="AD22719" s="16"/>
    </row>
    <row r="22720" spans="30:30" x14ac:dyDescent="0.3">
      <c r="AD22720" s="16"/>
    </row>
    <row r="22721" spans="30:30" x14ac:dyDescent="0.3">
      <c r="AD22721" s="16"/>
    </row>
    <row r="22722" spans="30:30" x14ac:dyDescent="0.3">
      <c r="AD22722" s="16"/>
    </row>
    <row r="22723" spans="30:30" x14ac:dyDescent="0.3">
      <c r="AD22723" s="16"/>
    </row>
    <row r="22724" spans="30:30" x14ac:dyDescent="0.3">
      <c r="AD22724" s="16"/>
    </row>
    <row r="22725" spans="30:30" x14ac:dyDescent="0.3">
      <c r="AD22725" s="16"/>
    </row>
    <row r="22726" spans="30:30" x14ac:dyDescent="0.3">
      <c r="AD22726" s="16"/>
    </row>
    <row r="22727" spans="30:30" x14ac:dyDescent="0.3">
      <c r="AD22727" s="16"/>
    </row>
    <row r="22728" spans="30:30" x14ac:dyDescent="0.3">
      <c r="AD22728" s="16"/>
    </row>
    <row r="22729" spans="30:30" x14ac:dyDescent="0.3">
      <c r="AD22729" s="16"/>
    </row>
    <row r="22730" spans="30:30" x14ac:dyDescent="0.3">
      <c r="AD22730" s="16"/>
    </row>
    <row r="22731" spans="30:30" x14ac:dyDescent="0.3">
      <c r="AD22731" s="16"/>
    </row>
    <row r="22732" spans="30:30" x14ac:dyDescent="0.3">
      <c r="AD22732" s="16"/>
    </row>
    <row r="22733" spans="30:30" x14ac:dyDescent="0.3">
      <c r="AD22733" s="16"/>
    </row>
    <row r="22734" spans="30:30" x14ac:dyDescent="0.3">
      <c r="AD22734" s="16"/>
    </row>
    <row r="22735" spans="30:30" x14ac:dyDescent="0.3">
      <c r="AD22735" s="16"/>
    </row>
    <row r="22736" spans="30:30" x14ac:dyDescent="0.3">
      <c r="AD22736" s="16"/>
    </row>
    <row r="22737" spans="30:30" x14ac:dyDescent="0.3">
      <c r="AD22737" s="16"/>
    </row>
    <row r="22738" spans="30:30" x14ac:dyDescent="0.3">
      <c r="AD22738" s="16"/>
    </row>
    <row r="22739" spans="30:30" x14ac:dyDescent="0.3">
      <c r="AD22739" s="16"/>
    </row>
    <row r="22740" spans="30:30" x14ac:dyDescent="0.3">
      <c r="AD22740" s="16"/>
    </row>
    <row r="22741" spans="30:30" x14ac:dyDescent="0.3">
      <c r="AD22741" s="16"/>
    </row>
    <row r="22742" spans="30:30" x14ac:dyDescent="0.3">
      <c r="AD22742" s="16"/>
    </row>
    <row r="22743" spans="30:30" x14ac:dyDescent="0.3">
      <c r="AD22743" s="16"/>
    </row>
    <row r="22744" spans="30:30" x14ac:dyDescent="0.3">
      <c r="AD22744" s="16"/>
    </row>
    <row r="22745" spans="30:30" x14ac:dyDescent="0.3">
      <c r="AD22745" s="16"/>
    </row>
    <row r="22746" spans="30:30" x14ac:dyDescent="0.3">
      <c r="AD22746" s="16"/>
    </row>
    <row r="22747" spans="30:30" x14ac:dyDescent="0.3">
      <c r="AD22747" s="16"/>
    </row>
    <row r="22748" spans="30:30" x14ac:dyDescent="0.3">
      <c r="AD22748" s="16"/>
    </row>
    <row r="22749" spans="30:30" x14ac:dyDescent="0.3">
      <c r="AD22749" s="16"/>
    </row>
    <row r="22750" spans="30:30" x14ac:dyDescent="0.3">
      <c r="AD22750" s="16"/>
    </row>
    <row r="22751" spans="30:30" x14ac:dyDescent="0.3">
      <c r="AD22751" s="16"/>
    </row>
    <row r="22752" spans="30:30" x14ac:dyDescent="0.3">
      <c r="AD22752" s="16"/>
    </row>
    <row r="22753" spans="30:30" x14ac:dyDescent="0.3">
      <c r="AD22753" s="16"/>
    </row>
    <row r="22754" spans="30:30" x14ac:dyDescent="0.3">
      <c r="AD22754" s="16"/>
    </row>
    <row r="22755" spans="30:30" x14ac:dyDescent="0.3">
      <c r="AD22755" s="16"/>
    </row>
    <row r="22756" spans="30:30" x14ac:dyDescent="0.3">
      <c r="AD22756" s="16"/>
    </row>
    <row r="22757" spans="30:30" x14ac:dyDescent="0.3">
      <c r="AD22757" s="16"/>
    </row>
    <row r="22758" spans="30:30" x14ac:dyDescent="0.3">
      <c r="AD22758" s="16"/>
    </row>
    <row r="22759" spans="30:30" x14ac:dyDescent="0.3">
      <c r="AD22759" s="16"/>
    </row>
    <row r="22760" spans="30:30" x14ac:dyDescent="0.3">
      <c r="AD22760" s="16"/>
    </row>
    <row r="22761" spans="30:30" x14ac:dyDescent="0.3">
      <c r="AD22761" s="16"/>
    </row>
    <row r="22762" spans="30:30" x14ac:dyDescent="0.3">
      <c r="AD22762" s="16"/>
    </row>
    <row r="22763" spans="30:30" x14ac:dyDescent="0.3">
      <c r="AD22763" s="16"/>
    </row>
    <row r="22764" spans="30:30" x14ac:dyDescent="0.3">
      <c r="AD22764" s="16"/>
    </row>
    <row r="22765" spans="30:30" x14ac:dyDescent="0.3">
      <c r="AD22765" s="16"/>
    </row>
    <row r="22766" spans="30:30" x14ac:dyDescent="0.3">
      <c r="AD22766" s="16"/>
    </row>
    <row r="22767" spans="30:30" x14ac:dyDescent="0.3">
      <c r="AD22767" s="16"/>
    </row>
    <row r="22768" spans="30:30" x14ac:dyDescent="0.3">
      <c r="AD22768" s="16"/>
    </row>
    <row r="22769" spans="30:30" x14ac:dyDescent="0.3">
      <c r="AD22769" s="16"/>
    </row>
    <row r="22770" spans="30:30" x14ac:dyDescent="0.3">
      <c r="AD22770" s="16"/>
    </row>
    <row r="22771" spans="30:30" x14ac:dyDescent="0.3">
      <c r="AD22771" s="16"/>
    </row>
    <row r="22772" spans="30:30" x14ac:dyDescent="0.3">
      <c r="AD22772" s="16"/>
    </row>
    <row r="22773" spans="30:30" x14ac:dyDescent="0.3">
      <c r="AD22773" s="16"/>
    </row>
    <row r="22774" spans="30:30" x14ac:dyDescent="0.3">
      <c r="AD22774" s="16"/>
    </row>
    <row r="22775" spans="30:30" x14ac:dyDescent="0.3">
      <c r="AD22775" s="16"/>
    </row>
    <row r="22776" spans="30:30" x14ac:dyDescent="0.3">
      <c r="AD22776" s="16"/>
    </row>
    <row r="22777" spans="30:30" x14ac:dyDescent="0.3">
      <c r="AD22777" s="16"/>
    </row>
    <row r="22778" spans="30:30" x14ac:dyDescent="0.3">
      <c r="AD22778" s="16"/>
    </row>
    <row r="22779" spans="30:30" x14ac:dyDescent="0.3">
      <c r="AD22779" s="16"/>
    </row>
    <row r="22780" spans="30:30" x14ac:dyDescent="0.3">
      <c r="AD22780" s="16"/>
    </row>
    <row r="22781" spans="30:30" x14ac:dyDescent="0.3">
      <c r="AD22781" s="16"/>
    </row>
    <row r="22782" spans="30:30" x14ac:dyDescent="0.3">
      <c r="AD22782" s="16"/>
    </row>
    <row r="22783" spans="30:30" x14ac:dyDescent="0.3">
      <c r="AD22783" s="16"/>
    </row>
    <row r="22784" spans="30:30" x14ac:dyDescent="0.3">
      <c r="AD22784" s="16"/>
    </row>
    <row r="22785" spans="30:30" x14ac:dyDescent="0.3">
      <c r="AD22785" s="16"/>
    </row>
    <row r="22786" spans="30:30" x14ac:dyDescent="0.3">
      <c r="AD22786" s="16"/>
    </row>
    <row r="22787" spans="30:30" x14ac:dyDescent="0.3">
      <c r="AD22787" s="16"/>
    </row>
    <row r="22788" spans="30:30" x14ac:dyDescent="0.3">
      <c r="AD22788" s="16"/>
    </row>
    <row r="22789" spans="30:30" x14ac:dyDescent="0.3">
      <c r="AD22789" s="16"/>
    </row>
    <row r="22790" spans="30:30" x14ac:dyDescent="0.3">
      <c r="AD22790" s="16"/>
    </row>
    <row r="22791" spans="30:30" x14ac:dyDescent="0.3">
      <c r="AD22791" s="16"/>
    </row>
    <row r="22792" spans="30:30" x14ac:dyDescent="0.3">
      <c r="AD22792" s="16"/>
    </row>
    <row r="22793" spans="30:30" x14ac:dyDescent="0.3">
      <c r="AD22793" s="16"/>
    </row>
    <row r="22794" spans="30:30" x14ac:dyDescent="0.3">
      <c r="AD22794" s="16"/>
    </row>
    <row r="22795" spans="30:30" x14ac:dyDescent="0.3">
      <c r="AD22795" s="16"/>
    </row>
    <row r="22796" spans="30:30" x14ac:dyDescent="0.3">
      <c r="AD22796" s="16"/>
    </row>
    <row r="22797" spans="30:30" x14ac:dyDescent="0.3">
      <c r="AD22797" s="16"/>
    </row>
    <row r="22798" spans="30:30" x14ac:dyDescent="0.3">
      <c r="AD22798" s="16"/>
    </row>
    <row r="22799" spans="30:30" x14ac:dyDescent="0.3">
      <c r="AD22799" s="16"/>
    </row>
    <row r="22800" spans="30:30" x14ac:dyDescent="0.3">
      <c r="AD22800" s="16"/>
    </row>
    <row r="22801" spans="30:30" x14ac:dyDescent="0.3">
      <c r="AD22801" s="16"/>
    </row>
    <row r="22802" spans="30:30" x14ac:dyDescent="0.3">
      <c r="AD22802" s="16"/>
    </row>
    <row r="22803" spans="30:30" x14ac:dyDescent="0.3">
      <c r="AD22803" s="16"/>
    </row>
    <row r="22804" spans="30:30" x14ac:dyDescent="0.3">
      <c r="AD22804" s="16"/>
    </row>
    <row r="22805" spans="30:30" x14ac:dyDescent="0.3">
      <c r="AD22805" s="16"/>
    </row>
    <row r="22806" spans="30:30" x14ac:dyDescent="0.3">
      <c r="AD22806" s="16"/>
    </row>
    <row r="22807" spans="30:30" x14ac:dyDescent="0.3">
      <c r="AD22807" s="16"/>
    </row>
    <row r="22808" spans="30:30" x14ac:dyDescent="0.3">
      <c r="AD22808" s="16"/>
    </row>
    <row r="22809" spans="30:30" x14ac:dyDescent="0.3">
      <c r="AD22809" s="16"/>
    </row>
    <row r="22810" spans="30:30" x14ac:dyDescent="0.3">
      <c r="AD22810" s="16"/>
    </row>
    <row r="22811" spans="30:30" x14ac:dyDescent="0.3">
      <c r="AD22811" s="16"/>
    </row>
    <row r="22812" spans="30:30" x14ac:dyDescent="0.3">
      <c r="AD22812" s="16"/>
    </row>
    <row r="22813" spans="30:30" x14ac:dyDescent="0.3">
      <c r="AD22813" s="16"/>
    </row>
    <row r="22814" spans="30:30" x14ac:dyDescent="0.3">
      <c r="AD22814" s="16"/>
    </row>
    <row r="22815" spans="30:30" x14ac:dyDescent="0.3">
      <c r="AD22815" s="16"/>
    </row>
    <row r="22816" spans="30:30" x14ac:dyDescent="0.3">
      <c r="AD22816" s="16"/>
    </row>
    <row r="22817" spans="30:30" x14ac:dyDescent="0.3">
      <c r="AD22817" s="16"/>
    </row>
    <row r="22818" spans="30:30" x14ac:dyDescent="0.3">
      <c r="AD22818" s="16"/>
    </row>
    <row r="22819" spans="30:30" x14ac:dyDescent="0.3">
      <c r="AD22819" s="16"/>
    </row>
    <row r="22820" spans="30:30" x14ac:dyDescent="0.3">
      <c r="AD22820" s="16"/>
    </row>
    <row r="22821" spans="30:30" x14ac:dyDescent="0.3">
      <c r="AD22821" s="16"/>
    </row>
    <row r="22822" spans="30:30" x14ac:dyDescent="0.3">
      <c r="AD22822" s="16"/>
    </row>
    <row r="22823" spans="30:30" x14ac:dyDescent="0.3">
      <c r="AD22823" s="16"/>
    </row>
    <row r="22824" spans="30:30" x14ac:dyDescent="0.3">
      <c r="AD22824" s="16"/>
    </row>
    <row r="22825" spans="30:30" x14ac:dyDescent="0.3">
      <c r="AD22825" s="16"/>
    </row>
    <row r="22826" spans="30:30" x14ac:dyDescent="0.3">
      <c r="AD22826" s="16"/>
    </row>
    <row r="22827" spans="30:30" x14ac:dyDescent="0.3">
      <c r="AD22827" s="16"/>
    </row>
    <row r="22828" spans="30:30" x14ac:dyDescent="0.3">
      <c r="AD22828" s="16"/>
    </row>
    <row r="22829" spans="30:30" x14ac:dyDescent="0.3">
      <c r="AD22829" s="16"/>
    </row>
    <row r="22830" spans="30:30" x14ac:dyDescent="0.3">
      <c r="AD22830" s="16"/>
    </row>
    <row r="22831" spans="30:30" x14ac:dyDescent="0.3">
      <c r="AD22831" s="16"/>
    </row>
    <row r="22832" spans="30:30" x14ac:dyDescent="0.3">
      <c r="AD22832" s="16"/>
    </row>
    <row r="22833" spans="30:30" x14ac:dyDescent="0.3">
      <c r="AD22833" s="16"/>
    </row>
    <row r="22834" spans="30:30" x14ac:dyDescent="0.3">
      <c r="AD22834" s="16"/>
    </row>
    <row r="22835" spans="30:30" x14ac:dyDescent="0.3">
      <c r="AD22835" s="16"/>
    </row>
    <row r="22836" spans="30:30" x14ac:dyDescent="0.3">
      <c r="AD22836" s="16"/>
    </row>
    <row r="22837" spans="30:30" x14ac:dyDescent="0.3">
      <c r="AD22837" s="16"/>
    </row>
    <row r="22838" spans="30:30" x14ac:dyDescent="0.3">
      <c r="AD22838" s="16"/>
    </row>
    <row r="22839" spans="30:30" x14ac:dyDescent="0.3">
      <c r="AD22839" s="16"/>
    </row>
    <row r="22840" spans="30:30" x14ac:dyDescent="0.3">
      <c r="AD22840" s="16"/>
    </row>
    <row r="22841" spans="30:30" x14ac:dyDescent="0.3">
      <c r="AD22841" s="16"/>
    </row>
    <row r="22842" spans="30:30" x14ac:dyDescent="0.3">
      <c r="AD22842" s="16"/>
    </row>
    <row r="22843" spans="30:30" x14ac:dyDescent="0.3">
      <c r="AD22843" s="16"/>
    </row>
    <row r="22844" spans="30:30" x14ac:dyDescent="0.3">
      <c r="AD22844" s="16"/>
    </row>
    <row r="22845" spans="30:30" x14ac:dyDescent="0.3">
      <c r="AD22845" s="16"/>
    </row>
    <row r="22846" spans="30:30" x14ac:dyDescent="0.3">
      <c r="AD22846" s="16"/>
    </row>
    <row r="22847" spans="30:30" x14ac:dyDescent="0.3">
      <c r="AD22847" s="16"/>
    </row>
    <row r="22848" spans="30:30" x14ac:dyDescent="0.3">
      <c r="AD22848" s="16"/>
    </row>
    <row r="22849" spans="30:30" x14ac:dyDescent="0.3">
      <c r="AD22849" s="16"/>
    </row>
    <row r="22850" spans="30:30" x14ac:dyDescent="0.3">
      <c r="AD22850" s="16"/>
    </row>
    <row r="22851" spans="30:30" x14ac:dyDescent="0.3">
      <c r="AD22851" s="16"/>
    </row>
    <row r="22852" spans="30:30" x14ac:dyDescent="0.3">
      <c r="AD22852" s="16"/>
    </row>
    <row r="22853" spans="30:30" x14ac:dyDescent="0.3">
      <c r="AD22853" s="16"/>
    </row>
    <row r="22854" spans="30:30" x14ac:dyDescent="0.3">
      <c r="AD22854" s="16"/>
    </row>
    <row r="22855" spans="30:30" x14ac:dyDescent="0.3">
      <c r="AD22855" s="16"/>
    </row>
    <row r="22856" spans="30:30" x14ac:dyDescent="0.3">
      <c r="AD22856" s="16"/>
    </row>
    <row r="22857" spans="30:30" x14ac:dyDescent="0.3">
      <c r="AD22857" s="16"/>
    </row>
    <row r="22858" spans="30:30" x14ac:dyDescent="0.3">
      <c r="AD22858" s="16"/>
    </row>
    <row r="22859" spans="30:30" x14ac:dyDescent="0.3">
      <c r="AD22859" s="16"/>
    </row>
    <row r="22860" spans="30:30" x14ac:dyDescent="0.3">
      <c r="AD22860" s="16"/>
    </row>
    <row r="22861" spans="30:30" x14ac:dyDescent="0.3">
      <c r="AD22861" s="16"/>
    </row>
    <row r="22862" spans="30:30" x14ac:dyDescent="0.3">
      <c r="AD22862" s="16"/>
    </row>
    <row r="22863" spans="30:30" x14ac:dyDescent="0.3">
      <c r="AD22863" s="16"/>
    </row>
    <row r="22864" spans="30:30" x14ac:dyDescent="0.3">
      <c r="AD22864" s="16"/>
    </row>
    <row r="22865" spans="30:30" x14ac:dyDescent="0.3">
      <c r="AD22865" s="16"/>
    </row>
    <row r="22866" spans="30:30" x14ac:dyDescent="0.3">
      <c r="AD22866" s="16"/>
    </row>
    <row r="22867" spans="30:30" x14ac:dyDescent="0.3">
      <c r="AD22867" s="16"/>
    </row>
    <row r="22868" spans="30:30" x14ac:dyDescent="0.3">
      <c r="AD22868" s="16"/>
    </row>
    <row r="22869" spans="30:30" x14ac:dyDescent="0.3">
      <c r="AD22869" s="16"/>
    </row>
    <row r="22870" spans="30:30" x14ac:dyDescent="0.3">
      <c r="AD22870" s="16"/>
    </row>
    <row r="22871" spans="30:30" x14ac:dyDescent="0.3">
      <c r="AD22871" s="16"/>
    </row>
    <row r="22872" spans="30:30" x14ac:dyDescent="0.3">
      <c r="AD22872" s="16"/>
    </row>
    <row r="22873" spans="30:30" x14ac:dyDescent="0.3">
      <c r="AD22873" s="16"/>
    </row>
    <row r="22874" spans="30:30" x14ac:dyDescent="0.3">
      <c r="AD22874" s="16"/>
    </row>
    <row r="22875" spans="30:30" x14ac:dyDescent="0.3">
      <c r="AD22875" s="16"/>
    </row>
    <row r="22876" spans="30:30" x14ac:dyDescent="0.3">
      <c r="AD22876" s="16"/>
    </row>
    <row r="22877" spans="30:30" x14ac:dyDescent="0.3">
      <c r="AD22877" s="16"/>
    </row>
    <row r="22878" spans="30:30" x14ac:dyDescent="0.3">
      <c r="AD22878" s="16"/>
    </row>
    <row r="22879" spans="30:30" x14ac:dyDescent="0.3">
      <c r="AD22879" s="16"/>
    </row>
    <row r="22880" spans="30:30" x14ac:dyDescent="0.3">
      <c r="AD22880" s="16"/>
    </row>
    <row r="22881" spans="30:30" x14ac:dyDescent="0.3">
      <c r="AD22881" s="16"/>
    </row>
    <row r="22882" spans="30:30" x14ac:dyDescent="0.3">
      <c r="AD22882" s="16"/>
    </row>
    <row r="22883" spans="30:30" x14ac:dyDescent="0.3">
      <c r="AD22883" s="16"/>
    </row>
    <row r="22884" spans="30:30" x14ac:dyDescent="0.3">
      <c r="AD22884" s="16"/>
    </row>
    <row r="22885" spans="30:30" x14ac:dyDescent="0.3">
      <c r="AD22885" s="16"/>
    </row>
    <row r="22886" spans="30:30" x14ac:dyDescent="0.3">
      <c r="AD22886" s="16"/>
    </row>
    <row r="22887" spans="30:30" x14ac:dyDescent="0.3">
      <c r="AD22887" s="16"/>
    </row>
    <row r="22888" spans="30:30" x14ac:dyDescent="0.3">
      <c r="AD22888" s="16"/>
    </row>
    <row r="22889" spans="30:30" x14ac:dyDescent="0.3">
      <c r="AD22889" s="16"/>
    </row>
    <row r="22890" spans="30:30" x14ac:dyDescent="0.3">
      <c r="AD22890" s="16"/>
    </row>
    <row r="22891" spans="30:30" x14ac:dyDescent="0.3">
      <c r="AD22891" s="16"/>
    </row>
    <row r="22892" spans="30:30" x14ac:dyDescent="0.3">
      <c r="AD22892" s="16"/>
    </row>
    <row r="22893" spans="30:30" x14ac:dyDescent="0.3">
      <c r="AD22893" s="16"/>
    </row>
    <row r="22894" spans="30:30" x14ac:dyDescent="0.3">
      <c r="AD22894" s="16"/>
    </row>
    <row r="22895" spans="30:30" x14ac:dyDescent="0.3">
      <c r="AD22895" s="16"/>
    </row>
    <row r="22896" spans="30:30" x14ac:dyDescent="0.3">
      <c r="AD22896" s="16"/>
    </row>
    <row r="22897" spans="30:30" x14ac:dyDescent="0.3">
      <c r="AD22897" s="16"/>
    </row>
    <row r="22898" spans="30:30" x14ac:dyDescent="0.3">
      <c r="AD22898" s="16"/>
    </row>
    <row r="22899" spans="30:30" x14ac:dyDescent="0.3">
      <c r="AD22899" s="16"/>
    </row>
    <row r="22900" spans="30:30" x14ac:dyDescent="0.3">
      <c r="AD22900" s="16"/>
    </row>
    <row r="22901" spans="30:30" x14ac:dyDescent="0.3">
      <c r="AD22901" s="16"/>
    </row>
    <row r="22902" spans="30:30" x14ac:dyDescent="0.3">
      <c r="AD22902" s="16"/>
    </row>
    <row r="22903" spans="30:30" x14ac:dyDescent="0.3">
      <c r="AD22903" s="16"/>
    </row>
    <row r="22904" spans="30:30" x14ac:dyDescent="0.3">
      <c r="AD22904" s="16"/>
    </row>
    <row r="22905" spans="30:30" x14ac:dyDescent="0.3">
      <c r="AD22905" s="16"/>
    </row>
    <row r="22906" spans="30:30" x14ac:dyDescent="0.3">
      <c r="AD22906" s="16"/>
    </row>
    <row r="22907" spans="30:30" x14ac:dyDescent="0.3">
      <c r="AD22907" s="16"/>
    </row>
    <row r="22908" spans="30:30" x14ac:dyDescent="0.3">
      <c r="AD22908" s="16"/>
    </row>
    <row r="22909" spans="30:30" x14ac:dyDescent="0.3">
      <c r="AD22909" s="16"/>
    </row>
    <row r="22910" spans="30:30" x14ac:dyDescent="0.3">
      <c r="AD22910" s="16"/>
    </row>
    <row r="22911" spans="30:30" x14ac:dyDescent="0.3">
      <c r="AD22911" s="16"/>
    </row>
    <row r="22912" spans="30:30" x14ac:dyDescent="0.3">
      <c r="AD22912" s="16"/>
    </row>
    <row r="22913" spans="30:30" x14ac:dyDescent="0.3">
      <c r="AD22913" s="16"/>
    </row>
    <row r="22914" spans="30:30" x14ac:dyDescent="0.3">
      <c r="AD22914" s="16"/>
    </row>
    <row r="22915" spans="30:30" x14ac:dyDescent="0.3">
      <c r="AD22915" s="16"/>
    </row>
    <row r="22916" spans="30:30" x14ac:dyDescent="0.3">
      <c r="AD22916" s="16"/>
    </row>
    <row r="22917" spans="30:30" x14ac:dyDescent="0.3">
      <c r="AD22917" s="16"/>
    </row>
    <row r="22918" spans="30:30" x14ac:dyDescent="0.3">
      <c r="AD22918" s="16"/>
    </row>
    <row r="22919" spans="30:30" x14ac:dyDescent="0.3">
      <c r="AD22919" s="16"/>
    </row>
    <row r="22920" spans="30:30" x14ac:dyDescent="0.3">
      <c r="AD22920" s="16"/>
    </row>
    <row r="22921" spans="30:30" x14ac:dyDescent="0.3">
      <c r="AD22921" s="16"/>
    </row>
    <row r="22922" spans="30:30" x14ac:dyDescent="0.3">
      <c r="AD22922" s="16"/>
    </row>
    <row r="22923" spans="30:30" x14ac:dyDescent="0.3">
      <c r="AD22923" s="16"/>
    </row>
    <row r="22924" spans="30:30" x14ac:dyDescent="0.3">
      <c r="AD22924" s="16"/>
    </row>
    <row r="22925" spans="30:30" x14ac:dyDescent="0.3">
      <c r="AD22925" s="16"/>
    </row>
    <row r="22926" spans="30:30" x14ac:dyDescent="0.3">
      <c r="AD22926" s="16"/>
    </row>
    <row r="22927" spans="30:30" x14ac:dyDescent="0.3">
      <c r="AD22927" s="16"/>
    </row>
    <row r="22928" spans="30:30" x14ac:dyDescent="0.3">
      <c r="AD22928" s="16"/>
    </row>
    <row r="22929" spans="30:30" x14ac:dyDescent="0.3">
      <c r="AD22929" s="16"/>
    </row>
    <row r="22930" spans="30:30" x14ac:dyDescent="0.3">
      <c r="AD22930" s="16"/>
    </row>
    <row r="22931" spans="30:30" x14ac:dyDescent="0.3">
      <c r="AD22931" s="16"/>
    </row>
    <row r="22932" spans="30:30" x14ac:dyDescent="0.3">
      <c r="AD22932" s="16"/>
    </row>
    <row r="22933" spans="30:30" x14ac:dyDescent="0.3">
      <c r="AD22933" s="16"/>
    </row>
    <row r="22934" spans="30:30" x14ac:dyDescent="0.3">
      <c r="AD22934" s="16"/>
    </row>
    <row r="22935" spans="30:30" x14ac:dyDescent="0.3">
      <c r="AD22935" s="16"/>
    </row>
    <row r="22936" spans="30:30" x14ac:dyDescent="0.3">
      <c r="AD22936" s="16"/>
    </row>
    <row r="22937" spans="30:30" x14ac:dyDescent="0.3">
      <c r="AD22937" s="16"/>
    </row>
    <row r="22938" spans="30:30" x14ac:dyDescent="0.3">
      <c r="AD22938" s="16"/>
    </row>
    <row r="22939" spans="30:30" x14ac:dyDescent="0.3">
      <c r="AD22939" s="16"/>
    </row>
    <row r="22940" spans="30:30" x14ac:dyDescent="0.3">
      <c r="AD22940" s="16"/>
    </row>
    <row r="22941" spans="30:30" x14ac:dyDescent="0.3">
      <c r="AD22941" s="16"/>
    </row>
    <row r="22942" spans="30:30" x14ac:dyDescent="0.3">
      <c r="AD22942" s="16"/>
    </row>
    <row r="22943" spans="30:30" x14ac:dyDescent="0.3">
      <c r="AD22943" s="16"/>
    </row>
    <row r="22944" spans="30:30" x14ac:dyDescent="0.3">
      <c r="AD22944" s="16"/>
    </row>
    <row r="22945" spans="30:30" x14ac:dyDescent="0.3">
      <c r="AD22945" s="16"/>
    </row>
    <row r="22946" spans="30:30" x14ac:dyDescent="0.3">
      <c r="AD22946" s="16"/>
    </row>
    <row r="22947" spans="30:30" x14ac:dyDescent="0.3">
      <c r="AD22947" s="16"/>
    </row>
    <row r="22948" spans="30:30" x14ac:dyDescent="0.3">
      <c r="AD22948" s="16"/>
    </row>
    <row r="22949" spans="30:30" x14ac:dyDescent="0.3">
      <c r="AD22949" s="16"/>
    </row>
    <row r="22950" spans="30:30" x14ac:dyDescent="0.3">
      <c r="AD22950" s="16"/>
    </row>
    <row r="22951" spans="30:30" x14ac:dyDescent="0.3">
      <c r="AD22951" s="16"/>
    </row>
    <row r="22952" spans="30:30" x14ac:dyDescent="0.3">
      <c r="AD22952" s="16"/>
    </row>
    <row r="22953" spans="30:30" x14ac:dyDescent="0.3">
      <c r="AD22953" s="16"/>
    </row>
    <row r="22954" spans="30:30" x14ac:dyDescent="0.3">
      <c r="AD22954" s="16"/>
    </row>
    <row r="22955" spans="30:30" x14ac:dyDescent="0.3">
      <c r="AD22955" s="16"/>
    </row>
    <row r="22956" spans="30:30" x14ac:dyDescent="0.3">
      <c r="AD22956" s="16"/>
    </row>
    <row r="22957" spans="30:30" x14ac:dyDescent="0.3">
      <c r="AD22957" s="16"/>
    </row>
    <row r="22958" spans="30:30" x14ac:dyDescent="0.3">
      <c r="AD22958" s="16"/>
    </row>
    <row r="22959" spans="30:30" x14ac:dyDescent="0.3">
      <c r="AD22959" s="16"/>
    </row>
    <row r="22960" spans="30:30" x14ac:dyDescent="0.3">
      <c r="AD22960" s="16"/>
    </row>
    <row r="22961" spans="30:30" x14ac:dyDescent="0.3">
      <c r="AD22961" s="16"/>
    </row>
    <row r="22962" spans="30:30" x14ac:dyDescent="0.3">
      <c r="AD22962" s="16"/>
    </row>
    <row r="22963" spans="30:30" x14ac:dyDescent="0.3">
      <c r="AD22963" s="16"/>
    </row>
    <row r="22964" spans="30:30" x14ac:dyDescent="0.3">
      <c r="AD22964" s="16"/>
    </row>
    <row r="22965" spans="30:30" x14ac:dyDescent="0.3">
      <c r="AD22965" s="16"/>
    </row>
    <row r="22966" spans="30:30" x14ac:dyDescent="0.3">
      <c r="AD22966" s="16"/>
    </row>
    <row r="22967" spans="30:30" x14ac:dyDescent="0.3">
      <c r="AD22967" s="16"/>
    </row>
    <row r="22968" spans="30:30" x14ac:dyDescent="0.3">
      <c r="AD22968" s="16"/>
    </row>
    <row r="22969" spans="30:30" x14ac:dyDescent="0.3">
      <c r="AD22969" s="16"/>
    </row>
    <row r="22970" spans="30:30" x14ac:dyDescent="0.3">
      <c r="AD22970" s="16"/>
    </row>
    <row r="22971" spans="30:30" x14ac:dyDescent="0.3">
      <c r="AD22971" s="16"/>
    </row>
    <row r="22972" spans="30:30" x14ac:dyDescent="0.3">
      <c r="AD22972" s="16"/>
    </row>
    <row r="22973" spans="30:30" x14ac:dyDescent="0.3">
      <c r="AD22973" s="16"/>
    </row>
    <row r="22974" spans="30:30" x14ac:dyDescent="0.3">
      <c r="AD22974" s="16"/>
    </row>
    <row r="22975" spans="30:30" x14ac:dyDescent="0.3">
      <c r="AD22975" s="16"/>
    </row>
    <row r="22976" spans="30:30" x14ac:dyDescent="0.3">
      <c r="AD22976" s="16"/>
    </row>
    <row r="22977" spans="30:30" x14ac:dyDescent="0.3">
      <c r="AD22977" s="16"/>
    </row>
    <row r="22978" spans="30:30" x14ac:dyDescent="0.3">
      <c r="AD22978" s="16"/>
    </row>
    <row r="22979" spans="30:30" x14ac:dyDescent="0.3">
      <c r="AD22979" s="16"/>
    </row>
    <row r="22980" spans="30:30" x14ac:dyDescent="0.3">
      <c r="AD22980" s="16"/>
    </row>
    <row r="22981" spans="30:30" x14ac:dyDescent="0.3">
      <c r="AD22981" s="16"/>
    </row>
    <row r="22982" spans="30:30" x14ac:dyDescent="0.3">
      <c r="AD22982" s="16"/>
    </row>
    <row r="22983" spans="30:30" x14ac:dyDescent="0.3">
      <c r="AD22983" s="16"/>
    </row>
    <row r="22984" spans="30:30" x14ac:dyDescent="0.3">
      <c r="AD22984" s="16"/>
    </row>
    <row r="22985" spans="30:30" x14ac:dyDescent="0.3">
      <c r="AD22985" s="16"/>
    </row>
    <row r="22986" spans="30:30" x14ac:dyDescent="0.3">
      <c r="AD22986" s="16"/>
    </row>
    <row r="22987" spans="30:30" x14ac:dyDescent="0.3">
      <c r="AD22987" s="16"/>
    </row>
    <row r="22988" spans="30:30" x14ac:dyDescent="0.3">
      <c r="AD22988" s="16"/>
    </row>
    <row r="22989" spans="30:30" x14ac:dyDescent="0.3">
      <c r="AD22989" s="16"/>
    </row>
    <row r="22990" spans="30:30" x14ac:dyDescent="0.3">
      <c r="AD22990" s="16"/>
    </row>
    <row r="22991" spans="30:30" x14ac:dyDescent="0.3">
      <c r="AD22991" s="16"/>
    </row>
    <row r="22992" spans="30:30" x14ac:dyDescent="0.3">
      <c r="AD22992" s="16"/>
    </row>
    <row r="22993" spans="30:30" x14ac:dyDescent="0.3">
      <c r="AD22993" s="16"/>
    </row>
    <row r="22994" spans="30:30" x14ac:dyDescent="0.3">
      <c r="AD22994" s="16"/>
    </row>
    <row r="22995" spans="30:30" x14ac:dyDescent="0.3">
      <c r="AD22995" s="16"/>
    </row>
    <row r="22996" spans="30:30" x14ac:dyDescent="0.3">
      <c r="AD22996" s="16"/>
    </row>
    <row r="22997" spans="30:30" x14ac:dyDescent="0.3">
      <c r="AD22997" s="16"/>
    </row>
    <row r="22998" spans="30:30" x14ac:dyDescent="0.3">
      <c r="AD22998" s="16"/>
    </row>
    <row r="22999" spans="30:30" x14ac:dyDescent="0.3">
      <c r="AD22999" s="16"/>
    </row>
    <row r="23000" spans="30:30" x14ac:dyDescent="0.3">
      <c r="AD23000" s="16"/>
    </row>
    <row r="23001" spans="30:30" x14ac:dyDescent="0.3">
      <c r="AD23001" s="16"/>
    </row>
    <row r="23002" spans="30:30" x14ac:dyDescent="0.3">
      <c r="AD23002" s="16"/>
    </row>
    <row r="23003" spans="30:30" x14ac:dyDescent="0.3">
      <c r="AD23003" s="16"/>
    </row>
    <row r="23004" spans="30:30" x14ac:dyDescent="0.3">
      <c r="AD23004" s="16"/>
    </row>
    <row r="23005" spans="30:30" x14ac:dyDescent="0.3">
      <c r="AD23005" s="16"/>
    </row>
    <row r="23006" spans="30:30" x14ac:dyDescent="0.3">
      <c r="AD23006" s="16"/>
    </row>
    <row r="23007" spans="30:30" x14ac:dyDescent="0.3">
      <c r="AD23007" s="16"/>
    </row>
    <row r="23008" spans="30:30" x14ac:dyDescent="0.3">
      <c r="AD23008" s="16"/>
    </row>
    <row r="23009" spans="30:30" x14ac:dyDescent="0.3">
      <c r="AD23009" s="16"/>
    </row>
    <row r="23010" spans="30:30" x14ac:dyDescent="0.3">
      <c r="AD23010" s="16"/>
    </row>
    <row r="23011" spans="30:30" x14ac:dyDescent="0.3">
      <c r="AD23011" s="16"/>
    </row>
    <row r="23012" spans="30:30" x14ac:dyDescent="0.3">
      <c r="AD23012" s="16"/>
    </row>
    <row r="23013" spans="30:30" x14ac:dyDescent="0.3">
      <c r="AD23013" s="16"/>
    </row>
    <row r="23014" spans="30:30" x14ac:dyDescent="0.3">
      <c r="AD23014" s="16"/>
    </row>
    <row r="23015" spans="30:30" x14ac:dyDescent="0.3">
      <c r="AD23015" s="16"/>
    </row>
    <row r="23016" spans="30:30" x14ac:dyDescent="0.3">
      <c r="AD23016" s="16"/>
    </row>
    <row r="23017" spans="30:30" x14ac:dyDescent="0.3">
      <c r="AD23017" s="16"/>
    </row>
    <row r="23018" spans="30:30" x14ac:dyDescent="0.3">
      <c r="AD23018" s="16"/>
    </row>
    <row r="23019" spans="30:30" x14ac:dyDescent="0.3">
      <c r="AD23019" s="16"/>
    </row>
    <row r="23020" spans="30:30" x14ac:dyDescent="0.3">
      <c r="AD23020" s="16"/>
    </row>
    <row r="23021" spans="30:30" x14ac:dyDescent="0.3">
      <c r="AD23021" s="16"/>
    </row>
    <row r="23022" spans="30:30" x14ac:dyDescent="0.3">
      <c r="AD23022" s="16"/>
    </row>
    <row r="23023" spans="30:30" x14ac:dyDescent="0.3">
      <c r="AD23023" s="16"/>
    </row>
    <row r="23024" spans="30:30" x14ac:dyDescent="0.3">
      <c r="AD23024" s="16"/>
    </row>
    <row r="23025" spans="30:30" x14ac:dyDescent="0.3">
      <c r="AD23025" s="16"/>
    </row>
    <row r="23026" spans="30:30" x14ac:dyDescent="0.3">
      <c r="AD23026" s="16"/>
    </row>
    <row r="23027" spans="30:30" x14ac:dyDescent="0.3">
      <c r="AD23027" s="16"/>
    </row>
    <row r="23028" spans="30:30" x14ac:dyDescent="0.3">
      <c r="AD23028" s="16"/>
    </row>
    <row r="23029" spans="30:30" x14ac:dyDescent="0.3">
      <c r="AD23029" s="16"/>
    </row>
    <row r="23030" spans="30:30" x14ac:dyDescent="0.3">
      <c r="AD23030" s="16"/>
    </row>
    <row r="23031" spans="30:30" x14ac:dyDescent="0.3">
      <c r="AD23031" s="16"/>
    </row>
    <row r="23032" spans="30:30" x14ac:dyDescent="0.3">
      <c r="AD23032" s="16"/>
    </row>
    <row r="23033" spans="30:30" x14ac:dyDescent="0.3">
      <c r="AD23033" s="16"/>
    </row>
    <row r="23034" spans="30:30" x14ac:dyDescent="0.3">
      <c r="AD23034" s="16"/>
    </row>
    <row r="23035" spans="30:30" x14ac:dyDescent="0.3">
      <c r="AD23035" s="16"/>
    </row>
    <row r="23036" spans="30:30" x14ac:dyDescent="0.3">
      <c r="AD23036" s="16"/>
    </row>
    <row r="23037" spans="30:30" x14ac:dyDescent="0.3">
      <c r="AD23037" s="16"/>
    </row>
    <row r="23038" spans="30:30" x14ac:dyDescent="0.3">
      <c r="AD23038" s="16"/>
    </row>
    <row r="23039" spans="30:30" x14ac:dyDescent="0.3">
      <c r="AD23039" s="16"/>
    </row>
    <row r="23040" spans="30:30" x14ac:dyDescent="0.3">
      <c r="AD23040" s="16"/>
    </row>
    <row r="23041" spans="30:30" x14ac:dyDescent="0.3">
      <c r="AD23041" s="16"/>
    </row>
    <row r="23042" spans="30:30" x14ac:dyDescent="0.3">
      <c r="AD23042" s="16"/>
    </row>
    <row r="23043" spans="30:30" x14ac:dyDescent="0.3">
      <c r="AD23043" s="16"/>
    </row>
    <row r="23044" spans="30:30" x14ac:dyDescent="0.3">
      <c r="AD23044" s="16"/>
    </row>
    <row r="23045" spans="30:30" x14ac:dyDescent="0.3">
      <c r="AD23045" s="16"/>
    </row>
    <row r="23046" spans="30:30" x14ac:dyDescent="0.3">
      <c r="AD23046" s="16"/>
    </row>
    <row r="23047" spans="30:30" x14ac:dyDescent="0.3">
      <c r="AD23047" s="16"/>
    </row>
    <row r="23048" spans="30:30" x14ac:dyDescent="0.3">
      <c r="AD23048" s="16"/>
    </row>
    <row r="23049" spans="30:30" x14ac:dyDescent="0.3">
      <c r="AD23049" s="16"/>
    </row>
    <row r="23050" spans="30:30" x14ac:dyDescent="0.3">
      <c r="AD23050" s="16"/>
    </row>
    <row r="23051" spans="30:30" x14ac:dyDescent="0.3">
      <c r="AD23051" s="16"/>
    </row>
    <row r="23052" spans="30:30" x14ac:dyDescent="0.3">
      <c r="AD23052" s="16"/>
    </row>
    <row r="23053" spans="30:30" x14ac:dyDescent="0.3">
      <c r="AD23053" s="16"/>
    </row>
    <row r="23054" spans="30:30" x14ac:dyDescent="0.3">
      <c r="AD23054" s="16"/>
    </row>
    <row r="23055" spans="30:30" x14ac:dyDescent="0.3">
      <c r="AD23055" s="16"/>
    </row>
    <row r="23056" spans="30:30" x14ac:dyDescent="0.3">
      <c r="AD23056" s="16"/>
    </row>
    <row r="23057" spans="30:30" x14ac:dyDescent="0.3">
      <c r="AD23057" s="16"/>
    </row>
    <row r="23058" spans="30:30" x14ac:dyDescent="0.3">
      <c r="AD23058" s="16"/>
    </row>
    <row r="23059" spans="30:30" x14ac:dyDescent="0.3">
      <c r="AD23059" s="16"/>
    </row>
    <row r="23060" spans="30:30" x14ac:dyDescent="0.3">
      <c r="AD23060" s="16"/>
    </row>
    <row r="23061" spans="30:30" x14ac:dyDescent="0.3">
      <c r="AD23061" s="16"/>
    </row>
    <row r="23062" spans="30:30" x14ac:dyDescent="0.3">
      <c r="AD23062" s="16"/>
    </row>
    <row r="23063" spans="30:30" x14ac:dyDescent="0.3">
      <c r="AD23063" s="16"/>
    </row>
    <row r="23064" spans="30:30" x14ac:dyDescent="0.3">
      <c r="AD23064" s="16"/>
    </row>
    <row r="23065" spans="30:30" x14ac:dyDescent="0.3">
      <c r="AD23065" s="16"/>
    </row>
    <row r="23066" spans="30:30" x14ac:dyDescent="0.3">
      <c r="AD23066" s="16"/>
    </row>
    <row r="23067" spans="30:30" x14ac:dyDescent="0.3">
      <c r="AD23067" s="16"/>
    </row>
    <row r="23068" spans="30:30" x14ac:dyDescent="0.3">
      <c r="AD23068" s="16"/>
    </row>
    <row r="23069" spans="30:30" x14ac:dyDescent="0.3">
      <c r="AD23069" s="16"/>
    </row>
    <row r="23070" spans="30:30" x14ac:dyDescent="0.3">
      <c r="AD23070" s="16"/>
    </row>
    <row r="23071" spans="30:30" x14ac:dyDescent="0.3">
      <c r="AD23071" s="16"/>
    </row>
    <row r="23072" spans="30:30" x14ac:dyDescent="0.3">
      <c r="AD23072" s="16"/>
    </row>
    <row r="23073" spans="30:30" x14ac:dyDescent="0.3">
      <c r="AD23073" s="16"/>
    </row>
    <row r="23074" spans="30:30" x14ac:dyDescent="0.3">
      <c r="AD23074" s="16"/>
    </row>
    <row r="23075" spans="30:30" x14ac:dyDescent="0.3">
      <c r="AD23075" s="16"/>
    </row>
    <row r="23076" spans="30:30" x14ac:dyDescent="0.3">
      <c r="AD23076" s="16"/>
    </row>
    <row r="23077" spans="30:30" x14ac:dyDescent="0.3">
      <c r="AD23077" s="16"/>
    </row>
    <row r="23078" spans="30:30" x14ac:dyDescent="0.3">
      <c r="AD23078" s="16"/>
    </row>
    <row r="23079" spans="30:30" x14ac:dyDescent="0.3">
      <c r="AD23079" s="16"/>
    </row>
    <row r="23080" spans="30:30" x14ac:dyDescent="0.3">
      <c r="AD23080" s="16"/>
    </row>
    <row r="23081" spans="30:30" x14ac:dyDescent="0.3">
      <c r="AD23081" s="16"/>
    </row>
    <row r="23082" spans="30:30" x14ac:dyDescent="0.3">
      <c r="AD23082" s="16"/>
    </row>
    <row r="23083" spans="30:30" x14ac:dyDescent="0.3">
      <c r="AD23083" s="16"/>
    </row>
    <row r="23084" spans="30:30" x14ac:dyDescent="0.3">
      <c r="AD23084" s="16"/>
    </row>
    <row r="23085" spans="30:30" x14ac:dyDescent="0.3">
      <c r="AD23085" s="16"/>
    </row>
    <row r="23086" spans="30:30" x14ac:dyDescent="0.3">
      <c r="AD23086" s="16"/>
    </row>
    <row r="23087" spans="30:30" x14ac:dyDescent="0.3">
      <c r="AD23087" s="16"/>
    </row>
    <row r="23088" spans="30:30" x14ac:dyDescent="0.3">
      <c r="AD23088" s="16"/>
    </row>
    <row r="23089" spans="30:30" x14ac:dyDescent="0.3">
      <c r="AD23089" s="16"/>
    </row>
    <row r="23090" spans="30:30" x14ac:dyDescent="0.3">
      <c r="AD23090" s="16"/>
    </row>
    <row r="23091" spans="30:30" x14ac:dyDescent="0.3">
      <c r="AD23091" s="16"/>
    </row>
    <row r="23092" spans="30:30" x14ac:dyDescent="0.3">
      <c r="AD23092" s="16"/>
    </row>
    <row r="23093" spans="30:30" x14ac:dyDescent="0.3">
      <c r="AD23093" s="16"/>
    </row>
    <row r="23094" spans="30:30" x14ac:dyDescent="0.3">
      <c r="AD23094" s="16"/>
    </row>
    <row r="23095" spans="30:30" x14ac:dyDescent="0.3">
      <c r="AD23095" s="16"/>
    </row>
    <row r="23096" spans="30:30" x14ac:dyDescent="0.3">
      <c r="AD23096" s="16"/>
    </row>
    <row r="23097" spans="30:30" x14ac:dyDescent="0.3">
      <c r="AD23097" s="16"/>
    </row>
    <row r="23098" spans="30:30" x14ac:dyDescent="0.3">
      <c r="AD23098" s="16"/>
    </row>
    <row r="23099" spans="30:30" x14ac:dyDescent="0.3">
      <c r="AD23099" s="16"/>
    </row>
    <row r="23100" spans="30:30" x14ac:dyDescent="0.3">
      <c r="AD23100" s="16"/>
    </row>
    <row r="23101" spans="30:30" x14ac:dyDescent="0.3">
      <c r="AD23101" s="16"/>
    </row>
    <row r="23102" spans="30:30" x14ac:dyDescent="0.3">
      <c r="AD23102" s="16"/>
    </row>
    <row r="23103" spans="30:30" x14ac:dyDescent="0.3">
      <c r="AD23103" s="16"/>
    </row>
    <row r="23104" spans="30:30" x14ac:dyDescent="0.3">
      <c r="AD23104" s="16"/>
    </row>
    <row r="23105" spans="30:30" x14ac:dyDescent="0.3">
      <c r="AD23105" s="16"/>
    </row>
    <row r="23106" spans="30:30" x14ac:dyDescent="0.3">
      <c r="AD23106" s="16"/>
    </row>
    <row r="23107" spans="30:30" x14ac:dyDescent="0.3">
      <c r="AD23107" s="16"/>
    </row>
    <row r="23108" spans="30:30" x14ac:dyDescent="0.3">
      <c r="AD23108" s="16"/>
    </row>
    <row r="23109" spans="30:30" x14ac:dyDescent="0.3">
      <c r="AD23109" s="16"/>
    </row>
    <row r="23110" spans="30:30" x14ac:dyDescent="0.3">
      <c r="AD23110" s="16"/>
    </row>
    <row r="23111" spans="30:30" x14ac:dyDescent="0.3">
      <c r="AD23111" s="16"/>
    </row>
    <row r="23112" spans="30:30" x14ac:dyDescent="0.3">
      <c r="AD23112" s="16"/>
    </row>
    <row r="23113" spans="30:30" x14ac:dyDescent="0.3">
      <c r="AD23113" s="16"/>
    </row>
    <row r="23114" spans="30:30" x14ac:dyDescent="0.3">
      <c r="AD23114" s="16"/>
    </row>
    <row r="23115" spans="30:30" x14ac:dyDescent="0.3">
      <c r="AD23115" s="16"/>
    </row>
    <row r="23116" spans="30:30" x14ac:dyDescent="0.3">
      <c r="AD23116" s="16"/>
    </row>
    <row r="23117" spans="30:30" x14ac:dyDescent="0.3">
      <c r="AD23117" s="16"/>
    </row>
    <row r="23118" spans="30:30" x14ac:dyDescent="0.3">
      <c r="AD23118" s="16"/>
    </row>
    <row r="23119" spans="30:30" x14ac:dyDescent="0.3">
      <c r="AD23119" s="16"/>
    </row>
    <row r="23120" spans="30:30" x14ac:dyDescent="0.3">
      <c r="AD23120" s="16"/>
    </row>
    <row r="23121" spans="30:30" x14ac:dyDescent="0.3">
      <c r="AD23121" s="16"/>
    </row>
    <row r="23122" spans="30:30" x14ac:dyDescent="0.3">
      <c r="AD23122" s="16"/>
    </row>
    <row r="23123" spans="30:30" x14ac:dyDescent="0.3">
      <c r="AD23123" s="16"/>
    </row>
    <row r="23124" spans="30:30" x14ac:dyDescent="0.3">
      <c r="AD23124" s="16"/>
    </row>
    <row r="23125" spans="30:30" x14ac:dyDescent="0.3">
      <c r="AD23125" s="16"/>
    </row>
    <row r="23126" spans="30:30" x14ac:dyDescent="0.3">
      <c r="AD23126" s="16"/>
    </row>
    <row r="23127" spans="30:30" x14ac:dyDescent="0.3">
      <c r="AD23127" s="16"/>
    </row>
    <row r="23128" spans="30:30" x14ac:dyDescent="0.3">
      <c r="AD23128" s="16"/>
    </row>
    <row r="23129" spans="30:30" x14ac:dyDescent="0.3">
      <c r="AD23129" s="16"/>
    </row>
    <row r="23130" spans="30:30" x14ac:dyDescent="0.3">
      <c r="AD23130" s="16"/>
    </row>
    <row r="23131" spans="30:30" x14ac:dyDescent="0.3">
      <c r="AD23131" s="16"/>
    </row>
    <row r="23132" spans="30:30" x14ac:dyDescent="0.3">
      <c r="AD23132" s="16"/>
    </row>
    <row r="23133" spans="30:30" x14ac:dyDescent="0.3">
      <c r="AD23133" s="16"/>
    </row>
    <row r="23134" spans="30:30" x14ac:dyDescent="0.3">
      <c r="AD23134" s="16"/>
    </row>
    <row r="23135" spans="30:30" x14ac:dyDescent="0.3">
      <c r="AD23135" s="16"/>
    </row>
    <row r="23136" spans="30:30" x14ac:dyDescent="0.3">
      <c r="AD23136" s="16"/>
    </row>
    <row r="23137" spans="30:30" x14ac:dyDescent="0.3">
      <c r="AD23137" s="16"/>
    </row>
    <row r="23138" spans="30:30" x14ac:dyDescent="0.3">
      <c r="AD23138" s="16"/>
    </row>
    <row r="23139" spans="30:30" x14ac:dyDescent="0.3">
      <c r="AD23139" s="16"/>
    </row>
    <row r="23140" spans="30:30" x14ac:dyDescent="0.3">
      <c r="AD23140" s="16"/>
    </row>
    <row r="23141" spans="30:30" x14ac:dyDescent="0.3">
      <c r="AD23141" s="16"/>
    </row>
    <row r="23142" spans="30:30" x14ac:dyDescent="0.3">
      <c r="AD23142" s="16"/>
    </row>
    <row r="23143" spans="30:30" x14ac:dyDescent="0.3">
      <c r="AD23143" s="16"/>
    </row>
    <row r="23144" spans="30:30" x14ac:dyDescent="0.3">
      <c r="AD23144" s="16"/>
    </row>
    <row r="23145" spans="30:30" x14ac:dyDescent="0.3">
      <c r="AD23145" s="16"/>
    </row>
    <row r="23146" spans="30:30" x14ac:dyDescent="0.3">
      <c r="AD23146" s="16"/>
    </row>
    <row r="23147" spans="30:30" x14ac:dyDescent="0.3">
      <c r="AD23147" s="16"/>
    </row>
    <row r="23148" spans="30:30" x14ac:dyDescent="0.3">
      <c r="AD23148" s="16"/>
    </row>
    <row r="23149" spans="30:30" x14ac:dyDescent="0.3">
      <c r="AD23149" s="16"/>
    </row>
    <row r="23150" spans="30:30" x14ac:dyDescent="0.3">
      <c r="AD23150" s="16"/>
    </row>
    <row r="23151" spans="30:30" x14ac:dyDescent="0.3">
      <c r="AD23151" s="16"/>
    </row>
    <row r="23152" spans="30:30" x14ac:dyDescent="0.3">
      <c r="AD23152" s="16"/>
    </row>
    <row r="23153" spans="30:30" x14ac:dyDescent="0.3">
      <c r="AD23153" s="16"/>
    </row>
    <row r="23154" spans="30:30" x14ac:dyDescent="0.3">
      <c r="AD23154" s="16"/>
    </row>
    <row r="23155" spans="30:30" x14ac:dyDescent="0.3">
      <c r="AD23155" s="16"/>
    </row>
    <row r="23156" spans="30:30" x14ac:dyDescent="0.3">
      <c r="AD23156" s="16"/>
    </row>
    <row r="23157" spans="30:30" x14ac:dyDescent="0.3">
      <c r="AD23157" s="16"/>
    </row>
    <row r="23158" spans="30:30" x14ac:dyDescent="0.3">
      <c r="AD23158" s="16"/>
    </row>
    <row r="23159" spans="30:30" x14ac:dyDescent="0.3">
      <c r="AD23159" s="16"/>
    </row>
    <row r="23160" spans="30:30" x14ac:dyDescent="0.3">
      <c r="AD23160" s="16"/>
    </row>
    <row r="23161" spans="30:30" x14ac:dyDescent="0.3">
      <c r="AD23161" s="16"/>
    </row>
    <row r="23162" spans="30:30" x14ac:dyDescent="0.3">
      <c r="AD23162" s="16"/>
    </row>
    <row r="23163" spans="30:30" x14ac:dyDescent="0.3">
      <c r="AD23163" s="16"/>
    </row>
    <row r="23164" spans="30:30" x14ac:dyDescent="0.3">
      <c r="AD23164" s="16"/>
    </row>
    <row r="23165" spans="30:30" x14ac:dyDescent="0.3">
      <c r="AD23165" s="16"/>
    </row>
    <row r="23166" spans="30:30" x14ac:dyDescent="0.3">
      <c r="AD23166" s="16"/>
    </row>
    <row r="23167" spans="30:30" x14ac:dyDescent="0.3">
      <c r="AD23167" s="16"/>
    </row>
    <row r="23168" spans="30:30" x14ac:dyDescent="0.3">
      <c r="AD23168" s="16"/>
    </row>
    <row r="23169" spans="30:30" x14ac:dyDescent="0.3">
      <c r="AD23169" s="16"/>
    </row>
    <row r="23170" spans="30:30" x14ac:dyDescent="0.3">
      <c r="AD23170" s="16"/>
    </row>
    <row r="23171" spans="30:30" x14ac:dyDescent="0.3">
      <c r="AD23171" s="16"/>
    </row>
    <row r="23172" spans="30:30" x14ac:dyDescent="0.3">
      <c r="AD23172" s="16"/>
    </row>
    <row r="23173" spans="30:30" x14ac:dyDescent="0.3">
      <c r="AD23173" s="16"/>
    </row>
    <row r="23174" spans="30:30" x14ac:dyDescent="0.3">
      <c r="AD23174" s="16"/>
    </row>
    <row r="23175" spans="30:30" x14ac:dyDescent="0.3">
      <c r="AD23175" s="16"/>
    </row>
    <row r="23176" spans="30:30" x14ac:dyDescent="0.3">
      <c r="AD23176" s="16"/>
    </row>
    <row r="23177" spans="30:30" x14ac:dyDescent="0.3">
      <c r="AD23177" s="16"/>
    </row>
    <row r="23178" spans="30:30" x14ac:dyDescent="0.3">
      <c r="AD23178" s="16"/>
    </row>
    <row r="23179" spans="30:30" x14ac:dyDescent="0.3">
      <c r="AD23179" s="16"/>
    </row>
    <row r="23180" spans="30:30" x14ac:dyDescent="0.3">
      <c r="AD23180" s="16"/>
    </row>
    <row r="23181" spans="30:30" x14ac:dyDescent="0.3">
      <c r="AD23181" s="16"/>
    </row>
    <row r="23182" spans="30:30" x14ac:dyDescent="0.3">
      <c r="AD23182" s="16"/>
    </row>
    <row r="23183" spans="30:30" x14ac:dyDescent="0.3">
      <c r="AD23183" s="16"/>
    </row>
    <row r="23184" spans="30:30" x14ac:dyDescent="0.3">
      <c r="AD23184" s="16"/>
    </row>
    <row r="23185" spans="30:30" x14ac:dyDescent="0.3">
      <c r="AD23185" s="16"/>
    </row>
    <row r="23186" spans="30:30" x14ac:dyDescent="0.3">
      <c r="AD23186" s="16"/>
    </row>
    <row r="23187" spans="30:30" x14ac:dyDescent="0.3">
      <c r="AD23187" s="16"/>
    </row>
    <row r="23188" spans="30:30" x14ac:dyDescent="0.3">
      <c r="AD23188" s="16"/>
    </row>
    <row r="23189" spans="30:30" x14ac:dyDescent="0.3">
      <c r="AD23189" s="16"/>
    </row>
    <row r="23190" spans="30:30" x14ac:dyDescent="0.3">
      <c r="AD23190" s="16"/>
    </row>
    <row r="23191" spans="30:30" x14ac:dyDescent="0.3">
      <c r="AD23191" s="16"/>
    </row>
    <row r="23192" spans="30:30" x14ac:dyDescent="0.3">
      <c r="AD23192" s="16"/>
    </row>
    <row r="23193" spans="30:30" x14ac:dyDescent="0.3">
      <c r="AD23193" s="16"/>
    </row>
    <row r="23194" spans="30:30" x14ac:dyDescent="0.3">
      <c r="AD23194" s="16"/>
    </row>
    <row r="23195" spans="30:30" x14ac:dyDescent="0.3">
      <c r="AD23195" s="16"/>
    </row>
    <row r="23196" spans="30:30" x14ac:dyDescent="0.3">
      <c r="AD23196" s="16"/>
    </row>
    <row r="23197" spans="30:30" x14ac:dyDescent="0.3">
      <c r="AD23197" s="16"/>
    </row>
    <row r="23198" spans="30:30" x14ac:dyDescent="0.3">
      <c r="AD23198" s="16"/>
    </row>
    <row r="23199" spans="30:30" x14ac:dyDescent="0.3">
      <c r="AD23199" s="16"/>
    </row>
    <row r="23200" spans="30:30" x14ac:dyDescent="0.3">
      <c r="AD23200" s="16"/>
    </row>
    <row r="23201" spans="30:30" x14ac:dyDescent="0.3">
      <c r="AD23201" s="16"/>
    </row>
    <row r="23202" spans="30:30" x14ac:dyDescent="0.3">
      <c r="AD23202" s="16"/>
    </row>
    <row r="23203" spans="30:30" x14ac:dyDescent="0.3">
      <c r="AD23203" s="16"/>
    </row>
    <row r="23204" spans="30:30" x14ac:dyDescent="0.3">
      <c r="AD23204" s="16"/>
    </row>
    <row r="23205" spans="30:30" x14ac:dyDescent="0.3">
      <c r="AD23205" s="16"/>
    </row>
    <row r="23206" spans="30:30" x14ac:dyDescent="0.3">
      <c r="AD23206" s="16"/>
    </row>
    <row r="23207" spans="30:30" x14ac:dyDescent="0.3">
      <c r="AD23207" s="16"/>
    </row>
    <row r="23208" spans="30:30" x14ac:dyDescent="0.3">
      <c r="AD23208" s="16"/>
    </row>
    <row r="23209" spans="30:30" x14ac:dyDescent="0.3">
      <c r="AD23209" s="16"/>
    </row>
    <row r="23210" spans="30:30" x14ac:dyDescent="0.3">
      <c r="AD23210" s="16"/>
    </row>
    <row r="23211" spans="30:30" x14ac:dyDescent="0.3">
      <c r="AD23211" s="16"/>
    </row>
    <row r="23212" spans="30:30" x14ac:dyDescent="0.3">
      <c r="AD23212" s="16"/>
    </row>
    <row r="23213" spans="30:30" x14ac:dyDescent="0.3">
      <c r="AD23213" s="16"/>
    </row>
    <row r="23214" spans="30:30" x14ac:dyDescent="0.3">
      <c r="AD23214" s="16"/>
    </row>
    <row r="23215" spans="30:30" x14ac:dyDescent="0.3">
      <c r="AD23215" s="16"/>
    </row>
    <row r="23216" spans="30:30" x14ac:dyDescent="0.3">
      <c r="AD23216" s="16"/>
    </row>
    <row r="23217" spans="30:30" x14ac:dyDescent="0.3">
      <c r="AD23217" s="16"/>
    </row>
    <row r="23218" spans="30:30" x14ac:dyDescent="0.3">
      <c r="AD23218" s="16"/>
    </row>
    <row r="23219" spans="30:30" x14ac:dyDescent="0.3">
      <c r="AD23219" s="16"/>
    </row>
    <row r="23220" spans="30:30" x14ac:dyDescent="0.3">
      <c r="AD23220" s="16"/>
    </row>
    <row r="23221" spans="30:30" x14ac:dyDescent="0.3">
      <c r="AD23221" s="16"/>
    </row>
    <row r="23222" spans="30:30" x14ac:dyDescent="0.3">
      <c r="AD23222" s="16"/>
    </row>
    <row r="23223" spans="30:30" x14ac:dyDescent="0.3">
      <c r="AD23223" s="16"/>
    </row>
    <row r="23224" spans="30:30" x14ac:dyDescent="0.3">
      <c r="AD23224" s="16"/>
    </row>
    <row r="23225" spans="30:30" x14ac:dyDescent="0.3">
      <c r="AD23225" s="16"/>
    </row>
    <row r="23226" spans="30:30" x14ac:dyDescent="0.3">
      <c r="AD23226" s="16"/>
    </row>
    <row r="23227" spans="30:30" x14ac:dyDescent="0.3">
      <c r="AD23227" s="16"/>
    </row>
    <row r="23228" spans="30:30" x14ac:dyDescent="0.3">
      <c r="AD23228" s="16"/>
    </row>
    <row r="23229" spans="30:30" x14ac:dyDescent="0.3">
      <c r="AD23229" s="16"/>
    </row>
    <row r="23230" spans="30:30" x14ac:dyDescent="0.3">
      <c r="AD23230" s="16"/>
    </row>
    <row r="23231" spans="30:30" x14ac:dyDescent="0.3">
      <c r="AD23231" s="16"/>
    </row>
    <row r="23232" spans="30:30" x14ac:dyDescent="0.3">
      <c r="AD23232" s="16"/>
    </row>
    <row r="23233" spans="30:30" x14ac:dyDescent="0.3">
      <c r="AD23233" s="16"/>
    </row>
    <row r="23234" spans="30:30" x14ac:dyDescent="0.3">
      <c r="AD23234" s="16"/>
    </row>
    <row r="23235" spans="30:30" x14ac:dyDescent="0.3">
      <c r="AD23235" s="16"/>
    </row>
    <row r="23236" spans="30:30" x14ac:dyDescent="0.3">
      <c r="AD23236" s="16"/>
    </row>
    <row r="23237" spans="30:30" x14ac:dyDescent="0.3">
      <c r="AD23237" s="16"/>
    </row>
    <row r="23238" spans="30:30" x14ac:dyDescent="0.3">
      <c r="AD23238" s="16"/>
    </row>
    <row r="23239" spans="30:30" x14ac:dyDescent="0.3">
      <c r="AD23239" s="16"/>
    </row>
    <row r="23240" spans="30:30" x14ac:dyDescent="0.3">
      <c r="AD23240" s="16"/>
    </row>
    <row r="23241" spans="30:30" x14ac:dyDescent="0.3">
      <c r="AD23241" s="16"/>
    </row>
    <row r="23242" spans="30:30" x14ac:dyDescent="0.3">
      <c r="AD23242" s="16"/>
    </row>
    <row r="23243" spans="30:30" x14ac:dyDescent="0.3">
      <c r="AD23243" s="16"/>
    </row>
    <row r="23244" spans="30:30" x14ac:dyDescent="0.3">
      <c r="AD23244" s="16"/>
    </row>
    <row r="23245" spans="30:30" x14ac:dyDescent="0.3">
      <c r="AD23245" s="16"/>
    </row>
    <row r="23246" spans="30:30" x14ac:dyDescent="0.3">
      <c r="AD23246" s="16"/>
    </row>
    <row r="23247" spans="30:30" x14ac:dyDescent="0.3">
      <c r="AD23247" s="16"/>
    </row>
    <row r="23248" spans="30:30" x14ac:dyDescent="0.3">
      <c r="AD23248" s="16"/>
    </row>
    <row r="23249" spans="30:30" x14ac:dyDescent="0.3">
      <c r="AD23249" s="16"/>
    </row>
    <row r="23250" spans="30:30" x14ac:dyDescent="0.3">
      <c r="AD23250" s="16"/>
    </row>
    <row r="23251" spans="30:30" x14ac:dyDescent="0.3">
      <c r="AD23251" s="16"/>
    </row>
    <row r="23252" spans="30:30" x14ac:dyDescent="0.3">
      <c r="AD23252" s="16"/>
    </row>
    <row r="23253" spans="30:30" x14ac:dyDescent="0.3">
      <c r="AD23253" s="16"/>
    </row>
    <row r="23254" spans="30:30" x14ac:dyDescent="0.3">
      <c r="AD23254" s="16"/>
    </row>
    <row r="23255" spans="30:30" x14ac:dyDescent="0.3">
      <c r="AD23255" s="16"/>
    </row>
    <row r="23256" spans="30:30" x14ac:dyDescent="0.3">
      <c r="AD23256" s="16"/>
    </row>
    <row r="23257" spans="30:30" x14ac:dyDescent="0.3">
      <c r="AD23257" s="16"/>
    </row>
    <row r="23258" spans="30:30" x14ac:dyDescent="0.3">
      <c r="AD23258" s="16"/>
    </row>
    <row r="23259" spans="30:30" x14ac:dyDescent="0.3">
      <c r="AD23259" s="16"/>
    </row>
    <row r="23260" spans="30:30" x14ac:dyDescent="0.3">
      <c r="AD23260" s="16"/>
    </row>
    <row r="23261" spans="30:30" x14ac:dyDescent="0.3">
      <c r="AD23261" s="16"/>
    </row>
    <row r="23262" spans="30:30" x14ac:dyDescent="0.3">
      <c r="AD23262" s="16"/>
    </row>
    <row r="23263" spans="30:30" x14ac:dyDescent="0.3">
      <c r="AD23263" s="16"/>
    </row>
    <row r="23264" spans="30:30" x14ac:dyDescent="0.3">
      <c r="AD23264" s="16"/>
    </row>
    <row r="23265" spans="30:30" x14ac:dyDescent="0.3">
      <c r="AD23265" s="16"/>
    </row>
    <row r="23266" spans="30:30" x14ac:dyDescent="0.3">
      <c r="AD23266" s="16"/>
    </row>
    <row r="23267" spans="30:30" x14ac:dyDescent="0.3">
      <c r="AD23267" s="16"/>
    </row>
    <row r="23268" spans="30:30" x14ac:dyDescent="0.3">
      <c r="AD23268" s="16"/>
    </row>
    <row r="23269" spans="30:30" x14ac:dyDescent="0.3">
      <c r="AD23269" s="16"/>
    </row>
    <row r="23270" spans="30:30" x14ac:dyDescent="0.3">
      <c r="AD23270" s="16"/>
    </row>
    <row r="23271" spans="30:30" x14ac:dyDescent="0.3">
      <c r="AD23271" s="16"/>
    </row>
    <row r="23272" spans="30:30" x14ac:dyDescent="0.3">
      <c r="AD23272" s="16"/>
    </row>
    <row r="23273" spans="30:30" x14ac:dyDescent="0.3">
      <c r="AD23273" s="16"/>
    </row>
    <row r="23274" spans="30:30" x14ac:dyDescent="0.3">
      <c r="AD23274" s="16"/>
    </row>
    <row r="23275" spans="30:30" x14ac:dyDescent="0.3">
      <c r="AD23275" s="16"/>
    </row>
    <row r="23276" spans="30:30" x14ac:dyDescent="0.3">
      <c r="AD23276" s="16"/>
    </row>
    <row r="23277" spans="30:30" x14ac:dyDescent="0.3">
      <c r="AD23277" s="16"/>
    </row>
    <row r="23278" spans="30:30" x14ac:dyDescent="0.3">
      <c r="AD23278" s="16"/>
    </row>
    <row r="23279" spans="30:30" x14ac:dyDescent="0.3">
      <c r="AD23279" s="16"/>
    </row>
    <row r="23280" spans="30:30" x14ac:dyDescent="0.3">
      <c r="AD23280" s="16"/>
    </row>
    <row r="23281" spans="30:30" x14ac:dyDescent="0.3">
      <c r="AD23281" s="16"/>
    </row>
    <row r="23282" spans="30:30" x14ac:dyDescent="0.3">
      <c r="AD23282" s="16"/>
    </row>
    <row r="23283" spans="30:30" x14ac:dyDescent="0.3">
      <c r="AD23283" s="16"/>
    </row>
    <row r="23284" spans="30:30" x14ac:dyDescent="0.3">
      <c r="AD23284" s="16"/>
    </row>
    <row r="23285" spans="30:30" x14ac:dyDescent="0.3">
      <c r="AD23285" s="16"/>
    </row>
    <row r="23286" spans="30:30" x14ac:dyDescent="0.3">
      <c r="AD23286" s="16"/>
    </row>
    <row r="23287" spans="30:30" x14ac:dyDescent="0.3">
      <c r="AD23287" s="16"/>
    </row>
    <row r="23288" spans="30:30" x14ac:dyDescent="0.3">
      <c r="AD23288" s="16"/>
    </row>
    <row r="23289" spans="30:30" x14ac:dyDescent="0.3">
      <c r="AD23289" s="16"/>
    </row>
    <row r="23290" spans="30:30" x14ac:dyDescent="0.3">
      <c r="AD23290" s="16"/>
    </row>
    <row r="23291" spans="30:30" x14ac:dyDescent="0.3">
      <c r="AD23291" s="16"/>
    </row>
    <row r="23292" spans="30:30" x14ac:dyDescent="0.3">
      <c r="AD23292" s="16"/>
    </row>
    <row r="23293" spans="30:30" x14ac:dyDescent="0.3">
      <c r="AD23293" s="16"/>
    </row>
    <row r="23294" spans="30:30" x14ac:dyDescent="0.3">
      <c r="AD23294" s="16"/>
    </row>
    <row r="23295" spans="30:30" x14ac:dyDescent="0.3">
      <c r="AD23295" s="16"/>
    </row>
    <row r="23296" spans="30:30" x14ac:dyDescent="0.3">
      <c r="AD23296" s="16"/>
    </row>
    <row r="23297" spans="30:30" x14ac:dyDescent="0.3">
      <c r="AD23297" s="16"/>
    </row>
    <row r="23298" spans="30:30" x14ac:dyDescent="0.3">
      <c r="AD23298" s="16"/>
    </row>
    <row r="23299" spans="30:30" x14ac:dyDescent="0.3">
      <c r="AD23299" s="16"/>
    </row>
    <row r="23300" spans="30:30" x14ac:dyDescent="0.3">
      <c r="AD23300" s="16"/>
    </row>
    <row r="23301" spans="30:30" x14ac:dyDescent="0.3">
      <c r="AD23301" s="16"/>
    </row>
    <row r="23302" spans="30:30" x14ac:dyDescent="0.3">
      <c r="AD23302" s="16"/>
    </row>
    <row r="23303" spans="30:30" x14ac:dyDescent="0.3">
      <c r="AD23303" s="16"/>
    </row>
    <row r="23304" spans="30:30" x14ac:dyDescent="0.3">
      <c r="AD23304" s="16"/>
    </row>
    <row r="23305" spans="30:30" x14ac:dyDescent="0.3">
      <c r="AD23305" s="16"/>
    </row>
    <row r="23306" spans="30:30" x14ac:dyDescent="0.3">
      <c r="AD23306" s="16"/>
    </row>
    <row r="23307" spans="30:30" x14ac:dyDescent="0.3">
      <c r="AD23307" s="16"/>
    </row>
    <row r="23308" spans="30:30" x14ac:dyDescent="0.3">
      <c r="AD23308" s="16"/>
    </row>
    <row r="23309" spans="30:30" x14ac:dyDescent="0.3">
      <c r="AD23309" s="16"/>
    </row>
    <row r="23310" spans="30:30" x14ac:dyDescent="0.3">
      <c r="AD23310" s="16"/>
    </row>
    <row r="23311" spans="30:30" x14ac:dyDescent="0.3">
      <c r="AD23311" s="16"/>
    </row>
    <row r="23312" spans="30:30" x14ac:dyDescent="0.3">
      <c r="AD23312" s="16"/>
    </row>
    <row r="23313" spans="30:30" x14ac:dyDescent="0.3">
      <c r="AD23313" s="16"/>
    </row>
    <row r="23314" spans="30:30" x14ac:dyDescent="0.3">
      <c r="AD23314" s="16"/>
    </row>
    <row r="23315" spans="30:30" x14ac:dyDescent="0.3">
      <c r="AD23315" s="16"/>
    </row>
    <row r="23316" spans="30:30" x14ac:dyDescent="0.3">
      <c r="AD23316" s="16"/>
    </row>
    <row r="23317" spans="30:30" x14ac:dyDescent="0.3">
      <c r="AD23317" s="16"/>
    </row>
    <row r="23318" spans="30:30" x14ac:dyDescent="0.3">
      <c r="AD23318" s="16"/>
    </row>
    <row r="23319" spans="30:30" x14ac:dyDescent="0.3">
      <c r="AD23319" s="16"/>
    </row>
    <row r="23320" spans="30:30" x14ac:dyDescent="0.3">
      <c r="AD23320" s="16"/>
    </row>
    <row r="23321" spans="30:30" x14ac:dyDescent="0.3">
      <c r="AD23321" s="16"/>
    </row>
    <row r="23322" spans="30:30" x14ac:dyDescent="0.3">
      <c r="AD23322" s="16"/>
    </row>
    <row r="23323" spans="30:30" x14ac:dyDescent="0.3">
      <c r="AD23323" s="16"/>
    </row>
    <row r="23324" spans="30:30" x14ac:dyDescent="0.3">
      <c r="AD23324" s="16"/>
    </row>
    <row r="23325" spans="30:30" x14ac:dyDescent="0.3">
      <c r="AD23325" s="16"/>
    </row>
    <row r="23326" spans="30:30" x14ac:dyDescent="0.3">
      <c r="AD23326" s="16"/>
    </row>
    <row r="23327" spans="30:30" x14ac:dyDescent="0.3">
      <c r="AD23327" s="16"/>
    </row>
    <row r="23328" spans="30:30" x14ac:dyDescent="0.3">
      <c r="AD23328" s="16"/>
    </row>
    <row r="23329" spans="30:30" x14ac:dyDescent="0.3">
      <c r="AD23329" s="16"/>
    </row>
    <row r="23330" spans="30:30" x14ac:dyDescent="0.3">
      <c r="AD23330" s="16"/>
    </row>
    <row r="23331" spans="30:30" x14ac:dyDescent="0.3">
      <c r="AD23331" s="16"/>
    </row>
    <row r="23332" spans="30:30" x14ac:dyDescent="0.3">
      <c r="AD23332" s="16"/>
    </row>
    <row r="23333" spans="30:30" x14ac:dyDescent="0.3">
      <c r="AD23333" s="16"/>
    </row>
    <row r="23334" spans="30:30" x14ac:dyDescent="0.3">
      <c r="AD23334" s="16"/>
    </row>
    <row r="23335" spans="30:30" x14ac:dyDescent="0.3">
      <c r="AD23335" s="16"/>
    </row>
    <row r="23336" spans="30:30" x14ac:dyDescent="0.3">
      <c r="AD23336" s="16"/>
    </row>
    <row r="23337" spans="30:30" x14ac:dyDescent="0.3">
      <c r="AD23337" s="16"/>
    </row>
    <row r="23338" spans="30:30" x14ac:dyDescent="0.3">
      <c r="AD23338" s="16"/>
    </row>
    <row r="23339" spans="30:30" x14ac:dyDescent="0.3">
      <c r="AD23339" s="16"/>
    </row>
    <row r="23340" spans="30:30" x14ac:dyDescent="0.3">
      <c r="AD23340" s="16"/>
    </row>
    <row r="23341" spans="30:30" x14ac:dyDescent="0.3">
      <c r="AD23341" s="16"/>
    </row>
    <row r="23342" spans="30:30" x14ac:dyDescent="0.3">
      <c r="AD23342" s="16"/>
    </row>
    <row r="23343" spans="30:30" x14ac:dyDescent="0.3">
      <c r="AD23343" s="16"/>
    </row>
    <row r="23344" spans="30:30" x14ac:dyDescent="0.3">
      <c r="AD23344" s="16"/>
    </row>
    <row r="23345" spans="30:30" x14ac:dyDescent="0.3">
      <c r="AD23345" s="16"/>
    </row>
    <row r="23346" spans="30:30" x14ac:dyDescent="0.3">
      <c r="AD23346" s="16"/>
    </row>
    <row r="23347" spans="30:30" x14ac:dyDescent="0.3">
      <c r="AD23347" s="16"/>
    </row>
    <row r="23348" spans="30:30" x14ac:dyDescent="0.3">
      <c r="AD23348" s="16"/>
    </row>
    <row r="23349" spans="30:30" x14ac:dyDescent="0.3">
      <c r="AD23349" s="16"/>
    </row>
    <row r="23350" spans="30:30" x14ac:dyDescent="0.3">
      <c r="AD23350" s="16"/>
    </row>
    <row r="23351" spans="30:30" x14ac:dyDescent="0.3">
      <c r="AD23351" s="16"/>
    </row>
    <row r="23352" spans="30:30" x14ac:dyDescent="0.3">
      <c r="AD23352" s="16"/>
    </row>
    <row r="23353" spans="30:30" x14ac:dyDescent="0.3">
      <c r="AD23353" s="16"/>
    </row>
    <row r="23354" spans="30:30" x14ac:dyDescent="0.3">
      <c r="AD23354" s="16"/>
    </row>
    <row r="23355" spans="30:30" x14ac:dyDescent="0.3">
      <c r="AD23355" s="16"/>
    </row>
    <row r="23356" spans="30:30" x14ac:dyDescent="0.3">
      <c r="AD23356" s="16"/>
    </row>
    <row r="23357" spans="30:30" x14ac:dyDescent="0.3">
      <c r="AD23357" s="16"/>
    </row>
    <row r="23358" spans="30:30" x14ac:dyDescent="0.3">
      <c r="AD23358" s="16"/>
    </row>
    <row r="23359" spans="30:30" x14ac:dyDescent="0.3">
      <c r="AD23359" s="16"/>
    </row>
    <row r="23360" spans="30:30" x14ac:dyDescent="0.3">
      <c r="AD23360" s="16"/>
    </row>
    <row r="23361" spans="30:30" x14ac:dyDescent="0.3">
      <c r="AD23361" s="16"/>
    </row>
    <row r="23362" spans="30:30" x14ac:dyDescent="0.3">
      <c r="AD23362" s="16"/>
    </row>
    <row r="23363" spans="30:30" x14ac:dyDescent="0.3">
      <c r="AD23363" s="16"/>
    </row>
    <row r="23364" spans="30:30" x14ac:dyDescent="0.3">
      <c r="AD23364" s="16"/>
    </row>
    <row r="23365" spans="30:30" x14ac:dyDescent="0.3">
      <c r="AD23365" s="16"/>
    </row>
    <row r="23366" spans="30:30" x14ac:dyDescent="0.3">
      <c r="AD23366" s="16"/>
    </row>
    <row r="23367" spans="30:30" x14ac:dyDescent="0.3">
      <c r="AD23367" s="16"/>
    </row>
    <row r="23368" spans="30:30" x14ac:dyDescent="0.3">
      <c r="AD23368" s="16"/>
    </row>
    <row r="23369" spans="30:30" x14ac:dyDescent="0.3">
      <c r="AD23369" s="16"/>
    </row>
    <row r="23370" spans="30:30" x14ac:dyDescent="0.3">
      <c r="AD23370" s="16"/>
    </row>
    <row r="23371" spans="30:30" x14ac:dyDescent="0.3">
      <c r="AD23371" s="16"/>
    </row>
    <row r="23372" spans="30:30" x14ac:dyDescent="0.3">
      <c r="AD23372" s="16"/>
    </row>
    <row r="23373" spans="30:30" x14ac:dyDescent="0.3">
      <c r="AD23373" s="16"/>
    </row>
    <row r="23374" spans="30:30" x14ac:dyDescent="0.3">
      <c r="AD23374" s="16"/>
    </row>
    <row r="23375" spans="30:30" x14ac:dyDescent="0.3">
      <c r="AD23375" s="16"/>
    </row>
    <row r="23376" spans="30:30" x14ac:dyDescent="0.3">
      <c r="AD23376" s="16"/>
    </row>
    <row r="23377" spans="30:30" x14ac:dyDescent="0.3">
      <c r="AD23377" s="16"/>
    </row>
    <row r="23378" spans="30:30" x14ac:dyDescent="0.3">
      <c r="AD23378" s="16"/>
    </row>
    <row r="23379" spans="30:30" x14ac:dyDescent="0.3">
      <c r="AD23379" s="16"/>
    </row>
    <row r="23380" spans="30:30" x14ac:dyDescent="0.3">
      <c r="AD23380" s="16"/>
    </row>
    <row r="23381" spans="30:30" x14ac:dyDescent="0.3">
      <c r="AD23381" s="16"/>
    </row>
    <row r="23382" spans="30:30" x14ac:dyDescent="0.3">
      <c r="AD23382" s="16"/>
    </row>
    <row r="23383" spans="30:30" x14ac:dyDescent="0.3">
      <c r="AD23383" s="16"/>
    </row>
    <row r="23384" spans="30:30" x14ac:dyDescent="0.3">
      <c r="AD23384" s="16"/>
    </row>
    <row r="23385" spans="30:30" x14ac:dyDescent="0.3">
      <c r="AD23385" s="16"/>
    </row>
    <row r="23386" spans="30:30" x14ac:dyDescent="0.3">
      <c r="AD23386" s="16"/>
    </row>
    <row r="23387" spans="30:30" x14ac:dyDescent="0.3">
      <c r="AD23387" s="16"/>
    </row>
    <row r="23388" spans="30:30" x14ac:dyDescent="0.3">
      <c r="AD23388" s="16"/>
    </row>
    <row r="23389" spans="30:30" x14ac:dyDescent="0.3">
      <c r="AD23389" s="16"/>
    </row>
    <row r="23390" spans="30:30" x14ac:dyDescent="0.3">
      <c r="AD23390" s="16"/>
    </row>
    <row r="23391" spans="30:30" x14ac:dyDescent="0.3">
      <c r="AD23391" s="16"/>
    </row>
    <row r="23392" spans="30:30" x14ac:dyDescent="0.3">
      <c r="AD23392" s="16"/>
    </row>
    <row r="23393" spans="30:30" x14ac:dyDescent="0.3">
      <c r="AD23393" s="16"/>
    </row>
    <row r="23394" spans="30:30" x14ac:dyDescent="0.3">
      <c r="AD23394" s="16"/>
    </row>
    <row r="23395" spans="30:30" x14ac:dyDescent="0.3">
      <c r="AD23395" s="16"/>
    </row>
    <row r="23396" spans="30:30" x14ac:dyDescent="0.3">
      <c r="AD23396" s="16"/>
    </row>
    <row r="23397" spans="30:30" x14ac:dyDescent="0.3">
      <c r="AD23397" s="16"/>
    </row>
    <row r="23398" spans="30:30" x14ac:dyDescent="0.3">
      <c r="AD23398" s="16"/>
    </row>
    <row r="23399" spans="30:30" x14ac:dyDescent="0.3">
      <c r="AD23399" s="16"/>
    </row>
    <row r="23400" spans="30:30" x14ac:dyDescent="0.3">
      <c r="AD23400" s="16"/>
    </row>
    <row r="23401" spans="30:30" x14ac:dyDescent="0.3">
      <c r="AD23401" s="16"/>
    </row>
    <row r="23402" spans="30:30" x14ac:dyDescent="0.3">
      <c r="AD23402" s="16"/>
    </row>
    <row r="23403" spans="30:30" x14ac:dyDescent="0.3">
      <c r="AD23403" s="16"/>
    </row>
    <row r="23404" spans="30:30" x14ac:dyDescent="0.3">
      <c r="AD23404" s="16"/>
    </row>
    <row r="23405" spans="30:30" x14ac:dyDescent="0.3">
      <c r="AD23405" s="16"/>
    </row>
    <row r="23406" spans="30:30" x14ac:dyDescent="0.3">
      <c r="AD23406" s="16"/>
    </row>
    <row r="23407" spans="30:30" x14ac:dyDescent="0.3">
      <c r="AD23407" s="16"/>
    </row>
    <row r="23408" spans="30:30" x14ac:dyDescent="0.3">
      <c r="AD23408" s="16"/>
    </row>
    <row r="23409" spans="30:30" x14ac:dyDescent="0.3">
      <c r="AD23409" s="16"/>
    </row>
    <row r="23410" spans="30:30" x14ac:dyDescent="0.3">
      <c r="AD23410" s="16"/>
    </row>
    <row r="23411" spans="30:30" x14ac:dyDescent="0.3">
      <c r="AD23411" s="16"/>
    </row>
    <row r="23412" spans="30:30" x14ac:dyDescent="0.3">
      <c r="AD23412" s="16"/>
    </row>
    <row r="23413" spans="30:30" x14ac:dyDescent="0.3">
      <c r="AD23413" s="16"/>
    </row>
    <row r="23414" spans="30:30" x14ac:dyDescent="0.3">
      <c r="AD23414" s="16"/>
    </row>
    <row r="23415" spans="30:30" x14ac:dyDescent="0.3">
      <c r="AD23415" s="16"/>
    </row>
    <row r="23416" spans="30:30" x14ac:dyDescent="0.3">
      <c r="AD23416" s="16"/>
    </row>
    <row r="23417" spans="30:30" x14ac:dyDescent="0.3">
      <c r="AD23417" s="16"/>
    </row>
    <row r="23418" spans="30:30" x14ac:dyDescent="0.3">
      <c r="AD23418" s="16"/>
    </row>
    <row r="23419" spans="30:30" x14ac:dyDescent="0.3">
      <c r="AD23419" s="16"/>
    </row>
    <row r="23420" spans="30:30" x14ac:dyDescent="0.3">
      <c r="AD23420" s="16"/>
    </row>
    <row r="23421" spans="30:30" x14ac:dyDescent="0.3">
      <c r="AD23421" s="16"/>
    </row>
    <row r="23422" spans="30:30" x14ac:dyDescent="0.3">
      <c r="AD23422" s="16"/>
    </row>
    <row r="23423" spans="30:30" x14ac:dyDescent="0.3">
      <c r="AD23423" s="16"/>
    </row>
    <row r="23424" spans="30:30" x14ac:dyDescent="0.3">
      <c r="AD23424" s="16"/>
    </row>
    <row r="23425" spans="30:30" x14ac:dyDescent="0.3">
      <c r="AD23425" s="16"/>
    </row>
    <row r="23426" spans="30:30" x14ac:dyDescent="0.3">
      <c r="AD23426" s="16"/>
    </row>
    <row r="23427" spans="30:30" x14ac:dyDescent="0.3">
      <c r="AD23427" s="16"/>
    </row>
    <row r="23428" spans="30:30" x14ac:dyDescent="0.3">
      <c r="AD23428" s="16"/>
    </row>
    <row r="23429" spans="30:30" x14ac:dyDescent="0.3">
      <c r="AD23429" s="16"/>
    </row>
    <row r="23430" spans="30:30" x14ac:dyDescent="0.3">
      <c r="AD23430" s="16"/>
    </row>
    <row r="23431" spans="30:30" x14ac:dyDescent="0.3">
      <c r="AD23431" s="16"/>
    </row>
    <row r="23432" spans="30:30" x14ac:dyDescent="0.3">
      <c r="AD23432" s="16"/>
    </row>
    <row r="23433" spans="30:30" x14ac:dyDescent="0.3">
      <c r="AD23433" s="16"/>
    </row>
    <row r="23434" spans="30:30" x14ac:dyDescent="0.3">
      <c r="AD23434" s="16"/>
    </row>
    <row r="23435" spans="30:30" x14ac:dyDescent="0.3">
      <c r="AD23435" s="16"/>
    </row>
    <row r="23436" spans="30:30" x14ac:dyDescent="0.3">
      <c r="AD23436" s="16"/>
    </row>
    <row r="23437" spans="30:30" x14ac:dyDescent="0.3">
      <c r="AD23437" s="16"/>
    </row>
    <row r="23438" spans="30:30" x14ac:dyDescent="0.3">
      <c r="AD23438" s="16"/>
    </row>
    <row r="23439" spans="30:30" x14ac:dyDescent="0.3">
      <c r="AD23439" s="16"/>
    </row>
    <row r="23440" spans="30:30" x14ac:dyDescent="0.3">
      <c r="AD23440" s="16"/>
    </row>
    <row r="23441" spans="30:30" x14ac:dyDescent="0.3">
      <c r="AD23441" s="16"/>
    </row>
    <row r="23442" spans="30:30" x14ac:dyDescent="0.3">
      <c r="AD23442" s="16"/>
    </row>
    <row r="23443" spans="30:30" x14ac:dyDescent="0.3">
      <c r="AD23443" s="16"/>
    </row>
    <row r="23444" spans="30:30" x14ac:dyDescent="0.3">
      <c r="AD23444" s="16"/>
    </row>
    <row r="23445" spans="30:30" x14ac:dyDescent="0.3">
      <c r="AD23445" s="16"/>
    </row>
    <row r="23446" spans="30:30" x14ac:dyDescent="0.3">
      <c r="AD23446" s="16"/>
    </row>
    <row r="23447" spans="30:30" x14ac:dyDescent="0.3">
      <c r="AD23447" s="16"/>
    </row>
    <row r="23448" spans="30:30" x14ac:dyDescent="0.3">
      <c r="AD23448" s="16"/>
    </row>
    <row r="23449" spans="30:30" x14ac:dyDescent="0.3">
      <c r="AD23449" s="16"/>
    </row>
    <row r="23450" spans="30:30" x14ac:dyDescent="0.3">
      <c r="AD23450" s="16"/>
    </row>
    <row r="23451" spans="30:30" x14ac:dyDescent="0.3">
      <c r="AD23451" s="16"/>
    </row>
    <row r="23452" spans="30:30" x14ac:dyDescent="0.3">
      <c r="AD23452" s="16"/>
    </row>
    <row r="23453" spans="30:30" x14ac:dyDescent="0.3">
      <c r="AD23453" s="16"/>
    </row>
    <row r="23454" spans="30:30" x14ac:dyDescent="0.3">
      <c r="AD23454" s="16"/>
    </row>
    <row r="23455" spans="30:30" x14ac:dyDescent="0.3">
      <c r="AD23455" s="16"/>
    </row>
    <row r="23456" spans="30:30" x14ac:dyDescent="0.3">
      <c r="AD23456" s="16"/>
    </row>
    <row r="23457" spans="30:30" x14ac:dyDescent="0.3">
      <c r="AD23457" s="16"/>
    </row>
    <row r="23458" spans="30:30" x14ac:dyDescent="0.3">
      <c r="AD23458" s="16"/>
    </row>
    <row r="23459" spans="30:30" x14ac:dyDescent="0.3">
      <c r="AD23459" s="16"/>
    </row>
    <row r="23460" spans="30:30" x14ac:dyDescent="0.3">
      <c r="AD23460" s="16"/>
    </row>
    <row r="23461" spans="30:30" x14ac:dyDescent="0.3">
      <c r="AD23461" s="16"/>
    </row>
    <row r="23462" spans="30:30" x14ac:dyDescent="0.3">
      <c r="AD23462" s="16"/>
    </row>
    <row r="23463" spans="30:30" x14ac:dyDescent="0.3">
      <c r="AD23463" s="16"/>
    </row>
    <row r="23464" spans="30:30" x14ac:dyDescent="0.3">
      <c r="AD23464" s="16"/>
    </row>
    <row r="23465" spans="30:30" x14ac:dyDescent="0.3">
      <c r="AD23465" s="16"/>
    </row>
    <row r="23466" spans="30:30" x14ac:dyDescent="0.3">
      <c r="AD23466" s="16"/>
    </row>
    <row r="23467" spans="30:30" x14ac:dyDescent="0.3">
      <c r="AD23467" s="16"/>
    </row>
    <row r="23468" spans="30:30" x14ac:dyDescent="0.3">
      <c r="AD23468" s="16"/>
    </row>
    <row r="23469" spans="30:30" x14ac:dyDescent="0.3">
      <c r="AD23469" s="16"/>
    </row>
    <row r="23470" spans="30:30" x14ac:dyDescent="0.3">
      <c r="AD23470" s="16"/>
    </row>
    <row r="23471" spans="30:30" x14ac:dyDescent="0.3">
      <c r="AD23471" s="16"/>
    </row>
    <row r="23472" spans="30:30" x14ac:dyDescent="0.3">
      <c r="AD23472" s="16"/>
    </row>
    <row r="23473" spans="30:30" x14ac:dyDescent="0.3">
      <c r="AD23473" s="16"/>
    </row>
    <row r="23474" spans="30:30" x14ac:dyDescent="0.3">
      <c r="AD23474" s="16"/>
    </row>
    <row r="23475" spans="30:30" x14ac:dyDescent="0.3">
      <c r="AD23475" s="16"/>
    </row>
    <row r="23476" spans="30:30" x14ac:dyDescent="0.3">
      <c r="AD23476" s="16"/>
    </row>
    <row r="23477" spans="30:30" x14ac:dyDescent="0.3">
      <c r="AD23477" s="16"/>
    </row>
    <row r="23478" spans="30:30" x14ac:dyDescent="0.3">
      <c r="AD23478" s="16"/>
    </row>
    <row r="23479" spans="30:30" x14ac:dyDescent="0.3">
      <c r="AD23479" s="16"/>
    </row>
    <row r="23480" spans="30:30" x14ac:dyDescent="0.3">
      <c r="AD23480" s="16"/>
    </row>
    <row r="23481" spans="30:30" x14ac:dyDescent="0.3">
      <c r="AD23481" s="16"/>
    </row>
    <row r="23482" spans="30:30" x14ac:dyDescent="0.3">
      <c r="AD23482" s="16"/>
    </row>
    <row r="23483" spans="30:30" x14ac:dyDescent="0.3">
      <c r="AD23483" s="16"/>
    </row>
    <row r="23484" spans="30:30" x14ac:dyDescent="0.3">
      <c r="AD23484" s="16"/>
    </row>
    <row r="23485" spans="30:30" x14ac:dyDescent="0.3">
      <c r="AD23485" s="16"/>
    </row>
    <row r="23486" spans="30:30" x14ac:dyDescent="0.3">
      <c r="AD23486" s="16"/>
    </row>
    <row r="23487" spans="30:30" x14ac:dyDescent="0.3">
      <c r="AD23487" s="16"/>
    </row>
    <row r="23488" spans="30:30" x14ac:dyDescent="0.3">
      <c r="AD23488" s="16"/>
    </row>
    <row r="23489" spans="30:30" x14ac:dyDescent="0.3">
      <c r="AD23489" s="16"/>
    </row>
    <row r="23490" spans="30:30" x14ac:dyDescent="0.3">
      <c r="AD23490" s="16"/>
    </row>
    <row r="23491" spans="30:30" x14ac:dyDescent="0.3">
      <c r="AD23491" s="16"/>
    </row>
    <row r="23492" spans="30:30" x14ac:dyDescent="0.3">
      <c r="AD23492" s="16"/>
    </row>
    <row r="23493" spans="30:30" x14ac:dyDescent="0.3">
      <c r="AD23493" s="16"/>
    </row>
    <row r="23494" spans="30:30" x14ac:dyDescent="0.3">
      <c r="AD23494" s="16"/>
    </row>
    <row r="23495" spans="30:30" x14ac:dyDescent="0.3">
      <c r="AD23495" s="16"/>
    </row>
    <row r="23496" spans="30:30" x14ac:dyDescent="0.3">
      <c r="AD23496" s="16"/>
    </row>
    <row r="23497" spans="30:30" x14ac:dyDescent="0.3">
      <c r="AD23497" s="16"/>
    </row>
    <row r="23498" spans="30:30" x14ac:dyDescent="0.3">
      <c r="AD23498" s="16"/>
    </row>
    <row r="23499" spans="30:30" x14ac:dyDescent="0.3">
      <c r="AD23499" s="16"/>
    </row>
    <row r="23500" spans="30:30" x14ac:dyDescent="0.3">
      <c r="AD23500" s="16"/>
    </row>
    <row r="23501" spans="30:30" x14ac:dyDescent="0.3">
      <c r="AD23501" s="16"/>
    </row>
    <row r="23502" spans="30:30" x14ac:dyDescent="0.3">
      <c r="AD23502" s="16"/>
    </row>
    <row r="23503" spans="30:30" x14ac:dyDescent="0.3">
      <c r="AD23503" s="16"/>
    </row>
    <row r="23504" spans="30:30" x14ac:dyDescent="0.3">
      <c r="AD23504" s="16"/>
    </row>
    <row r="23505" spans="30:30" x14ac:dyDescent="0.3">
      <c r="AD23505" s="16"/>
    </row>
    <row r="23506" spans="30:30" x14ac:dyDescent="0.3">
      <c r="AD23506" s="16"/>
    </row>
    <row r="23507" spans="30:30" x14ac:dyDescent="0.3">
      <c r="AD23507" s="16"/>
    </row>
    <row r="23508" spans="30:30" x14ac:dyDescent="0.3">
      <c r="AD23508" s="16"/>
    </row>
    <row r="23509" spans="30:30" x14ac:dyDescent="0.3">
      <c r="AD23509" s="16"/>
    </row>
    <row r="23510" spans="30:30" x14ac:dyDescent="0.3">
      <c r="AD23510" s="16"/>
    </row>
    <row r="23511" spans="30:30" x14ac:dyDescent="0.3">
      <c r="AD23511" s="16"/>
    </row>
    <row r="23512" spans="30:30" x14ac:dyDescent="0.3">
      <c r="AD23512" s="16"/>
    </row>
    <row r="23513" spans="30:30" x14ac:dyDescent="0.3">
      <c r="AD23513" s="16"/>
    </row>
    <row r="23514" spans="30:30" x14ac:dyDescent="0.3">
      <c r="AD23514" s="16"/>
    </row>
    <row r="23515" spans="30:30" x14ac:dyDescent="0.3">
      <c r="AD23515" s="16"/>
    </row>
    <row r="23516" spans="30:30" x14ac:dyDescent="0.3">
      <c r="AD23516" s="16"/>
    </row>
    <row r="23517" spans="30:30" x14ac:dyDescent="0.3">
      <c r="AD23517" s="16"/>
    </row>
    <row r="23518" spans="30:30" x14ac:dyDescent="0.3">
      <c r="AD23518" s="16"/>
    </row>
    <row r="23519" spans="30:30" x14ac:dyDescent="0.3">
      <c r="AD23519" s="16"/>
    </row>
    <row r="23520" spans="30:30" x14ac:dyDescent="0.3">
      <c r="AD23520" s="16"/>
    </row>
    <row r="23521" spans="30:30" x14ac:dyDescent="0.3">
      <c r="AD23521" s="16"/>
    </row>
    <row r="23522" spans="30:30" x14ac:dyDescent="0.3">
      <c r="AD23522" s="16"/>
    </row>
    <row r="23523" spans="30:30" x14ac:dyDescent="0.3">
      <c r="AD23523" s="16"/>
    </row>
    <row r="23524" spans="30:30" x14ac:dyDescent="0.3">
      <c r="AD23524" s="16"/>
    </row>
    <row r="23525" spans="30:30" x14ac:dyDescent="0.3">
      <c r="AD23525" s="16"/>
    </row>
    <row r="23526" spans="30:30" x14ac:dyDescent="0.3">
      <c r="AD23526" s="16"/>
    </row>
    <row r="23527" spans="30:30" x14ac:dyDescent="0.3">
      <c r="AD23527" s="16"/>
    </row>
    <row r="23528" spans="30:30" x14ac:dyDescent="0.3">
      <c r="AD23528" s="16"/>
    </row>
    <row r="23529" spans="30:30" x14ac:dyDescent="0.3">
      <c r="AD23529" s="16"/>
    </row>
    <row r="23530" spans="30:30" x14ac:dyDescent="0.3">
      <c r="AD23530" s="16"/>
    </row>
    <row r="23531" spans="30:30" x14ac:dyDescent="0.3">
      <c r="AD23531" s="16"/>
    </row>
    <row r="23532" spans="30:30" x14ac:dyDescent="0.3">
      <c r="AD23532" s="16"/>
    </row>
    <row r="23533" spans="30:30" x14ac:dyDescent="0.3">
      <c r="AD23533" s="16"/>
    </row>
    <row r="23534" spans="30:30" x14ac:dyDescent="0.3">
      <c r="AD23534" s="16"/>
    </row>
    <row r="23535" spans="30:30" x14ac:dyDescent="0.3">
      <c r="AD23535" s="16"/>
    </row>
    <row r="23536" spans="30:30" x14ac:dyDescent="0.3">
      <c r="AD23536" s="16"/>
    </row>
    <row r="23537" spans="30:30" x14ac:dyDescent="0.3">
      <c r="AD23537" s="16"/>
    </row>
    <row r="23538" spans="30:30" x14ac:dyDescent="0.3">
      <c r="AD23538" s="16"/>
    </row>
    <row r="23539" spans="30:30" x14ac:dyDescent="0.3">
      <c r="AD23539" s="16"/>
    </row>
    <row r="23540" spans="30:30" x14ac:dyDescent="0.3">
      <c r="AD23540" s="16"/>
    </row>
    <row r="23541" spans="30:30" x14ac:dyDescent="0.3">
      <c r="AD23541" s="16"/>
    </row>
    <row r="23542" spans="30:30" x14ac:dyDescent="0.3">
      <c r="AD23542" s="16"/>
    </row>
    <row r="23543" spans="30:30" x14ac:dyDescent="0.3">
      <c r="AD23543" s="16"/>
    </row>
    <row r="23544" spans="30:30" x14ac:dyDescent="0.3">
      <c r="AD23544" s="16"/>
    </row>
    <row r="23545" spans="30:30" x14ac:dyDescent="0.3">
      <c r="AD23545" s="16"/>
    </row>
    <row r="23546" spans="30:30" x14ac:dyDescent="0.3">
      <c r="AD23546" s="16"/>
    </row>
    <row r="23547" spans="30:30" x14ac:dyDescent="0.3">
      <c r="AD23547" s="16"/>
    </row>
    <row r="23548" spans="30:30" x14ac:dyDescent="0.3">
      <c r="AD23548" s="16"/>
    </row>
    <row r="23549" spans="30:30" x14ac:dyDescent="0.3">
      <c r="AD23549" s="16"/>
    </row>
    <row r="23550" spans="30:30" x14ac:dyDescent="0.3">
      <c r="AD23550" s="16"/>
    </row>
    <row r="23551" spans="30:30" x14ac:dyDescent="0.3">
      <c r="AD23551" s="16"/>
    </row>
    <row r="23552" spans="30:30" x14ac:dyDescent="0.3">
      <c r="AD23552" s="16"/>
    </row>
    <row r="23553" spans="30:30" x14ac:dyDescent="0.3">
      <c r="AD23553" s="16"/>
    </row>
    <row r="23554" spans="30:30" x14ac:dyDescent="0.3">
      <c r="AD23554" s="16"/>
    </row>
    <row r="23555" spans="30:30" x14ac:dyDescent="0.3">
      <c r="AD23555" s="16"/>
    </row>
    <row r="23556" spans="30:30" x14ac:dyDescent="0.3">
      <c r="AD23556" s="16"/>
    </row>
    <row r="23557" spans="30:30" x14ac:dyDescent="0.3">
      <c r="AD23557" s="16"/>
    </row>
    <row r="23558" spans="30:30" x14ac:dyDescent="0.3">
      <c r="AD23558" s="16"/>
    </row>
    <row r="23559" spans="30:30" x14ac:dyDescent="0.3">
      <c r="AD23559" s="16"/>
    </row>
    <row r="23560" spans="30:30" x14ac:dyDescent="0.3">
      <c r="AD23560" s="16"/>
    </row>
    <row r="23561" spans="30:30" x14ac:dyDescent="0.3">
      <c r="AD23561" s="16"/>
    </row>
    <row r="23562" spans="30:30" x14ac:dyDescent="0.3">
      <c r="AD23562" s="16"/>
    </row>
    <row r="23563" spans="30:30" x14ac:dyDescent="0.3">
      <c r="AD23563" s="16"/>
    </row>
    <row r="23564" spans="30:30" x14ac:dyDescent="0.3">
      <c r="AD23564" s="16"/>
    </row>
    <row r="23565" spans="30:30" x14ac:dyDescent="0.3">
      <c r="AD23565" s="16"/>
    </row>
    <row r="23566" spans="30:30" x14ac:dyDescent="0.3">
      <c r="AD23566" s="16"/>
    </row>
    <row r="23567" spans="30:30" x14ac:dyDescent="0.3">
      <c r="AD23567" s="16"/>
    </row>
    <row r="23568" spans="30:30" x14ac:dyDescent="0.3">
      <c r="AD23568" s="16"/>
    </row>
    <row r="23569" spans="30:30" x14ac:dyDescent="0.3">
      <c r="AD23569" s="16"/>
    </row>
    <row r="23570" spans="30:30" x14ac:dyDescent="0.3">
      <c r="AD23570" s="16"/>
    </row>
    <row r="23571" spans="30:30" x14ac:dyDescent="0.3">
      <c r="AD23571" s="16"/>
    </row>
    <row r="23572" spans="30:30" x14ac:dyDescent="0.3">
      <c r="AD23572" s="16"/>
    </row>
    <row r="23573" spans="30:30" x14ac:dyDescent="0.3">
      <c r="AD23573" s="16"/>
    </row>
    <row r="23574" spans="30:30" x14ac:dyDescent="0.3">
      <c r="AD23574" s="16"/>
    </row>
    <row r="23575" spans="30:30" x14ac:dyDescent="0.3">
      <c r="AD23575" s="16"/>
    </row>
    <row r="23576" spans="30:30" x14ac:dyDescent="0.3">
      <c r="AD23576" s="16"/>
    </row>
    <row r="23577" spans="30:30" x14ac:dyDescent="0.3">
      <c r="AD23577" s="16"/>
    </row>
    <row r="23578" spans="30:30" x14ac:dyDescent="0.3">
      <c r="AD23578" s="16"/>
    </row>
    <row r="23579" spans="30:30" x14ac:dyDescent="0.3">
      <c r="AD23579" s="16"/>
    </row>
    <row r="23580" spans="30:30" x14ac:dyDescent="0.3">
      <c r="AD23580" s="16"/>
    </row>
    <row r="23581" spans="30:30" x14ac:dyDescent="0.3">
      <c r="AD23581" s="16"/>
    </row>
    <row r="23582" spans="30:30" x14ac:dyDescent="0.3">
      <c r="AD23582" s="16"/>
    </row>
    <row r="23583" spans="30:30" x14ac:dyDescent="0.3">
      <c r="AD23583" s="16"/>
    </row>
    <row r="23584" spans="30:30" x14ac:dyDescent="0.3">
      <c r="AD23584" s="16"/>
    </row>
    <row r="23585" spans="30:30" x14ac:dyDescent="0.3">
      <c r="AD23585" s="16"/>
    </row>
    <row r="23586" spans="30:30" x14ac:dyDescent="0.3">
      <c r="AD23586" s="16"/>
    </row>
    <row r="23587" spans="30:30" x14ac:dyDescent="0.3">
      <c r="AD23587" s="16"/>
    </row>
    <row r="23588" spans="30:30" x14ac:dyDescent="0.3">
      <c r="AD23588" s="16"/>
    </row>
    <row r="23589" spans="30:30" x14ac:dyDescent="0.3">
      <c r="AD23589" s="16"/>
    </row>
    <row r="23590" spans="30:30" x14ac:dyDescent="0.3">
      <c r="AD23590" s="16"/>
    </row>
    <row r="23591" spans="30:30" x14ac:dyDescent="0.3">
      <c r="AD23591" s="16"/>
    </row>
    <row r="23592" spans="30:30" x14ac:dyDescent="0.3">
      <c r="AD23592" s="16"/>
    </row>
    <row r="23593" spans="30:30" x14ac:dyDescent="0.3">
      <c r="AD23593" s="16"/>
    </row>
    <row r="23594" spans="30:30" x14ac:dyDescent="0.3">
      <c r="AD23594" s="16"/>
    </row>
    <row r="23595" spans="30:30" x14ac:dyDescent="0.3">
      <c r="AD23595" s="16"/>
    </row>
    <row r="23596" spans="30:30" x14ac:dyDescent="0.3">
      <c r="AD23596" s="16"/>
    </row>
    <row r="23597" spans="30:30" x14ac:dyDescent="0.3">
      <c r="AD23597" s="16"/>
    </row>
    <row r="23598" spans="30:30" x14ac:dyDescent="0.3">
      <c r="AD23598" s="16"/>
    </row>
    <row r="23599" spans="30:30" x14ac:dyDescent="0.3">
      <c r="AD23599" s="16"/>
    </row>
    <row r="23600" spans="30:30" x14ac:dyDescent="0.3">
      <c r="AD23600" s="16"/>
    </row>
    <row r="23601" spans="30:30" x14ac:dyDescent="0.3">
      <c r="AD23601" s="16"/>
    </row>
    <row r="23602" spans="30:30" x14ac:dyDescent="0.3">
      <c r="AD23602" s="16"/>
    </row>
    <row r="23603" spans="30:30" x14ac:dyDescent="0.3">
      <c r="AD23603" s="16"/>
    </row>
    <row r="23604" spans="30:30" x14ac:dyDescent="0.3">
      <c r="AD23604" s="16"/>
    </row>
    <row r="23605" spans="30:30" x14ac:dyDescent="0.3">
      <c r="AD23605" s="16"/>
    </row>
    <row r="23606" spans="30:30" x14ac:dyDescent="0.3">
      <c r="AD23606" s="16"/>
    </row>
    <row r="23607" spans="30:30" x14ac:dyDescent="0.3">
      <c r="AD23607" s="16"/>
    </row>
    <row r="23608" spans="30:30" x14ac:dyDescent="0.3">
      <c r="AD23608" s="16"/>
    </row>
    <row r="23609" spans="30:30" x14ac:dyDescent="0.3">
      <c r="AD23609" s="16"/>
    </row>
    <row r="23610" spans="30:30" x14ac:dyDescent="0.3">
      <c r="AD23610" s="16"/>
    </row>
    <row r="23611" spans="30:30" x14ac:dyDescent="0.3">
      <c r="AD23611" s="16"/>
    </row>
    <row r="23612" spans="30:30" x14ac:dyDescent="0.3">
      <c r="AD23612" s="16"/>
    </row>
    <row r="23613" spans="30:30" x14ac:dyDescent="0.3">
      <c r="AD23613" s="16"/>
    </row>
    <row r="23614" spans="30:30" x14ac:dyDescent="0.3">
      <c r="AD23614" s="16"/>
    </row>
    <row r="23615" spans="30:30" x14ac:dyDescent="0.3">
      <c r="AD23615" s="16"/>
    </row>
    <row r="23616" spans="30:30" x14ac:dyDescent="0.3">
      <c r="AD23616" s="16"/>
    </row>
    <row r="23617" spans="30:30" x14ac:dyDescent="0.3">
      <c r="AD23617" s="16"/>
    </row>
    <row r="23618" spans="30:30" x14ac:dyDescent="0.3">
      <c r="AD23618" s="16"/>
    </row>
    <row r="23619" spans="30:30" x14ac:dyDescent="0.3">
      <c r="AD23619" s="16"/>
    </row>
    <row r="23620" spans="30:30" x14ac:dyDescent="0.3">
      <c r="AD23620" s="16"/>
    </row>
    <row r="23621" spans="30:30" x14ac:dyDescent="0.3">
      <c r="AD23621" s="16"/>
    </row>
    <row r="23622" spans="30:30" x14ac:dyDescent="0.3">
      <c r="AD23622" s="16"/>
    </row>
    <row r="23623" spans="30:30" x14ac:dyDescent="0.3">
      <c r="AD23623" s="16"/>
    </row>
    <row r="23624" spans="30:30" x14ac:dyDescent="0.3">
      <c r="AD23624" s="16"/>
    </row>
    <row r="23625" spans="30:30" x14ac:dyDescent="0.3">
      <c r="AD23625" s="16"/>
    </row>
    <row r="23626" spans="30:30" x14ac:dyDescent="0.3">
      <c r="AD23626" s="16"/>
    </row>
    <row r="23627" spans="30:30" x14ac:dyDescent="0.3">
      <c r="AD23627" s="16"/>
    </row>
    <row r="23628" spans="30:30" x14ac:dyDescent="0.3">
      <c r="AD23628" s="16"/>
    </row>
    <row r="23629" spans="30:30" x14ac:dyDescent="0.3">
      <c r="AD23629" s="16"/>
    </row>
    <row r="23630" spans="30:30" x14ac:dyDescent="0.3">
      <c r="AD23630" s="16"/>
    </row>
    <row r="23631" spans="30:30" x14ac:dyDescent="0.3">
      <c r="AD23631" s="16"/>
    </row>
    <row r="23632" spans="30:30" x14ac:dyDescent="0.3">
      <c r="AD23632" s="16"/>
    </row>
    <row r="23633" spans="30:30" x14ac:dyDescent="0.3">
      <c r="AD23633" s="16"/>
    </row>
    <row r="23634" spans="30:30" x14ac:dyDescent="0.3">
      <c r="AD23634" s="16"/>
    </row>
    <row r="23635" spans="30:30" x14ac:dyDescent="0.3">
      <c r="AD23635" s="16"/>
    </row>
    <row r="23636" spans="30:30" x14ac:dyDescent="0.3">
      <c r="AD23636" s="16"/>
    </row>
    <row r="23637" spans="30:30" x14ac:dyDescent="0.3">
      <c r="AD23637" s="16"/>
    </row>
    <row r="23638" spans="30:30" x14ac:dyDescent="0.3">
      <c r="AD23638" s="16"/>
    </row>
    <row r="23639" spans="30:30" x14ac:dyDescent="0.3">
      <c r="AD23639" s="16"/>
    </row>
    <row r="23640" spans="30:30" x14ac:dyDescent="0.3">
      <c r="AD23640" s="16"/>
    </row>
    <row r="23641" spans="30:30" x14ac:dyDescent="0.3">
      <c r="AD23641" s="16"/>
    </row>
    <row r="23642" spans="30:30" x14ac:dyDescent="0.3">
      <c r="AD23642" s="16"/>
    </row>
    <row r="23643" spans="30:30" x14ac:dyDescent="0.3">
      <c r="AD23643" s="16"/>
    </row>
    <row r="23644" spans="30:30" x14ac:dyDescent="0.3">
      <c r="AD23644" s="16"/>
    </row>
    <row r="23645" spans="30:30" x14ac:dyDescent="0.3">
      <c r="AD23645" s="16"/>
    </row>
    <row r="23646" spans="30:30" x14ac:dyDescent="0.3">
      <c r="AD23646" s="16"/>
    </row>
    <row r="23647" spans="30:30" x14ac:dyDescent="0.3">
      <c r="AD23647" s="16"/>
    </row>
    <row r="23648" spans="30:30" x14ac:dyDescent="0.3">
      <c r="AD23648" s="16"/>
    </row>
    <row r="23649" spans="30:30" x14ac:dyDescent="0.3">
      <c r="AD23649" s="16"/>
    </row>
    <row r="23650" spans="30:30" x14ac:dyDescent="0.3">
      <c r="AD23650" s="16"/>
    </row>
    <row r="23651" spans="30:30" x14ac:dyDescent="0.3">
      <c r="AD23651" s="16"/>
    </row>
    <row r="23652" spans="30:30" x14ac:dyDescent="0.3">
      <c r="AD23652" s="16"/>
    </row>
    <row r="23653" spans="30:30" x14ac:dyDescent="0.3">
      <c r="AD23653" s="16"/>
    </row>
    <row r="23654" spans="30:30" x14ac:dyDescent="0.3">
      <c r="AD23654" s="16"/>
    </row>
    <row r="23655" spans="30:30" x14ac:dyDescent="0.3">
      <c r="AD23655" s="16"/>
    </row>
    <row r="23656" spans="30:30" x14ac:dyDescent="0.3">
      <c r="AD23656" s="16"/>
    </row>
    <row r="23657" spans="30:30" x14ac:dyDescent="0.3">
      <c r="AD23657" s="16"/>
    </row>
    <row r="23658" spans="30:30" x14ac:dyDescent="0.3">
      <c r="AD23658" s="16"/>
    </row>
    <row r="23659" spans="30:30" x14ac:dyDescent="0.3">
      <c r="AD23659" s="16"/>
    </row>
    <row r="23660" spans="30:30" x14ac:dyDescent="0.3">
      <c r="AD23660" s="16"/>
    </row>
    <row r="23661" spans="30:30" x14ac:dyDescent="0.3">
      <c r="AD23661" s="16"/>
    </row>
    <row r="23662" spans="30:30" x14ac:dyDescent="0.3">
      <c r="AD23662" s="16"/>
    </row>
    <row r="23663" spans="30:30" x14ac:dyDescent="0.3">
      <c r="AD23663" s="16"/>
    </row>
    <row r="23664" spans="30:30" x14ac:dyDescent="0.3">
      <c r="AD23664" s="16"/>
    </row>
    <row r="23665" spans="30:30" x14ac:dyDescent="0.3">
      <c r="AD23665" s="16"/>
    </row>
    <row r="23666" spans="30:30" x14ac:dyDescent="0.3">
      <c r="AD23666" s="16"/>
    </row>
    <row r="23667" spans="30:30" x14ac:dyDescent="0.3">
      <c r="AD23667" s="16"/>
    </row>
    <row r="23668" spans="30:30" x14ac:dyDescent="0.3">
      <c r="AD23668" s="16"/>
    </row>
    <row r="23669" spans="30:30" x14ac:dyDescent="0.3">
      <c r="AD23669" s="16"/>
    </row>
    <row r="23670" spans="30:30" x14ac:dyDescent="0.3">
      <c r="AD23670" s="16"/>
    </row>
    <row r="23671" spans="30:30" x14ac:dyDescent="0.3">
      <c r="AD23671" s="16"/>
    </row>
    <row r="23672" spans="30:30" x14ac:dyDescent="0.3">
      <c r="AD23672" s="16"/>
    </row>
    <row r="23673" spans="30:30" x14ac:dyDescent="0.3">
      <c r="AD23673" s="16"/>
    </row>
    <row r="23674" spans="30:30" x14ac:dyDescent="0.3">
      <c r="AD23674" s="16"/>
    </row>
    <row r="23675" spans="30:30" x14ac:dyDescent="0.3">
      <c r="AD23675" s="16"/>
    </row>
    <row r="23676" spans="30:30" x14ac:dyDescent="0.3">
      <c r="AD23676" s="16"/>
    </row>
    <row r="23677" spans="30:30" x14ac:dyDescent="0.3">
      <c r="AD23677" s="16"/>
    </row>
    <row r="23678" spans="30:30" x14ac:dyDescent="0.3">
      <c r="AD23678" s="16"/>
    </row>
    <row r="23679" spans="30:30" x14ac:dyDescent="0.3">
      <c r="AD23679" s="16"/>
    </row>
    <row r="23680" spans="30:30" x14ac:dyDescent="0.3">
      <c r="AD23680" s="16"/>
    </row>
    <row r="23681" spans="30:30" x14ac:dyDescent="0.3">
      <c r="AD23681" s="16"/>
    </row>
    <row r="23682" spans="30:30" x14ac:dyDescent="0.3">
      <c r="AD23682" s="16"/>
    </row>
    <row r="23683" spans="30:30" x14ac:dyDescent="0.3">
      <c r="AD23683" s="16"/>
    </row>
    <row r="23684" spans="30:30" x14ac:dyDescent="0.3">
      <c r="AD23684" s="16"/>
    </row>
    <row r="23685" spans="30:30" x14ac:dyDescent="0.3">
      <c r="AD23685" s="16"/>
    </row>
    <row r="23686" spans="30:30" x14ac:dyDescent="0.3">
      <c r="AD23686" s="16"/>
    </row>
    <row r="23687" spans="30:30" x14ac:dyDescent="0.3">
      <c r="AD23687" s="16"/>
    </row>
    <row r="23688" spans="30:30" x14ac:dyDescent="0.3">
      <c r="AD23688" s="16"/>
    </row>
    <row r="23689" spans="30:30" x14ac:dyDescent="0.3">
      <c r="AD23689" s="16"/>
    </row>
    <row r="23690" spans="30:30" x14ac:dyDescent="0.3">
      <c r="AD23690" s="16"/>
    </row>
    <row r="23691" spans="30:30" x14ac:dyDescent="0.3">
      <c r="AD23691" s="16"/>
    </row>
    <row r="23692" spans="30:30" x14ac:dyDescent="0.3">
      <c r="AD23692" s="16"/>
    </row>
    <row r="23693" spans="30:30" x14ac:dyDescent="0.3">
      <c r="AD23693" s="16"/>
    </row>
    <row r="23694" spans="30:30" x14ac:dyDescent="0.3">
      <c r="AD23694" s="16"/>
    </row>
    <row r="23695" spans="30:30" x14ac:dyDescent="0.3">
      <c r="AD23695" s="16"/>
    </row>
    <row r="23696" spans="30:30" x14ac:dyDescent="0.3">
      <c r="AD23696" s="16"/>
    </row>
    <row r="23697" spans="30:30" x14ac:dyDescent="0.3">
      <c r="AD23697" s="16"/>
    </row>
    <row r="23698" spans="30:30" x14ac:dyDescent="0.3">
      <c r="AD23698" s="16"/>
    </row>
    <row r="23699" spans="30:30" x14ac:dyDescent="0.3">
      <c r="AD23699" s="16"/>
    </row>
    <row r="23700" spans="30:30" x14ac:dyDescent="0.3">
      <c r="AD23700" s="16"/>
    </row>
    <row r="23701" spans="30:30" x14ac:dyDescent="0.3">
      <c r="AD23701" s="16"/>
    </row>
    <row r="23702" spans="30:30" x14ac:dyDescent="0.3">
      <c r="AD23702" s="16"/>
    </row>
    <row r="23703" spans="30:30" x14ac:dyDescent="0.3">
      <c r="AD23703" s="16"/>
    </row>
    <row r="23704" spans="30:30" x14ac:dyDescent="0.3">
      <c r="AD23704" s="16"/>
    </row>
    <row r="23705" spans="30:30" x14ac:dyDescent="0.3">
      <c r="AD23705" s="16"/>
    </row>
    <row r="23706" spans="30:30" x14ac:dyDescent="0.3">
      <c r="AD23706" s="16"/>
    </row>
    <row r="23707" spans="30:30" x14ac:dyDescent="0.3">
      <c r="AD23707" s="16"/>
    </row>
    <row r="23708" spans="30:30" x14ac:dyDescent="0.3">
      <c r="AD23708" s="16"/>
    </row>
    <row r="23709" spans="30:30" x14ac:dyDescent="0.3">
      <c r="AD23709" s="16"/>
    </row>
    <row r="23710" spans="30:30" x14ac:dyDescent="0.3">
      <c r="AD23710" s="16"/>
    </row>
    <row r="23711" spans="30:30" x14ac:dyDescent="0.3">
      <c r="AD23711" s="16"/>
    </row>
    <row r="23712" spans="30:30" x14ac:dyDescent="0.3">
      <c r="AD23712" s="16"/>
    </row>
    <row r="23713" spans="30:30" x14ac:dyDescent="0.3">
      <c r="AD23713" s="16"/>
    </row>
    <row r="23714" spans="30:30" x14ac:dyDescent="0.3">
      <c r="AD23714" s="16"/>
    </row>
    <row r="23715" spans="30:30" x14ac:dyDescent="0.3">
      <c r="AD23715" s="16"/>
    </row>
    <row r="23716" spans="30:30" x14ac:dyDescent="0.3">
      <c r="AD23716" s="16"/>
    </row>
    <row r="23717" spans="30:30" x14ac:dyDescent="0.3">
      <c r="AD23717" s="16"/>
    </row>
    <row r="23718" spans="30:30" x14ac:dyDescent="0.3">
      <c r="AD23718" s="16"/>
    </row>
    <row r="23719" spans="30:30" x14ac:dyDescent="0.3">
      <c r="AD23719" s="16"/>
    </row>
    <row r="23720" spans="30:30" x14ac:dyDescent="0.3">
      <c r="AD23720" s="16"/>
    </row>
    <row r="23721" spans="30:30" x14ac:dyDescent="0.3">
      <c r="AD23721" s="16"/>
    </row>
    <row r="23722" spans="30:30" x14ac:dyDescent="0.3">
      <c r="AD23722" s="16"/>
    </row>
    <row r="23723" spans="30:30" x14ac:dyDescent="0.3">
      <c r="AD23723" s="16"/>
    </row>
    <row r="23724" spans="30:30" x14ac:dyDescent="0.3">
      <c r="AD23724" s="16"/>
    </row>
    <row r="23725" spans="30:30" x14ac:dyDescent="0.3">
      <c r="AD23725" s="16"/>
    </row>
    <row r="23726" spans="30:30" x14ac:dyDescent="0.3">
      <c r="AD23726" s="16"/>
    </row>
    <row r="23727" spans="30:30" x14ac:dyDescent="0.3">
      <c r="AD23727" s="16"/>
    </row>
    <row r="23728" spans="30:30" x14ac:dyDescent="0.3">
      <c r="AD23728" s="16"/>
    </row>
    <row r="23729" spans="30:30" x14ac:dyDescent="0.3">
      <c r="AD23729" s="16"/>
    </row>
    <row r="23730" spans="30:30" x14ac:dyDescent="0.3">
      <c r="AD23730" s="16"/>
    </row>
    <row r="23731" spans="30:30" x14ac:dyDescent="0.3">
      <c r="AD23731" s="16"/>
    </row>
    <row r="23732" spans="30:30" x14ac:dyDescent="0.3">
      <c r="AD23732" s="16"/>
    </row>
    <row r="23733" spans="30:30" x14ac:dyDescent="0.3">
      <c r="AD23733" s="16"/>
    </row>
    <row r="23734" spans="30:30" x14ac:dyDescent="0.3">
      <c r="AD23734" s="16"/>
    </row>
    <row r="23735" spans="30:30" x14ac:dyDescent="0.3">
      <c r="AD23735" s="16"/>
    </row>
    <row r="23736" spans="30:30" x14ac:dyDescent="0.3">
      <c r="AD23736" s="16"/>
    </row>
    <row r="23737" spans="30:30" x14ac:dyDescent="0.3">
      <c r="AD23737" s="16"/>
    </row>
    <row r="23738" spans="30:30" x14ac:dyDescent="0.3">
      <c r="AD23738" s="16"/>
    </row>
    <row r="23739" spans="30:30" x14ac:dyDescent="0.3">
      <c r="AD23739" s="16"/>
    </row>
    <row r="23740" spans="30:30" x14ac:dyDescent="0.3">
      <c r="AD23740" s="16"/>
    </row>
    <row r="23741" spans="30:30" x14ac:dyDescent="0.3">
      <c r="AD23741" s="16"/>
    </row>
    <row r="23742" spans="30:30" x14ac:dyDescent="0.3">
      <c r="AD23742" s="16"/>
    </row>
    <row r="23743" spans="30:30" x14ac:dyDescent="0.3">
      <c r="AD23743" s="16"/>
    </row>
    <row r="23744" spans="30:30" x14ac:dyDescent="0.3">
      <c r="AD23744" s="16"/>
    </row>
    <row r="23745" spans="30:30" x14ac:dyDescent="0.3">
      <c r="AD23745" s="16"/>
    </row>
    <row r="23746" spans="30:30" x14ac:dyDescent="0.3">
      <c r="AD23746" s="16"/>
    </row>
    <row r="23747" spans="30:30" x14ac:dyDescent="0.3">
      <c r="AD23747" s="16"/>
    </row>
    <row r="23748" spans="30:30" x14ac:dyDescent="0.3">
      <c r="AD23748" s="16"/>
    </row>
    <row r="23749" spans="30:30" x14ac:dyDescent="0.3">
      <c r="AD23749" s="16"/>
    </row>
    <row r="23750" spans="30:30" x14ac:dyDescent="0.3">
      <c r="AD23750" s="16"/>
    </row>
    <row r="23751" spans="30:30" x14ac:dyDescent="0.3">
      <c r="AD23751" s="16"/>
    </row>
    <row r="23752" spans="30:30" x14ac:dyDescent="0.3">
      <c r="AD23752" s="16"/>
    </row>
    <row r="23753" spans="30:30" x14ac:dyDescent="0.3">
      <c r="AD23753" s="16"/>
    </row>
    <row r="23754" spans="30:30" x14ac:dyDescent="0.3">
      <c r="AD23754" s="16"/>
    </row>
    <row r="23755" spans="30:30" x14ac:dyDescent="0.3">
      <c r="AD23755" s="16"/>
    </row>
    <row r="23756" spans="30:30" x14ac:dyDescent="0.3">
      <c r="AD23756" s="16"/>
    </row>
    <row r="23757" spans="30:30" x14ac:dyDescent="0.3">
      <c r="AD23757" s="16"/>
    </row>
    <row r="23758" spans="30:30" x14ac:dyDescent="0.3">
      <c r="AD23758" s="16"/>
    </row>
    <row r="23759" spans="30:30" x14ac:dyDescent="0.3">
      <c r="AD23759" s="16"/>
    </row>
    <row r="23760" spans="30:30" x14ac:dyDescent="0.3">
      <c r="AD23760" s="16"/>
    </row>
    <row r="23761" spans="30:30" x14ac:dyDescent="0.3">
      <c r="AD23761" s="16"/>
    </row>
    <row r="23762" spans="30:30" x14ac:dyDescent="0.3">
      <c r="AD23762" s="16"/>
    </row>
    <row r="23763" spans="30:30" x14ac:dyDescent="0.3">
      <c r="AD23763" s="16"/>
    </row>
    <row r="23764" spans="30:30" x14ac:dyDescent="0.3">
      <c r="AD23764" s="16"/>
    </row>
    <row r="23765" spans="30:30" x14ac:dyDescent="0.3">
      <c r="AD23765" s="16"/>
    </row>
    <row r="23766" spans="30:30" x14ac:dyDescent="0.3">
      <c r="AD23766" s="16"/>
    </row>
    <row r="23767" spans="30:30" x14ac:dyDescent="0.3">
      <c r="AD23767" s="16"/>
    </row>
    <row r="23768" spans="30:30" x14ac:dyDescent="0.3">
      <c r="AD23768" s="16"/>
    </row>
    <row r="23769" spans="30:30" x14ac:dyDescent="0.3">
      <c r="AD23769" s="16"/>
    </row>
    <row r="23770" spans="30:30" x14ac:dyDescent="0.3">
      <c r="AD23770" s="16"/>
    </row>
    <row r="23771" spans="30:30" x14ac:dyDescent="0.3">
      <c r="AD23771" s="16"/>
    </row>
    <row r="23772" spans="30:30" x14ac:dyDescent="0.3">
      <c r="AD23772" s="16"/>
    </row>
    <row r="23773" spans="30:30" x14ac:dyDescent="0.3">
      <c r="AD23773" s="16"/>
    </row>
    <row r="23774" spans="30:30" x14ac:dyDescent="0.3">
      <c r="AD23774" s="16"/>
    </row>
    <row r="23775" spans="30:30" x14ac:dyDescent="0.3">
      <c r="AD23775" s="16"/>
    </row>
    <row r="23776" spans="30:30" x14ac:dyDescent="0.3">
      <c r="AD23776" s="16"/>
    </row>
    <row r="23777" spans="30:30" x14ac:dyDescent="0.3">
      <c r="AD23777" s="16"/>
    </row>
    <row r="23778" spans="30:30" x14ac:dyDescent="0.3">
      <c r="AD23778" s="16"/>
    </row>
    <row r="23779" spans="30:30" x14ac:dyDescent="0.3">
      <c r="AD23779" s="16"/>
    </row>
    <row r="23780" spans="30:30" x14ac:dyDescent="0.3">
      <c r="AD23780" s="16"/>
    </row>
    <row r="23781" spans="30:30" x14ac:dyDescent="0.3">
      <c r="AD23781" s="16"/>
    </row>
    <row r="23782" spans="30:30" x14ac:dyDescent="0.3">
      <c r="AD23782" s="16"/>
    </row>
    <row r="23783" spans="30:30" x14ac:dyDescent="0.3">
      <c r="AD23783" s="16"/>
    </row>
    <row r="23784" spans="30:30" x14ac:dyDescent="0.3">
      <c r="AD23784" s="16"/>
    </row>
    <row r="23785" spans="30:30" x14ac:dyDescent="0.3">
      <c r="AD23785" s="16"/>
    </row>
    <row r="23786" spans="30:30" x14ac:dyDescent="0.3">
      <c r="AD23786" s="16"/>
    </row>
    <row r="23787" spans="30:30" x14ac:dyDescent="0.3">
      <c r="AD23787" s="16"/>
    </row>
    <row r="23788" spans="30:30" x14ac:dyDescent="0.3">
      <c r="AD23788" s="16"/>
    </row>
    <row r="23789" spans="30:30" x14ac:dyDescent="0.3">
      <c r="AD23789" s="16"/>
    </row>
    <row r="23790" spans="30:30" x14ac:dyDescent="0.3">
      <c r="AD23790" s="16"/>
    </row>
    <row r="23791" spans="30:30" x14ac:dyDescent="0.3">
      <c r="AD23791" s="16"/>
    </row>
    <row r="23792" spans="30:30" x14ac:dyDescent="0.3">
      <c r="AD23792" s="16"/>
    </row>
    <row r="23793" spans="30:30" x14ac:dyDescent="0.3">
      <c r="AD23793" s="16"/>
    </row>
    <row r="23794" spans="30:30" x14ac:dyDescent="0.3">
      <c r="AD23794" s="16"/>
    </row>
    <row r="23795" spans="30:30" x14ac:dyDescent="0.3">
      <c r="AD23795" s="16"/>
    </row>
    <row r="23796" spans="30:30" x14ac:dyDescent="0.3">
      <c r="AD23796" s="16"/>
    </row>
    <row r="23797" spans="30:30" x14ac:dyDescent="0.3">
      <c r="AD23797" s="16"/>
    </row>
    <row r="23798" spans="30:30" x14ac:dyDescent="0.3">
      <c r="AD23798" s="16"/>
    </row>
    <row r="23799" spans="30:30" x14ac:dyDescent="0.3">
      <c r="AD23799" s="16"/>
    </row>
    <row r="23800" spans="30:30" x14ac:dyDescent="0.3">
      <c r="AD23800" s="16"/>
    </row>
    <row r="23801" spans="30:30" x14ac:dyDescent="0.3">
      <c r="AD23801" s="16"/>
    </row>
    <row r="23802" spans="30:30" x14ac:dyDescent="0.3">
      <c r="AD23802" s="16"/>
    </row>
    <row r="23803" spans="30:30" x14ac:dyDescent="0.3">
      <c r="AD23803" s="16"/>
    </row>
    <row r="23804" spans="30:30" x14ac:dyDescent="0.3">
      <c r="AD23804" s="16"/>
    </row>
    <row r="23805" spans="30:30" x14ac:dyDescent="0.3">
      <c r="AD23805" s="16"/>
    </row>
    <row r="23806" spans="30:30" x14ac:dyDescent="0.3">
      <c r="AD23806" s="16"/>
    </row>
    <row r="23807" spans="30:30" x14ac:dyDescent="0.3">
      <c r="AD23807" s="16"/>
    </row>
    <row r="23808" spans="30:30" x14ac:dyDescent="0.3">
      <c r="AD23808" s="16"/>
    </row>
    <row r="23809" spans="30:30" x14ac:dyDescent="0.3">
      <c r="AD23809" s="16"/>
    </row>
    <row r="23810" spans="30:30" x14ac:dyDescent="0.3">
      <c r="AD23810" s="16"/>
    </row>
    <row r="23811" spans="30:30" x14ac:dyDescent="0.3">
      <c r="AD23811" s="16"/>
    </row>
    <row r="23812" spans="30:30" x14ac:dyDescent="0.3">
      <c r="AD23812" s="16"/>
    </row>
    <row r="23813" spans="30:30" x14ac:dyDescent="0.3">
      <c r="AD23813" s="16"/>
    </row>
    <row r="23814" spans="30:30" x14ac:dyDescent="0.3">
      <c r="AD23814" s="16"/>
    </row>
    <row r="23815" spans="30:30" x14ac:dyDescent="0.3">
      <c r="AD23815" s="16"/>
    </row>
    <row r="23816" spans="30:30" x14ac:dyDescent="0.3">
      <c r="AD23816" s="16"/>
    </row>
    <row r="23817" spans="30:30" x14ac:dyDescent="0.3">
      <c r="AD23817" s="16"/>
    </row>
    <row r="23818" spans="30:30" x14ac:dyDescent="0.3">
      <c r="AD23818" s="16"/>
    </row>
    <row r="23819" spans="30:30" x14ac:dyDescent="0.3">
      <c r="AD23819" s="16"/>
    </row>
    <row r="23820" spans="30:30" x14ac:dyDescent="0.3">
      <c r="AD23820" s="16"/>
    </row>
    <row r="23821" spans="30:30" x14ac:dyDescent="0.3">
      <c r="AD23821" s="16"/>
    </row>
    <row r="23822" spans="30:30" x14ac:dyDescent="0.3">
      <c r="AD23822" s="16"/>
    </row>
    <row r="23823" spans="30:30" x14ac:dyDescent="0.3">
      <c r="AD23823" s="16"/>
    </row>
    <row r="23824" spans="30:30" x14ac:dyDescent="0.3">
      <c r="AD23824" s="16"/>
    </row>
    <row r="23825" spans="30:30" x14ac:dyDescent="0.3">
      <c r="AD23825" s="16"/>
    </row>
    <row r="23826" spans="30:30" x14ac:dyDescent="0.3">
      <c r="AD23826" s="16"/>
    </row>
    <row r="23827" spans="30:30" x14ac:dyDescent="0.3">
      <c r="AD23827" s="16"/>
    </row>
    <row r="23828" spans="30:30" x14ac:dyDescent="0.3">
      <c r="AD23828" s="16"/>
    </row>
    <row r="23829" spans="30:30" x14ac:dyDescent="0.3">
      <c r="AD23829" s="16"/>
    </row>
    <row r="23830" spans="30:30" x14ac:dyDescent="0.3">
      <c r="AD23830" s="16"/>
    </row>
    <row r="23831" spans="30:30" x14ac:dyDescent="0.3">
      <c r="AD23831" s="16"/>
    </row>
    <row r="23832" spans="30:30" x14ac:dyDescent="0.3">
      <c r="AD23832" s="16"/>
    </row>
    <row r="23833" spans="30:30" x14ac:dyDescent="0.3">
      <c r="AD23833" s="16"/>
    </row>
    <row r="23834" spans="30:30" x14ac:dyDescent="0.3">
      <c r="AD23834" s="16"/>
    </row>
    <row r="23835" spans="30:30" x14ac:dyDescent="0.3">
      <c r="AD23835" s="16"/>
    </row>
    <row r="23836" spans="30:30" x14ac:dyDescent="0.3">
      <c r="AD23836" s="16"/>
    </row>
    <row r="23837" spans="30:30" x14ac:dyDescent="0.3">
      <c r="AD23837" s="16"/>
    </row>
    <row r="23838" spans="30:30" x14ac:dyDescent="0.3">
      <c r="AD23838" s="16"/>
    </row>
    <row r="23839" spans="30:30" x14ac:dyDescent="0.3">
      <c r="AD23839" s="16"/>
    </row>
    <row r="23840" spans="30:30" x14ac:dyDescent="0.3">
      <c r="AD23840" s="16"/>
    </row>
    <row r="23841" spans="30:30" x14ac:dyDescent="0.3">
      <c r="AD23841" s="16"/>
    </row>
    <row r="23842" spans="30:30" x14ac:dyDescent="0.3">
      <c r="AD23842" s="16"/>
    </row>
    <row r="23843" spans="30:30" x14ac:dyDescent="0.3">
      <c r="AD23843" s="16"/>
    </row>
    <row r="23844" spans="30:30" x14ac:dyDescent="0.3">
      <c r="AD23844" s="16"/>
    </row>
    <row r="23845" spans="30:30" x14ac:dyDescent="0.3">
      <c r="AD23845" s="16"/>
    </row>
    <row r="23846" spans="30:30" x14ac:dyDescent="0.3">
      <c r="AD23846" s="16"/>
    </row>
    <row r="23847" spans="30:30" x14ac:dyDescent="0.3">
      <c r="AD23847" s="16"/>
    </row>
    <row r="23848" spans="30:30" x14ac:dyDescent="0.3">
      <c r="AD23848" s="16"/>
    </row>
    <row r="23849" spans="30:30" x14ac:dyDescent="0.3">
      <c r="AD23849" s="16"/>
    </row>
    <row r="23850" spans="30:30" x14ac:dyDescent="0.3">
      <c r="AD23850" s="16"/>
    </row>
    <row r="23851" spans="30:30" x14ac:dyDescent="0.3">
      <c r="AD23851" s="16"/>
    </row>
    <row r="23852" spans="30:30" x14ac:dyDescent="0.3">
      <c r="AD23852" s="16"/>
    </row>
    <row r="23853" spans="30:30" x14ac:dyDescent="0.3">
      <c r="AD23853" s="16"/>
    </row>
    <row r="23854" spans="30:30" x14ac:dyDescent="0.3">
      <c r="AD23854" s="16"/>
    </row>
    <row r="23855" spans="30:30" x14ac:dyDescent="0.3">
      <c r="AD23855" s="16"/>
    </row>
    <row r="23856" spans="30:30" x14ac:dyDescent="0.3">
      <c r="AD23856" s="16"/>
    </row>
    <row r="23857" spans="30:30" x14ac:dyDescent="0.3">
      <c r="AD23857" s="16"/>
    </row>
    <row r="23858" spans="30:30" x14ac:dyDescent="0.3">
      <c r="AD23858" s="16"/>
    </row>
    <row r="23859" spans="30:30" x14ac:dyDescent="0.3">
      <c r="AD23859" s="16"/>
    </row>
    <row r="23860" spans="30:30" x14ac:dyDescent="0.3">
      <c r="AD23860" s="16"/>
    </row>
    <row r="23861" spans="30:30" x14ac:dyDescent="0.3">
      <c r="AD23861" s="16"/>
    </row>
    <row r="23862" spans="30:30" x14ac:dyDescent="0.3">
      <c r="AD23862" s="16"/>
    </row>
    <row r="23863" spans="30:30" x14ac:dyDescent="0.3">
      <c r="AD23863" s="16"/>
    </row>
    <row r="23864" spans="30:30" x14ac:dyDescent="0.3">
      <c r="AD23864" s="16"/>
    </row>
    <row r="23865" spans="30:30" x14ac:dyDescent="0.3">
      <c r="AD23865" s="16"/>
    </row>
    <row r="23866" spans="30:30" x14ac:dyDescent="0.3">
      <c r="AD23866" s="16"/>
    </row>
    <row r="23867" spans="30:30" x14ac:dyDescent="0.3">
      <c r="AD23867" s="16"/>
    </row>
    <row r="23868" spans="30:30" x14ac:dyDescent="0.3">
      <c r="AD23868" s="16"/>
    </row>
    <row r="23869" spans="30:30" x14ac:dyDescent="0.3">
      <c r="AD23869" s="16"/>
    </row>
    <row r="23870" spans="30:30" x14ac:dyDescent="0.3">
      <c r="AD23870" s="16"/>
    </row>
    <row r="23871" spans="30:30" x14ac:dyDescent="0.3">
      <c r="AD23871" s="16"/>
    </row>
    <row r="23872" spans="30:30" x14ac:dyDescent="0.3">
      <c r="AD23872" s="16"/>
    </row>
    <row r="23873" spans="30:30" x14ac:dyDescent="0.3">
      <c r="AD23873" s="16"/>
    </row>
    <row r="23874" spans="30:30" x14ac:dyDescent="0.3">
      <c r="AD23874" s="16"/>
    </row>
    <row r="23875" spans="30:30" x14ac:dyDescent="0.3">
      <c r="AD23875" s="16"/>
    </row>
    <row r="23876" spans="30:30" x14ac:dyDescent="0.3">
      <c r="AD23876" s="16"/>
    </row>
    <row r="23877" spans="30:30" x14ac:dyDescent="0.3">
      <c r="AD23877" s="16"/>
    </row>
    <row r="23878" spans="30:30" x14ac:dyDescent="0.3">
      <c r="AD23878" s="16"/>
    </row>
    <row r="23879" spans="30:30" x14ac:dyDescent="0.3">
      <c r="AD23879" s="16"/>
    </row>
    <row r="23880" spans="30:30" x14ac:dyDescent="0.3">
      <c r="AD23880" s="16"/>
    </row>
    <row r="23881" spans="30:30" x14ac:dyDescent="0.3">
      <c r="AD23881" s="16"/>
    </row>
    <row r="23882" spans="30:30" x14ac:dyDescent="0.3">
      <c r="AD23882" s="16"/>
    </row>
    <row r="23883" spans="30:30" x14ac:dyDescent="0.3">
      <c r="AD23883" s="16"/>
    </row>
    <row r="23884" spans="30:30" x14ac:dyDescent="0.3">
      <c r="AD23884" s="16"/>
    </row>
    <row r="23885" spans="30:30" x14ac:dyDescent="0.3">
      <c r="AD23885" s="16"/>
    </row>
    <row r="23886" spans="30:30" x14ac:dyDescent="0.3">
      <c r="AD23886" s="16"/>
    </row>
    <row r="23887" spans="30:30" x14ac:dyDescent="0.3">
      <c r="AD23887" s="16"/>
    </row>
    <row r="23888" spans="30:30" x14ac:dyDescent="0.3">
      <c r="AD23888" s="16"/>
    </row>
    <row r="23889" spans="30:30" x14ac:dyDescent="0.3">
      <c r="AD23889" s="16"/>
    </row>
    <row r="23890" spans="30:30" x14ac:dyDescent="0.3">
      <c r="AD23890" s="16"/>
    </row>
    <row r="23891" spans="30:30" x14ac:dyDescent="0.3">
      <c r="AD23891" s="16"/>
    </row>
    <row r="23892" spans="30:30" x14ac:dyDescent="0.3">
      <c r="AD23892" s="16"/>
    </row>
    <row r="23893" spans="30:30" x14ac:dyDescent="0.3">
      <c r="AD23893" s="16"/>
    </row>
    <row r="23894" spans="30:30" x14ac:dyDescent="0.3">
      <c r="AD23894" s="16"/>
    </row>
    <row r="23895" spans="30:30" x14ac:dyDescent="0.3">
      <c r="AD23895" s="16"/>
    </row>
    <row r="23896" spans="30:30" x14ac:dyDescent="0.3">
      <c r="AD23896" s="16"/>
    </row>
    <row r="23897" spans="30:30" x14ac:dyDescent="0.3">
      <c r="AD23897" s="16"/>
    </row>
    <row r="23898" spans="30:30" x14ac:dyDescent="0.3">
      <c r="AD23898" s="16"/>
    </row>
    <row r="23899" spans="30:30" x14ac:dyDescent="0.3">
      <c r="AD23899" s="16"/>
    </row>
    <row r="23900" spans="30:30" x14ac:dyDescent="0.3">
      <c r="AD23900" s="16"/>
    </row>
    <row r="23901" spans="30:30" x14ac:dyDescent="0.3">
      <c r="AD23901" s="16"/>
    </row>
    <row r="23902" spans="30:30" x14ac:dyDescent="0.3">
      <c r="AD23902" s="16"/>
    </row>
    <row r="23903" spans="30:30" x14ac:dyDescent="0.3">
      <c r="AD23903" s="16"/>
    </row>
    <row r="23904" spans="30:30" x14ac:dyDescent="0.3">
      <c r="AD23904" s="16"/>
    </row>
    <row r="23905" spans="30:30" x14ac:dyDescent="0.3">
      <c r="AD23905" s="16"/>
    </row>
    <row r="23906" spans="30:30" x14ac:dyDescent="0.3">
      <c r="AD23906" s="16"/>
    </row>
    <row r="23907" spans="30:30" x14ac:dyDescent="0.3">
      <c r="AD23907" s="16"/>
    </row>
    <row r="23908" spans="30:30" x14ac:dyDescent="0.3">
      <c r="AD23908" s="16"/>
    </row>
    <row r="23909" spans="30:30" x14ac:dyDescent="0.3">
      <c r="AD23909" s="16"/>
    </row>
    <row r="23910" spans="30:30" x14ac:dyDescent="0.3">
      <c r="AD23910" s="16"/>
    </row>
    <row r="23911" spans="30:30" x14ac:dyDescent="0.3">
      <c r="AD23911" s="16"/>
    </row>
    <row r="23912" spans="30:30" x14ac:dyDescent="0.3">
      <c r="AD23912" s="16"/>
    </row>
    <row r="23913" spans="30:30" x14ac:dyDescent="0.3">
      <c r="AD23913" s="16"/>
    </row>
    <row r="23914" spans="30:30" x14ac:dyDescent="0.3">
      <c r="AD23914" s="16"/>
    </row>
    <row r="23915" spans="30:30" x14ac:dyDescent="0.3">
      <c r="AD23915" s="16"/>
    </row>
    <row r="23916" spans="30:30" x14ac:dyDescent="0.3">
      <c r="AD23916" s="16"/>
    </row>
    <row r="23917" spans="30:30" x14ac:dyDescent="0.3">
      <c r="AD23917" s="16"/>
    </row>
    <row r="23918" spans="30:30" x14ac:dyDescent="0.3">
      <c r="AD23918" s="16"/>
    </row>
    <row r="23919" spans="30:30" x14ac:dyDescent="0.3">
      <c r="AD23919" s="16"/>
    </row>
    <row r="23920" spans="30:30" x14ac:dyDescent="0.3">
      <c r="AD23920" s="16"/>
    </row>
    <row r="23921" spans="30:30" x14ac:dyDescent="0.3">
      <c r="AD23921" s="16"/>
    </row>
    <row r="23922" spans="30:30" x14ac:dyDescent="0.3">
      <c r="AD23922" s="16"/>
    </row>
    <row r="23923" spans="30:30" x14ac:dyDescent="0.3">
      <c r="AD23923" s="16"/>
    </row>
    <row r="23924" spans="30:30" x14ac:dyDescent="0.3">
      <c r="AD23924" s="16"/>
    </row>
    <row r="23925" spans="30:30" x14ac:dyDescent="0.3">
      <c r="AD23925" s="16"/>
    </row>
    <row r="23926" spans="30:30" x14ac:dyDescent="0.3">
      <c r="AD23926" s="16"/>
    </row>
    <row r="23927" spans="30:30" x14ac:dyDescent="0.3">
      <c r="AD23927" s="16"/>
    </row>
    <row r="23928" spans="30:30" x14ac:dyDescent="0.3">
      <c r="AD23928" s="16"/>
    </row>
    <row r="23929" spans="30:30" x14ac:dyDescent="0.3">
      <c r="AD23929" s="16"/>
    </row>
    <row r="23930" spans="30:30" x14ac:dyDescent="0.3">
      <c r="AD23930" s="16"/>
    </row>
    <row r="23931" spans="30:30" x14ac:dyDescent="0.3">
      <c r="AD23931" s="16"/>
    </row>
    <row r="23932" spans="30:30" x14ac:dyDescent="0.3">
      <c r="AD23932" s="16"/>
    </row>
    <row r="23933" spans="30:30" x14ac:dyDescent="0.3">
      <c r="AD23933" s="16"/>
    </row>
    <row r="23934" spans="30:30" x14ac:dyDescent="0.3">
      <c r="AD23934" s="16"/>
    </row>
    <row r="23935" spans="30:30" x14ac:dyDescent="0.3">
      <c r="AD23935" s="16"/>
    </row>
    <row r="23936" spans="30:30" x14ac:dyDescent="0.3">
      <c r="AD23936" s="16"/>
    </row>
    <row r="23937" spans="30:30" x14ac:dyDescent="0.3">
      <c r="AD23937" s="16"/>
    </row>
    <row r="23938" spans="30:30" x14ac:dyDescent="0.3">
      <c r="AD23938" s="16"/>
    </row>
    <row r="23939" spans="30:30" x14ac:dyDescent="0.3">
      <c r="AD23939" s="16"/>
    </row>
    <row r="23940" spans="30:30" x14ac:dyDescent="0.3">
      <c r="AD23940" s="16"/>
    </row>
    <row r="23941" spans="30:30" x14ac:dyDescent="0.3">
      <c r="AD23941" s="16"/>
    </row>
    <row r="23942" spans="30:30" x14ac:dyDescent="0.3">
      <c r="AD23942" s="16"/>
    </row>
    <row r="23943" spans="30:30" x14ac:dyDescent="0.3">
      <c r="AD23943" s="16"/>
    </row>
    <row r="23944" spans="30:30" x14ac:dyDescent="0.3">
      <c r="AD23944" s="16"/>
    </row>
    <row r="23945" spans="30:30" x14ac:dyDescent="0.3">
      <c r="AD23945" s="16"/>
    </row>
    <row r="23946" spans="30:30" x14ac:dyDescent="0.3">
      <c r="AD23946" s="16"/>
    </row>
    <row r="23947" spans="30:30" x14ac:dyDescent="0.3">
      <c r="AD23947" s="16"/>
    </row>
    <row r="23948" spans="30:30" x14ac:dyDescent="0.3">
      <c r="AD23948" s="16"/>
    </row>
    <row r="23949" spans="30:30" x14ac:dyDescent="0.3">
      <c r="AD23949" s="16"/>
    </row>
    <row r="23950" spans="30:30" x14ac:dyDescent="0.3">
      <c r="AD23950" s="16"/>
    </row>
    <row r="23951" spans="30:30" x14ac:dyDescent="0.3">
      <c r="AD23951" s="16"/>
    </row>
    <row r="23952" spans="30:30" x14ac:dyDescent="0.3">
      <c r="AD23952" s="16"/>
    </row>
    <row r="23953" spans="30:30" x14ac:dyDescent="0.3">
      <c r="AD23953" s="16"/>
    </row>
    <row r="23954" spans="30:30" x14ac:dyDescent="0.3">
      <c r="AD23954" s="16"/>
    </row>
    <row r="23955" spans="30:30" x14ac:dyDescent="0.3">
      <c r="AD23955" s="16"/>
    </row>
    <row r="23956" spans="30:30" x14ac:dyDescent="0.3">
      <c r="AD23956" s="16"/>
    </row>
    <row r="23957" spans="30:30" x14ac:dyDescent="0.3">
      <c r="AD23957" s="16"/>
    </row>
    <row r="23958" spans="30:30" x14ac:dyDescent="0.3">
      <c r="AD23958" s="16"/>
    </row>
    <row r="23959" spans="30:30" x14ac:dyDescent="0.3">
      <c r="AD23959" s="16"/>
    </row>
    <row r="23960" spans="30:30" x14ac:dyDescent="0.3">
      <c r="AD23960" s="16"/>
    </row>
    <row r="23961" spans="30:30" x14ac:dyDescent="0.3">
      <c r="AD23961" s="16"/>
    </row>
    <row r="23962" spans="30:30" x14ac:dyDescent="0.3">
      <c r="AD23962" s="16"/>
    </row>
    <row r="23963" spans="30:30" x14ac:dyDescent="0.3">
      <c r="AD23963" s="16"/>
    </row>
    <row r="23964" spans="30:30" x14ac:dyDescent="0.3">
      <c r="AD23964" s="16"/>
    </row>
    <row r="23965" spans="30:30" x14ac:dyDescent="0.3">
      <c r="AD23965" s="16"/>
    </row>
    <row r="23966" spans="30:30" x14ac:dyDescent="0.3">
      <c r="AD23966" s="16"/>
    </row>
    <row r="23967" spans="30:30" x14ac:dyDescent="0.3">
      <c r="AD23967" s="16"/>
    </row>
    <row r="23968" spans="30:30" x14ac:dyDescent="0.3">
      <c r="AD23968" s="16"/>
    </row>
    <row r="23969" spans="30:30" x14ac:dyDescent="0.3">
      <c r="AD23969" s="16"/>
    </row>
    <row r="23970" spans="30:30" x14ac:dyDescent="0.3">
      <c r="AD23970" s="16"/>
    </row>
    <row r="23971" spans="30:30" x14ac:dyDescent="0.3">
      <c r="AD23971" s="16"/>
    </row>
    <row r="23972" spans="30:30" x14ac:dyDescent="0.3">
      <c r="AD23972" s="16"/>
    </row>
    <row r="23973" spans="30:30" x14ac:dyDescent="0.3">
      <c r="AD23973" s="16"/>
    </row>
    <row r="23974" spans="30:30" x14ac:dyDescent="0.3">
      <c r="AD23974" s="16"/>
    </row>
    <row r="23975" spans="30:30" x14ac:dyDescent="0.3">
      <c r="AD23975" s="16"/>
    </row>
    <row r="23976" spans="30:30" x14ac:dyDescent="0.3">
      <c r="AD23976" s="16"/>
    </row>
    <row r="23977" spans="30:30" x14ac:dyDescent="0.3">
      <c r="AD23977" s="16"/>
    </row>
    <row r="23978" spans="30:30" x14ac:dyDescent="0.3">
      <c r="AD23978" s="16"/>
    </row>
    <row r="23979" spans="30:30" x14ac:dyDescent="0.3">
      <c r="AD23979" s="16"/>
    </row>
    <row r="23980" spans="30:30" x14ac:dyDescent="0.3">
      <c r="AD23980" s="16"/>
    </row>
    <row r="23981" spans="30:30" x14ac:dyDescent="0.3">
      <c r="AD23981" s="16"/>
    </row>
    <row r="23982" spans="30:30" x14ac:dyDescent="0.3">
      <c r="AD23982" s="16"/>
    </row>
    <row r="23983" spans="30:30" x14ac:dyDescent="0.3">
      <c r="AD23983" s="16"/>
    </row>
    <row r="23984" spans="30:30" x14ac:dyDescent="0.3">
      <c r="AD23984" s="16"/>
    </row>
    <row r="23985" spans="30:30" x14ac:dyDescent="0.3">
      <c r="AD23985" s="16"/>
    </row>
    <row r="23986" spans="30:30" x14ac:dyDescent="0.3">
      <c r="AD23986" s="16"/>
    </row>
    <row r="23987" spans="30:30" x14ac:dyDescent="0.3">
      <c r="AD23987" s="16"/>
    </row>
    <row r="23988" spans="30:30" x14ac:dyDescent="0.3">
      <c r="AD23988" s="16"/>
    </row>
    <row r="23989" spans="30:30" x14ac:dyDescent="0.3">
      <c r="AD23989" s="16"/>
    </row>
    <row r="23990" spans="30:30" x14ac:dyDescent="0.3">
      <c r="AD23990" s="16"/>
    </row>
    <row r="23991" spans="30:30" x14ac:dyDescent="0.3">
      <c r="AD23991" s="16"/>
    </row>
    <row r="23992" spans="30:30" x14ac:dyDescent="0.3">
      <c r="AD23992" s="16"/>
    </row>
    <row r="23993" spans="30:30" x14ac:dyDescent="0.3">
      <c r="AD23993" s="16"/>
    </row>
    <row r="23994" spans="30:30" x14ac:dyDescent="0.3">
      <c r="AD23994" s="16"/>
    </row>
    <row r="23995" spans="30:30" x14ac:dyDescent="0.3">
      <c r="AD23995" s="16"/>
    </row>
    <row r="23996" spans="30:30" x14ac:dyDescent="0.3">
      <c r="AD23996" s="16"/>
    </row>
    <row r="23997" spans="30:30" x14ac:dyDescent="0.3">
      <c r="AD23997" s="16"/>
    </row>
    <row r="23998" spans="30:30" x14ac:dyDescent="0.3">
      <c r="AD23998" s="16"/>
    </row>
    <row r="23999" spans="30:30" x14ac:dyDescent="0.3">
      <c r="AD23999" s="16"/>
    </row>
    <row r="24000" spans="30:30" x14ac:dyDescent="0.3">
      <c r="AD24000" s="16"/>
    </row>
    <row r="24001" spans="30:30" x14ac:dyDescent="0.3">
      <c r="AD24001" s="16"/>
    </row>
    <row r="24002" spans="30:30" x14ac:dyDescent="0.3">
      <c r="AD24002" s="16"/>
    </row>
    <row r="24003" spans="30:30" x14ac:dyDescent="0.3">
      <c r="AD24003" s="16"/>
    </row>
    <row r="24004" spans="30:30" x14ac:dyDescent="0.3">
      <c r="AD24004" s="16"/>
    </row>
    <row r="24005" spans="30:30" x14ac:dyDescent="0.3">
      <c r="AD24005" s="16"/>
    </row>
    <row r="24006" spans="30:30" x14ac:dyDescent="0.3">
      <c r="AD24006" s="16"/>
    </row>
    <row r="24007" spans="30:30" x14ac:dyDescent="0.3">
      <c r="AD24007" s="16"/>
    </row>
    <row r="24008" spans="30:30" x14ac:dyDescent="0.3">
      <c r="AD24008" s="16"/>
    </row>
    <row r="24009" spans="30:30" x14ac:dyDescent="0.3">
      <c r="AD24009" s="16"/>
    </row>
    <row r="24010" spans="30:30" x14ac:dyDescent="0.3">
      <c r="AD24010" s="16"/>
    </row>
    <row r="24011" spans="30:30" x14ac:dyDescent="0.3">
      <c r="AD24011" s="16"/>
    </row>
    <row r="24012" spans="30:30" x14ac:dyDescent="0.3">
      <c r="AD24012" s="16"/>
    </row>
    <row r="24013" spans="30:30" x14ac:dyDescent="0.3">
      <c r="AD24013" s="16"/>
    </row>
    <row r="24014" spans="30:30" x14ac:dyDescent="0.3">
      <c r="AD24014" s="16"/>
    </row>
    <row r="24015" spans="30:30" x14ac:dyDescent="0.3">
      <c r="AD24015" s="16"/>
    </row>
    <row r="24016" spans="30:30" x14ac:dyDescent="0.3">
      <c r="AD24016" s="16"/>
    </row>
    <row r="24017" spans="30:30" x14ac:dyDescent="0.3">
      <c r="AD24017" s="16"/>
    </row>
    <row r="24018" spans="30:30" x14ac:dyDescent="0.3">
      <c r="AD24018" s="16"/>
    </row>
    <row r="24019" spans="30:30" x14ac:dyDescent="0.3">
      <c r="AD24019" s="16"/>
    </row>
    <row r="24020" spans="30:30" x14ac:dyDescent="0.3">
      <c r="AD24020" s="16"/>
    </row>
    <row r="24021" spans="30:30" x14ac:dyDescent="0.3">
      <c r="AD24021" s="16"/>
    </row>
    <row r="24022" spans="30:30" x14ac:dyDescent="0.3">
      <c r="AD24022" s="16"/>
    </row>
    <row r="24023" spans="30:30" x14ac:dyDescent="0.3">
      <c r="AD24023" s="16"/>
    </row>
    <row r="24024" spans="30:30" x14ac:dyDescent="0.3">
      <c r="AD24024" s="16"/>
    </row>
    <row r="24025" spans="30:30" x14ac:dyDescent="0.3">
      <c r="AD24025" s="16"/>
    </row>
    <row r="24026" spans="30:30" x14ac:dyDescent="0.3">
      <c r="AD24026" s="16"/>
    </row>
    <row r="24027" spans="30:30" x14ac:dyDescent="0.3">
      <c r="AD24027" s="16"/>
    </row>
    <row r="24028" spans="30:30" x14ac:dyDescent="0.3">
      <c r="AD24028" s="16"/>
    </row>
    <row r="24029" spans="30:30" x14ac:dyDescent="0.3">
      <c r="AD24029" s="16"/>
    </row>
    <row r="24030" spans="30:30" x14ac:dyDescent="0.3">
      <c r="AD24030" s="16"/>
    </row>
    <row r="24031" spans="30:30" x14ac:dyDescent="0.3">
      <c r="AD24031" s="16"/>
    </row>
    <row r="24032" spans="30:30" x14ac:dyDescent="0.3">
      <c r="AD24032" s="16"/>
    </row>
    <row r="24033" spans="30:30" x14ac:dyDescent="0.3">
      <c r="AD24033" s="16"/>
    </row>
    <row r="24034" spans="30:30" x14ac:dyDescent="0.3">
      <c r="AD24034" s="16"/>
    </row>
    <row r="24035" spans="30:30" x14ac:dyDescent="0.3">
      <c r="AD24035" s="16"/>
    </row>
    <row r="24036" spans="30:30" x14ac:dyDescent="0.3">
      <c r="AD24036" s="16"/>
    </row>
    <row r="24037" spans="30:30" x14ac:dyDescent="0.3">
      <c r="AD24037" s="16"/>
    </row>
    <row r="24038" spans="30:30" x14ac:dyDescent="0.3">
      <c r="AD24038" s="16"/>
    </row>
    <row r="24039" spans="30:30" x14ac:dyDescent="0.3">
      <c r="AD24039" s="16"/>
    </row>
    <row r="24040" spans="30:30" x14ac:dyDescent="0.3">
      <c r="AD24040" s="16"/>
    </row>
    <row r="24041" spans="30:30" x14ac:dyDescent="0.3">
      <c r="AD24041" s="16"/>
    </row>
    <row r="24042" spans="30:30" x14ac:dyDescent="0.3">
      <c r="AD24042" s="16"/>
    </row>
    <row r="24043" spans="30:30" x14ac:dyDescent="0.3">
      <c r="AD24043" s="16"/>
    </row>
    <row r="24044" spans="30:30" x14ac:dyDescent="0.3">
      <c r="AD24044" s="16"/>
    </row>
    <row r="24045" spans="30:30" x14ac:dyDescent="0.3">
      <c r="AD24045" s="16"/>
    </row>
    <row r="24046" spans="30:30" x14ac:dyDescent="0.3">
      <c r="AD24046" s="16"/>
    </row>
    <row r="24047" spans="30:30" x14ac:dyDescent="0.3">
      <c r="AD24047" s="16"/>
    </row>
    <row r="24048" spans="30:30" x14ac:dyDescent="0.3">
      <c r="AD24048" s="16"/>
    </row>
    <row r="24049" spans="30:30" x14ac:dyDescent="0.3">
      <c r="AD24049" s="16"/>
    </row>
    <row r="24050" spans="30:30" x14ac:dyDescent="0.3">
      <c r="AD24050" s="16"/>
    </row>
    <row r="24051" spans="30:30" x14ac:dyDescent="0.3">
      <c r="AD24051" s="16"/>
    </row>
    <row r="24052" spans="30:30" x14ac:dyDescent="0.3">
      <c r="AD24052" s="16"/>
    </row>
    <row r="24053" spans="30:30" x14ac:dyDescent="0.3">
      <c r="AD24053" s="16"/>
    </row>
    <row r="24054" spans="30:30" x14ac:dyDescent="0.3">
      <c r="AD24054" s="16"/>
    </row>
    <row r="24055" spans="30:30" x14ac:dyDescent="0.3">
      <c r="AD24055" s="16"/>
    </row>
    <row r="24056" spans="30:30" x14ac:dyDescent="0.3">
      <c r="AD24056" s="16"/>
    </row>
    <row r="24057" spans="30:30" x14ac:dyDescent="0.3">
      <c r="AD24057" s="16"/>
    </row>
    <row r="24058" spans="30:30" x14ac:dyDescent="0.3">
      <c r="AD24058" s="16"/>
    </row>
    <row r="24059" spans="30:30" x14ac:dyDescent="0.3">
      <c r="AD24059" s="16"/>
    </row>
    <row r="24060" spans="30:30" x14ac:dyDescent="0.3">
      <c r="AD24060" s="16"/>
    </row>
    <row r="24061" spans="30:30" x14ac:dyDescent="0.3">
      <c r="AD24061" s="16"/>
    </row>
    <row r="24062" spans="30:30" x14ac:dyDescent="0.3">
      <c r="AD24062" s="16"/>
    </row>
    <row r="24063" spans="30:30" x14ac:dyDescent="0.3">
      <c r="AD24063" s="16"/>
    </row>
    <row r="24064" spans="30:30" x14ac:dyDescent="0.3">
      <c r="AD24064" s="16"/>
    </row>
    <row r="24065" spans="30:30" x14ac:dyDescent="0.3">
      <c r="AD24065" s="16"/>
    </row>
    <row r="24066" spans="30:30" x14ac:dyDescent="0.3">
      <c r="AD24066" s="16"/>
    </row>
    <row r="24067" spans="30:30" x14ac:dyDescent="0.3">
      <c r="AD24067" s="16"/>
    </row>
    <row r="24068" spans="30:30" x14ac:dyDescent="0.3">
      <c r="AD24068" s="16"/>
    </row>
    <row r="24069" spans="30:30" x14ac:dyDescent="0.3">
      <c r="AD24069" s="16"/>
    </row>
    <row r="24070" spans="30:30" x14ac:dyDescent="0.3">
      <c r="AD24070" s="16"/>
    </row>
    <row r="24071" spans="30:30" x14ac:dyDescent="0.3">
      <c r="AD24071" s="16"/>
    </row>
    <row r="24072" spans="30:30" x14ac:dyDescent="0.3">
      <c r="AD24072" s="16"/>
    </row>
    <row r="24073" spans="30:30" x14ac:dyDescent="0.3">
      <c r="AD24073" s="16"/>
    </row>
    <row r="24074" spans="30:30" x14ac:dyDescent="0.3">
      <c r="AD24074" s="16"/>
    </row>
    <row r="24075" spans="30:30" x14ac:dyDescent="0.3">
      <c r="AD24075" s="16"/>
    </row>
    <row r="24076" spans="30:30" x14ac:dyDescent="0.3">
      <c r="AD24076" s="16"/>
    </row>
    <row r="24077" spans="30:30" x14ac:dyDescent="0.3">
      <c r="AD24077" s="16"/>
    </row>
    <row r="24078" spans="30:30" x14ac:dyDescent="0.3">
      <c r="AD24078" s="16"/>
    </row>
    <row r="24079" spans="30:30" x14ac:dyDescent="0.3">
      <c r="AD24079" s="16"/>
    </row>
    <row r="24080" spans="30:30" x14ac:dyDescent="0.3">
      <c r="AD24080" s="16"/>
    </row>
    <row r="24081" spans="30:30" x14ac:dyDescent="0.3">
      <c r="AD24081" s="16"/>
    </row>
    <row r="24082" spans="30:30" x14ac:dyDescent="0.3">
      <c r="AD24082" s="16"/>
    </row>
    <row r="24083" spans="30:30" x14ac:dyDescent="0.3">
      <c r="AD24083" s="16"/>
    </row>
    <row r="24084" spans="30:30" x14ac:dyDescent="0.3">
      <c r="AD24084" s="16"/>
    </row>
    <row r="24085" spans="30:30" x14ac:dyDescent="0.3">
      <c r="AD24085" s="16"/>
    </row>
    <row r="24086" spans="30:30" x14ac:dyDescent="0.3">
      <c r="AD24086" s="16"/>
    </row>
    <row r="24087" spans="30:30" x14ac:dyDescent="0.3">
      <c r="AD24087" s="16"/>
    </row>
    <row r="24088" spans="30:30" x14ac:dyDescent="0.3">
      <c r="AD24088" s="16"/>
    </row>
    <row r="24089" spans="30:30" x14ac:dyDescent="0.3">
      <c r="AD24089" s="16"/>
    </row>
    <row r="24090" spans="30:30" x14ac:dyDescent="0.3">
      <c r="AD24090" s="16"/>
    </row>
    <row r="24091" spans="30:30" x14ac:dyDescent="0.3">
      <c r="AD24091" s="16"/>
    </row>
    <row r="24092" spans="30:30" x14ac:dyDescent="0.3">
      <c r="AD24092" s="16"/>
    </row>
    <row r="24093" spans="30:30" x14ac:dyDescent="0.3">
      <c r="AD24093" s="16"/>
    </row>
    <row r="24094" spans="30:30" x14ac:dyDescent="0.3">
      <c r="AD24094" s="16"/>
    </row>
    <row r="24095" spans="30:30" x14ac:dyDescent="0.3">
      <c r="AD24095" s="16"/>
    </row>
    <row r="24096" spans="30:30" x14ac:dyDescent="0.3">
      <c r="AD24096" s="16"/>
    </row>
    <row r="24097" spans="30:30" x14ac:dyDescent="0.3">
      <c r="AD24097" s="16"/>
    </row>
    <row r="24098" spans="30:30" x14ac:dyDescent="0.3">
      <c r="AD24098" s="16"/>
    </row>
    <row r="24099" spans="30:30" x14ac:dyDescent="0.3">
      <c r="AD24099" s="16"/>
    </row>
    <row r="24100" spans="30:30" x14ac:dyDescent="0.3">
      <c r="AD24100" s="16"/>
    </row>
    <row r="24101" spans="30:30" x14ac:dyDescent="0.3">
      <c r="AD24101" s="16"/>
    </row>
    <row r="24102" spans="30:30" x14ac:dyDescent="0.3">
      <c r="AD24102" s="16"/>
    </row>
    <row r="24103" spans="30:30" x14ac:dyDescent="0.3">
      <c r="AD24103" s="16"/>
    </row>
    <row r="24104" spans="30:30" x14ac:dyDescent="0.3">
      <c r="AD24104" s="16"/>
    </row>
    <row r="24105" spans="30:30" x14ac:dyDescent="0.3">
      <c r="AD24105" s="16"/>
    </row>
    <row r="24106" spans="30:30" x14ac:dyDescent="0.3">
      <c r="AD24106" s="16"/>
    </row>
    <row r="24107" spans="30:30" x14ac:dyDescent="0.3">
      <c r="AD24107" s="16"/>
    </row>
    <row r="24108" spans="30:30" x14ac:dyDescent="0.3">
      <c r="AD24108" s="16"/>
    </row>
    <row r="24109" spans="30:30" x14ac:dyDescent="0.3">
      <c r="AD24109" s="16"/>
    </row>
    <row r="24110" spans="30:30" x14ac:dyDescent="0.3">
      <c r="AD24110" s="16"/>
    </row>
    <row r="24111" spans="30:30" x14ac:dyDescent="0.3">
      <c r="AD24111" s="16"/>
    </row>
    <row r="24112" spans="30:30" x14ac:dyDescent="0.3">
      <c r="AD24112" s="16"/>
    </row>
    <row r="24113" spans="30:30" x14ac:dyDescent="0.3">
      <c r="AD24113" s="16"/>
    </row>
    <row r="24114" spans="30:30" x14ac:dyDescent="0.3">
      <c r="AD24114" s="16"/>
    </row>
    <row r="24115" spans="30:30" x14ac:dyDescent="0.3">
      <c r="AD24115" s="16"/>
    </row>
    <row r="24116" spans="30:30" x14ac:dyDescent="0.3">
      <c r="AD24116" s="16"/>
    </row>
    <row r="24117" spans="30:30" x14ac:dyDescent="0.3">
      <c r="AD24117" s="16"/>
    </row>
    <row r="24118" spans="30:30" x14ac:dyDescent="0.3">
      <c r="AD24118" s="16"/>
    </row>
    <row r="24119" spans="30:30" x14ac:dyDescent="0.3">
      <c r="AD24119" s="16"/>
    </row>
    <row r="24120" spans="30:30" x14ac:dyDescent="0.3">
      <c r="AD24120" s="16"/>
    </row>
    <row r="24121" spans="30:30" x14ac:dyDescent="0.3">
      <c r="AD24121" s="16"/>
    </row>
    <row r="24122" spans="30:30" x14ac:dyDescent="0.3">
      <c r="AD24122" s="16"/>
    </row>
    <row r="24123" spans="30:30" x14ac:dyDescent="0.3">
      <c r="AD24123" s="16"/>
    </row>
    <row r="24124" spans="30:30" x14ac:dyDescent="0.3">
      <c r="AD24124" s="16"/>
    </row>
    <row r="24125" spans="30:30" x14ac:dyDescent="0.3">
      <c r="AD24125" s="16"/>
    </row>
    <row r="24126" spans="30:30" x14ac:dyDescent="0.3">
      <c r="AD24126" s="16"/>
    </row>
    <row r="24127" spans="30:30" x14ac:dyDescent="0.3">
      <c r="AD24127" s="16"/>
    </row>
    <row r="24128" spans="30:30" x14ac:dyDescent="0.3">
      <c r="AD24128" s="16"/>
    </row>
    <row r="24129" spans="30:30" x14ac:dyDescent="0.3">
      <c r="AD24129" s="16"/>
    </row>
    <row r="24130" spans="30:30" x14ac:dyDescent="0.3">
      <c r="AD24130" s="16"/>
    </row>
    <row r="24131" spans="30:30" x14ac:dyDescent="0.3">
      <c r="AD24131" s="16"/>
    </row>
    <row r="24132" spans="30:30" x14ac:dyDescent="0.3">
      <c r="AD24132" s="16"/>
    </row>
    <row r="24133" spans="30:30" x14ac:dyDescent="0.3">
      <c r="AD24133" s="16"/>
    </row>
    <row r="24134" spans="30:30" x14ac:dyDescent="0.3">
      <c r="AD24134" s="16"/>
    </row>
    <row r="24135" spans="30:30" x14ac:dyDescent="0.3">
      <c r="AD24135" s="16"/>
    </row>
    <row r="24136" spans="30:30" x14ac:dyDescent="0.3">
      <c r="AD24136" s="16"/>
    </row>
    <row r="24137" spans="30:30" x14ac:dyDescent="0.3">
      <c r="AD24137" s="16"/>
    </row>
    <row r="24138" spans="30:30" x14ac:dyDescent="0.3">
      <c r="AD24138" s="16"/>
    </row>
    <row r="24139" spans="30:30" x14ac:dyDescent="0.3">
      <c r="AD24139" s="16"/>
    </row>
    <row r="24140" spans="30:30" x14ac:dyDescent="0.3">
      <c r="AD24140" s="16"/>
    </row>
    <row r="24141" spans="30:30" x14ac:dyDescent="0.3">
      <c r="AD24141" s="16"/>
    </row>
    <row r="24142" spans="30:30" x14ac:dyDescent="0.3">
      <c r="AD24142" s="16"/>
    </row>
    <row r="24143" spans="30:30" x14ac:dyDescent="0.3">
      <c r="AD24143" s="16"/>
    </row>
    <row r="24144" spans="30:30" x14ac:dyDescent="0.3">
      <c r="AD24144" s="16"/>
    </row>
    <row r="24145" spans="30:30" x14ac:dyDescent="0.3">
      <c r="AD24145" s="16"/>
    </row>
    <row r="24146" spans="30:30" x14ac:dyDescent="0.3">
      <c r="AD24146" s="16"/>
    </row>
    <row r="24147" spans="30:30" x14ac:dyDescent="0.3">
      <c r="AD24147" s="16"/>
    </row>
    <row r="24148" spans="30:30" x14ac:dyDescent="0.3">
      <c r="AD24148" s="16"/>
    </row>
    <row r="24149" spans="30:30" x14ac:dyDescent="0.3">
      <c r="AD24149" s="16"/>
    </row>
    <row r="24150" spans="30:30" x14ac:dyDescent="0.3">
      <c r="AD24150" s="16"/>
    </row>
    <row r="24151" spans="30:30" x14ac:dyDescent="0.3">
      <c r="AD24151" s="16"/>
    </row>
    <row r="24152" spans="30:30" x14ac:dyDescent="0.3">
      <c r="AD24152" s="16"/>
    </row>
    <row r="24153" spans="30:30" x14ac:dyDescent="0.3">
      <c r="AD24153" s="16"/>
    </row>
    <row r="24154" spans="30:30" x14ac:dyDescent="0.3">
      <c r="AD24154" s="16"/>
    </row>
    <row r="24155" spans="30:30" x14ac:dyDescent="0.3">
      <c r="AD24155" s="16"/>
    </row>
    <row r="24156" spans="30:30" x14ac:dyDescent="0.3">
      <c r="AD24156" s="16"/>
    </row>
    <row r="24157" spans="30:30" x14ac:dyDescent="0.3">
      <c r="AD24157" s="16"/>
    </row>
    <row r="24158" spans="30:30" x14ac:dyDescent="0.3">
      <c r="AD24158" s="16"/>
    </row>
    <row r="24159" spans="30:30" x14ac:dyDescent="0.3">
      <c r="AD24159" s="16"/>
    </row>
    <row r="24160" spans="30:30" x14ac:dyDescent="0.3">
      <c r="AD24160" s="16"/>
    </row>
    <row r="24161" spans="30:30" x14ac:dyDescent="0.3">
      <c r="AD24161" s="16"/>
    </row>
    <row r="24162" spans="30:30" x14ac:dyDescent="0.3">
      <c r="AD24162" s="16"/>
    </row>
    <row r="24163" spans="30:30" x14ac:dyDescent="0.3">
      <c r="AD24163" s="16"/>
    </row>
    <row r="24164" spans="30:30" x14ac:dyDescent="0.3">
      <c r="AD24164" s="16"/>
    </row>
    <row r="24165" spans="30:30" x14ac:dyDescent="0.3">
      <c r="AD24165" s="16"/>
    </row>
    <row r="24166" spans="30:30" x14ac:dyDescent="0.3">
      <c r="AD24166" s="16"/>
    </row>
    <row r="24167" spans="30:30" x14ac:dyDescent="0.3">
      <c r="AD24167" s="16"/>
    </row>
    <row r="24168" spans="30:30" x14ac:dyDescent="0.3">
      <c r="AD24168" s="16"/>
    </row>
    <row r="24169" spans="30:30" x14ac:dyDescent="0.3">
      <c r="AD24169" s="16"/>
    </row>
    <row r="24170" spans="30:30" x14ac:dyDescent="0.3">
      <c r="AD24170" s="16"/>
    </row>
    <row r="24171" spans="30:30" x14ac:dyDescent="0.3">
      <c r="AD24171" s="16"/>
    </row>
    <row r="24172" spans="30:30" x14ac:dyDescent="0.3">
      <c r="AD24172" s="16"/>
    </row>
    <row r="24173" spans="30:30" x14ac:dyDescent="0.3">
      <c r="AD24173" s="16"/>
    </row>
    <row r="24174" spans="30:30" x14ac:dyDescent="0.3">
      <c r="AD24174" s="16"/>
    </row>
    <row r="24175" spans="30:30" x14ac:dyDescent="0.3">
      <c r="AD24175" s="16"/>
    </row>
    <row r="24176" spans="30:30" x14ac:dyDescent="0.3">
      <c r="AD24176" s="16"/>
    </row>
    <row r="24177" spans="30:30" x14ac:dyDescent="0.3">
      <c r="AD24177" s="16"/>
    </row>
    <row r="24178" spans="30:30" x14ac:dyDescent="0.3">
      <c r="AD24178" s="16"/>
    </row>
    <row r="24179" spans="30:30" x14ac:dyDescent="0.3">
      <c r="AD24179" s="16"/>
    </row>
    <row r="24180" spans="30:30" x14ac:dyDescent="0.3">
      <c r="AD24180" s="16"/>
    </row>
    <row r="24181" spans="30:30" x14ac:dyDescent="0.3">
      <c r="AD24181" s="16"/>
    </row>
    <row r="24182" spans="30:30" x14ac:dyDescent="0.3">
      <c r="AD24182" s="16"/>
    </row>
    <row r="24183" spans="30:30" x14ac:dyDescent="0.3">
      <c r="AD24183" s="16"/>
    </row>
    <row r="24184" spans="30:30" x14ac:dyDescent="0.3">
      <c r="AD24184" s="16"/>
    </row>
    <row r="24185" spans="30:30" x14ac:dyDescent="0.3">
      <c r="AD24185" s="16"/>
    </row>
    <row r="24186" spans="30:30" x14ac:dyDescent="0.3">
      <c r="AD24186" s="16"/>
    </row>
    <row r="24187" spans="30:30" x14ac:dyDescent="0.3">
      <c r="AD24187" s="16"/>
    </row>
    <row r="24188" spans="30:30" x14ac:dyDescent="0.3">
      <c r="AD24188" s="16"/>
    </row>
    <row r="24189" spans="30:30" x14ac:dyDescent="0.3">
      <c r="AD24189" s="16"/>
    </row>
    <row r="24190" spans="30:30" x14ac:dyDescent="0.3">
      <c r="AD24190" s="16"/>
    </row>
    <row r="24191" spans="30:30" x14ac:dyDescent="0.3">
      <c r="AD24191" s="16"/>
    </row>
    <row r="24192" spans="30:30" x14ac:dyDescent="0.3">
      <c r="AD24192" s="16"/>
    </row>
    <row r="24193" spans="30:30" x14ac:dyDescent="0.3">
      <c r="AD24193" s="16"/>
    </row>
    <row r="24194" spans="30:30" x14ac:dyDescent="0.3">
      <c r="AD24194" s="16"/>
    </row>
    <row r="24195" spans="30:30" x14ac:dyDescent="0.3">
      <c r="AD24195" s="16"/>
    </row>
    <row r="24196" spans="30:30" x14ac:dyDescent="0.3">
      <c r="AD24196" s="16"/>
    </row>
    <row r="24197" spans="30:30" x14ac:dyDescent="0.3">
      <c r="AD24197" s="16"/>
    </row>
    <row r="24198" spans="30:30" x14ac:dyDescent="0.3">
      <c r="AD24198" s="16"/>
    </row>
    <row r="24199" spans="30:30" x14ac:dyDescent="0.3">
      <c r="AD24199" s="16"/>
    </row>
    <row r="24200" spans="30:30" x14ac:dyDescent="0.3">
      <c r="AD24200" s="16"/>
    </row>
    <row r="24201" spans="30:30" x14ac:dyDescent="0.3">
      <c r="AD24201" s="16"/>
    </row>
    <row r="24202" spans="30:30" x14ac:dyDescent="0.3">
      <c r="AD24202" s="16"/>
    </row>
    <row r="24203" spans="30:30" x14ac:dyDescent="0.3">
      <c r="AD24203" s="16"/>
    </row>
    <row r="24204" spans="30:30" x14ac:dyDescent="0.3">
      <c r="AD24204" s="16"/>
    </row>
    <row r="24205" spans="30:30" x14ac:dyDescent="0.3">
      <c r="AD24205" s="16"/>
    </row>
    <row r="24206" spans="30:30" x14ac:dyDescent="0.3">
      <c r="AD24206" s="16"/>
    </row>
    <row r="24207" spans="30:30" x14ac:dyDescent="0.3">
      <c r="AD24207" s="16"/>
    </row>
    <row r="24208" spans="30:30" x14ac:dyDescent="0.3">
      <c r="AD24208" s="16"/>
    </row>
    <row r="24209" spans="30:30" x14ac:dyDescent="0.3">
      <c r="AD24209" s="16"/>
    </row>
    <row r="24210" spans="30:30" x14ac:dyDescent="0.3">
      <c r="AD24210" s="16"/>
    </row>
    <row r="24211" spans="30:30" x14ac:dyDescent="0.3">
      <c r="AD24211" s="16"/>
    </row>
    <row r="24212" spans="30:30" x14ac:dyDescent="0.3">
      <c r="AD24212" s="16"/>
    </row>
    <row r="24213" spans="30:30" x14ac:dyDescent="0.3">
      <c r="AD24213" s="16"/>
    </row>
    <row r="24214" spans="30:30" x14ac:dyDescent="0.3">
      <c r="AD24214" s="16"/>
    </row>
    <row r="24215" spans="30:30" x14ac:dyDescent="0.3">
      <c r="AD24215" s="16"/>
    </row>
    <row r="24216" spans="30:30" x14ac:dyDescent="0.3">
      <c r="AD24216" s="16"/>
    </row>
    <row r="24217" spans="30:30" x14ac:dyDescent="0.3">
      <c r="AD24217" s="16"/>
    </row>
    <row r="24218" spans="30:30" x14ac:dyDescent="0.3">
      <c r="AD24218" s="16"/>
    </row>
    <row r="24219" spans="30:30" x14ac:dyDescent="0.3">
      <c r="AD24219" s="16"/>
    </row>
    <row r="24220" spans="30:30" x14ac:dyDescent="0.3">
      <c r="AD24220" s="16"/>
    </row>
    <row r="24221" spans="30:30" x14ac:dyDescent="0.3">
      <c r="AD24221" s="16"/>
    </row>
    <row r="24222" spans="30:30" x14ac:dyDescent="0.3">
      <c r="AD24222" s="16"/>
    </row>
    <row r="24223" spans="30:30" x14ac:dyDescent="0.3">
      <c r="AD24223" s="16"/>
    </row>
    <row r="24224" spans="30:30" x14ac:dyDescent="0.3">
      <c r="AD24224" s="16"/>
    </row>
    <row r="24225" spans="30:30" x14ac:dyDescent="0.3">
      <c r="AD24225" s="16"/>
    </row>
    <row r="24226" spans="30:30" x14ac:dyDescent="0.3">
      <c r="AD24226" s="16"/>
    </row>
    <row r="24227" spans="30:30" x14ac:dyDescent="0.3">
      <c r="AD24227" s="16"/>
    </row>
    <row r="24228" spans="30:30" x14ac:dyDescent="0.3">
      <c r="AD24228" s="16"/>
    </row>
    <row r="24229" spans="30:30" x14ac:dyDescent="0.3">
      <c r="AD24229" s="16"/>
    </row>
    <row r="24230" spans="30:30" x14ac:dyDescent="0.3">
      <c r="AD24230" s="16"/>
    </row>
    <row r="24231" spans="30:30" x14ac:dyDescent="0.3">
      <c r="AD24231" s="16"/>
    </row>
    <row r="24232" spans="30:30" x14ac:dyDescent="0.3">
      <c r="AD24232" s="16"/>
    </row>
    <row r="24233" spans="30:30" x14ac:dyDescent="0.3">
      <c r="AD24233" s="16"/>
    </row>
    <row r="24234" spans="30:30" x14ac:dyDescent="0.3">
      <c r="AD24234" s="16"/>
    </row>
    <row r="24235" spans="30:30" x14ac:dyDescent="0.3">
      <c r="AD24235" s="16"/>
    </row>
    <row r="24236" spans="30:30" x14ac:dyDescent="0.3">
      <c r="AD24236" s="16"/>
    </row>
    <row r="24237" spans="30:30" x14ac:dyDescent="0.3">
      <c r="AD24237" s="16"/>
    </row>
    <row r="24238" spans="30:30" x14ac:dyDescent="0.3">
      <c r="AD24238" s="16"/>
    </row>
    <row r="24239" spans="30:30" x14ac:dyDescent="0.3">
      <c r="AD24239" s="16"/>
    </row>
    <row r="24240" spans="30:30" x14ac:dyDescent="0.3">
      <c r="AD24240" s="16"/>
    </row>
    <row r="24241" spans="30:30" x14ac:dyDescent="0.3">
      <c r="AD24241" s="16"/>
    </row>
    <row r="24242" spans="30:30" x14ac:dyDescent="0.3">
      <c r="AD24242" s="16"/>
    </row>
    <row r="24243" spans="30:30" x14ac:dyDescent="0.3">
      <c r="AD24243" s="16"/>
    </row>
    <row r="24244" spans="30:30" x14ac:dyDescent="0.3">
      <c r="AD24244" s="16"/>
    </row>
    <row r="24245" spans="30:30" x14ac:dyDescent="0.3">
      <c r="AD24245" s="16"/>
    </row>
    <row r="24246" spans="30:30" x14ac:dyDescent="0.3">
      <c r="AD24246" s="16"/>
    </row>
    <row r="24247" spans="30:30" x14ac:dyDescent="0.3">
      <c r="AD24247" s="16"/>
    </row>
    <row r="24248" spans="30:30" x14ac:dyDescent="0.3">
      <c r="AD24248" s="16"/>
    </row>
    <row r="24249" spans="30:30" x14ac:dyDescent="0.3">
      <c r="AD24249" s="16"/>
    </row>
    <row r="24250" spans="30:30" x14ac:dyDescent="0.3">
      <c r="AD24250" s="16"/>
    </row>
    <row r="24251" spans="30:30" x14ac:dyDescent="0.3">
      <c r="AD24251" s="16"/>
    </row>
    <row r="24252" spans="30:30" x14ac:dyDescent="0.3">
      <c r="AD24252" s="16"/>
    </row>
    <row r="24253" spans="30:30" x14ac:dyDescent="0.3">
      <c r="AD24253" s="16"/>
    </row>
    <row r="24254" spans="30:30" x14ac:dyDescent="0.3">
      <c r="AD24254" s="16"/>
    </row>
    <row r="24255" spans="30:30" x14ac:dyDescent="0.3">
      <c r="AD24255" s="16"/>
    </row>
    <row r="24256" spans="30:30" x14ac:dyDescent="0.3">
      <c r="AD24256" s="16"/>
    </row>
    <row r="24257" spans="30:30" x14ac:dyDescent="0.3">
      <c r="AD24257" s="16"/>
    </row>
    <row r="24258" spans="30:30" x14ac:dyDescent="0.3">
      <c r="AD24258" s="16"/>
    </row>
    <row r="24259" spans="30:30" x14ac:dyDescent="0.3">
      <c r="AD24259" s="16"/>
    </row>
    <row r="24260" spans="30:30" x14ac:dyDescent="0.3">
      <c r="AD24260" s="16"/>
    </row>
    <row r="24261" spans="30:30" x14ac:dyDescent="0.3">
      <c r="AD24261" s="16"/>
    </row>
    <row r="24262" spans="30:30" x14ac:dyDescent="0.3">
      <c r="AD24262" s="16"/>
    </row>
    <row r="24263" spans="30:30" x14ac:dyDescent="0.3">
      <c r="AD24263" s="16"/>
    </row>
    <row r="24264" spans="30:30" x14ac:dyDescent="0.3">
      <c r="AD24264" s="16"/>
    </row>
    <row r="24265" spans="30:30" x14ac:dyDescent="0.3">
      <c r="AD24265" s="16"/>
    </row>
    <row r="24266" spans="30:30" x14ac:dyDescent="0.3">
      <c r="AD24266" s="16"/>
    </row>
    <row r="24267" spans="30:30" x14ac:dyDescent="0.3">
      <c r="AD24267" s="16"/>
    </row>
    <row r="24268" spans="30:30" x14ac:dyDescent="0.3">
      <c r="AD24268" s="16"/>
    </row>
    <row r="24269" spans="30:30" x14ac:dyDescent="0.3">
      <c r="AD24269" s="16"/>
    </row>
    <row r="24270" spans="30:30" x14ac:dyDescent="0.3">
      <c r="AD24270" s="16"/>
    </row>
    <row r="24271" spans="30:30" x14ac:dyDescent="0.3">
      <c r="AD24271" s="16"/>
    </row>
    <row r="24272" spans="30:30" x14ac:dyDescent="0.3">
      <c r="AD24272" s="16"/>
    </row>
    <row r="24273" spans="30:30" x14ac:dyDescent="0.3">
      <c r="AD24273" s="16"/>
    </row>
    <row r="24274" spans="30:30" x14ac:dyDescent="0.3">
      <c r="AD24274" s="16"/>
    </row>
    <row r="24275" spans="30:30" x14ac:dyDescent="0.3">
      <c r="AD24275" s="16"/>
    </row>
    <row r="24276" spans="30:30" x14ac:dyDescent="0.3">
      <c r="AD24276" s="16"/>
    </row>
    <row r="24277" spans="30:30" x14ac:dyDescent="0.3">
      <c r="AD24277" s="16"/>
    </row>
    <row r="24278" spans="30:30" x14ac:dyDescent="0.3">
      <c r="AD24278" s="16"/>
    </row>
    <row r="24279" spans="30:30" x14ac:dyDescent="0.3">
      <c r="AD24279" s="16"/>
    </row>
    <row r="24280" spans="30:30" x14ac:dyDescent="0.3">
      <c r="AD24280" s="16"/>
    </row>
    <row r="24281" spans="30:30" x14ac:dyDescent="0.3">
      <c r="AD24281" s="16"/>
    </row>
    <row r="24282" spans="30:30" x14ac:dyDescent="0.3">
      <c r="AD24282" s="16"/>
    </row>
    <row r="24283" spans="30:30" x14ac:dyDescent="0.3">
      <c r="AD24283" s="16"/>
    </row>
    <row r="24284" spans="30:30" x14ac:dyDescent="0.3">
      <c r="AD24284" s="16"/>
    </row>
    <row r="24285" spans="30:30" x14ac:dyDescent="0.3">
      <c r="AD24285" s="16"/>
    </row>
    <row r="24286" spans="30:30" x14ac:dyDescent="0.3">
      <c r="AD24286" s="16"/>
    </row>
    <row r="24287" spans="30:30" x14ac:dyDescent="0.3">
      <c r="AD24287" s="16"/>
    </row>
    <row r="24288" spans="30:30" x14ac:dyDescent="0.3">
      <c r="AD24288" s="16"/>
    </row>
    <row r="24289" spans="30:30" x14ac:dyDescent="0.3">
      <c r="AD24289" s="16"/>
    </row>
    <row r="24290" spans="30:30" x14ac:dyDescent="0.3">
      <c r="AD24290" s="16"/>
    </row>
    <row r="24291" spans="30:30" x14ac:dyDescent="0.3">
      <c r="AD24291" s="16"/>
    </row>
    <row r="24292" spans="30:30" x14ac:dyDescent="0.3">
      <c r="AD24292" s="16"/>
    </row>
    <row r="24293" spans="30:30" x14ac:dyDescent="0.3">
      <c r="AD24293" s="16"/>
    </row>
    <row r="24294" spans="30:30" x14ac:dyDescent="0.3">
      <c r="AD24294" s="16"/>
    </row>
    <row r="24295" spans="30:30" x14ac:dyDescent="0.3">
      <c r="AD24295" s="16"/>
    </row>
    <row r="24296" spans="30:30" x14ac:dyDescent="0.3">
      <c r="AD24296" s="16"/>
    </row>
    <row r="24297" spans="30:30" x14ac:dyDescent="0.3">
      <c r="AD24297" s="16"/>
    </row>
    <row r="24298" spans="30:30" x14ac:dyDescent="0.3">
      <c r="AD24298" s="16"/>
    </row>
    <row r="24299" spans="30:30" x14ac:dyDescent="0.3">
      <c r="AD24299" s="16"/>
    </row>
    <row r="24300" spans="30:30" x14ac:dyDescent="0.3">
      <c r="AD24300" s="16"/>
    </row>
    <row r="24301" spans="30:30" x14ac:dyDescent="0.3">
      <c r="AD24301" s="16"/>
    </row>
    <row r="24302" spans="30:30" x14ac:dyDescent="0.3">
      <c r="AD24302" s="16"/>
    </row>
    <row r="24303" spans="30:30" x14ac:dyDescent="0.3">
      <c r="AD24303" s="16"/>
    </row>
    <row r="24304" spans="30:30" x14ac:dyDescent="0.3">
      <c r="AD24304" s="16"/>
    </row>
    <row r="24305" spans="30:30" x14ac:dyDescent="0.3">
      <c r="AD24305" s="16"/>
    </row>
    <row r="24306" spans="30:30" x14ac:dyDescent="0.3">
      <c r="AD24306" s="16"/>
    </row>
    <row r="24307" spans="30:30" x14ac:dyDescent="0.3">
      <c r="AD24307" s="16"/>
    </row>
    <row r="24308" spans="30:30" x14ac:dyDescent="0.3">
      <c r="AD24308" s="16"/>
    </row>
    <row r="24309" spans="30:30" x14ac:dyDescent="0.3">
      <c r="AD24309" s="16"/>
    </row>
    <row r="24310" spans="30:30" x14ac:dyDescent="0.3">
      <c r="AD24310" s="16"/>
    </row>
    <row r="24311" spans="30:30" x14ac:dyDescent="0.3">
      <c r="AD24311" s="16"/>
    </row>
    <row r="24312" spans="30:30" x14ac:dyDescent="0.3">
      <c r="AD24312" s="16"/>
    </row>
    <row r="24313" spans="30:30" x14ac:dyDescent="0.3">
      <c r="AD24313" s="16"/>
    </row>
    <row r="24314" spans="30:30" x14ac:dyDescent="0.3">
      <c r="AD24314" s="16"/>
    </row>
    <row r="24315" spans="30:30" x14ac:dyDescent="0.3">
      <c r="AD24315" s="16"/>
    </row>
    <row r="24316" spans="30:30" x14ac:dyDescent="0.3">
      <c r="AD24316" s="16"/>
    </row>
    <row r="24317" spans="30:30" x14ac:dyDescent="0.3">
      <c r="AD24317" s="16"/>
    </row>
    <row r="24318" spans="30:30" x14ac:dyDescent="0.3">
      <c r="AD24318" s="16"/>
    </row>
    <row r="24319" spans="30:30" x14ac:dyDescent="0.3">
      <c r="AD24319" s="16"/>
    </row>
    <row r="24320" spans="30:30" x14ac:dyDescent="0.3">
      <c r="AD24320" s="16"/>
    </row>
    <row r="24321" spans="30:30" x14ac:dyDescent="0.3">
      <c r="AD24321" s="16"/>
    </row>
    <row r="24322" spans="30:30" x14ac:dyDescent="0.3">
      <c r="AD24322" s="16"/>
    </row>
    <row r="24323" spans="30:30" x14ac:dyDescent="0.3">
      <c r="AD24323" s="16"/>
    </row>
    <row r="24324" spans="30:30" x14ac:dyDescent="0.3">
      <c r="AD24324" s="16"/>
    </row>
    <row r="24325" spans="30:30" x14ac:dyDescent="0.3">
      <c r="AD24325" s="16"/>
    </row>
    <row r="24326" spans="30:30" x14ac:dyDescent="0.3">
      <c r="AD24326" s="16"/>
    </row>
    <row r="24327" spans="30:30" x14ac:dyDescent="0.3">
      <c r="AD24327" s="16"/>
    </row>
    <row r="24328" spans="30:30" x14ac:dyDescent="0.3">
      <c r="AD24328" s="16"/>
    </row>
    <row r="24329" spans="30:30" x14ac:dyDescent="0.3">
      <c r="AD24329" s="16"/>
    </row>
    <row r="24330" spans="30:30" x14ac:dyDescent="0.3">
      <c r="AD24330" s="16"/>
    </row>
    <row r="24331" spans="30:30" x14ac:dyDescent="0.3">
      <c r="AD24331" s="16"/>
    </row>
    <row r="24332" spans="30:30" x14ac:dyDescent="0.3">
      <c r="AD24332" s="16"/>
    </row>
    <row r="24333" spans="30:30" x14ac:dyDescent="0.3">
      <c r="AD24333" s="16"/>
    </row>
    <row r="24334" spans="30:30" x14ac:dyDescent="0.3">
      <c r="AD24334" s="16"/>
    </row>
    <row r="24335" spans="30:30" x14ac:dyDescent="0.3">
      <c r="AD24335" s="16"/>
    </row>
    <row r="24336" spans="30:30" x14ac:dyDescent="0.3">
      <c r="AD24336" s="16"/>
    </row>
    <row r="24337" spans="30:30" x14ac:dyDescent="0.3">
      <c r="AD24337" s="16"/>
    </row>
    <row r="24338" spans="30:30" x14ac:dyDescent="0.3">
      <c r="AD24338" s="16"/>
    </row>
    <row r="24339" spans="30:30" x14ac:dyDescent="0.3">
      <c r="AD24339" s="16"/>
    </row>
    <row r="24340" spans="30:30" x14ac:dyDescent="0.3">
      <c r="AD24340" s="16"/>
    </row>
    <row r="24341" spans="30:30" x14ac:dyDescent="0.3">
      <c r="AD24341" s="16"/>
    </row>
    <row r="24342" spans="30:30" x14ac:dyDescent="0.3">
      <c r="AD24342" s="16"/>
    </row>
    <row r="24343" spans="30:30" x14ac:dyDescent="0.3">
      <c r="AD24343" s="16"/>
    </row>
    <row r="24344" spans="30:30" x14ac:dyDescent="0.3">
      <c r="AD24344" s="16"/>
    </row>
    <row r="24345" spans="30:30" x14ac:dyDescent="0.3">
      <c r="AD24345" s="16"/>
    </row>
    <row r="24346" spans="30:30" x14ac:dyDescent="0.3">
      <c r="AD24346" s="16"/>
    </row>
    <row r="24347" spans="30:30" x14ac:dyDescent="0.3">
      <c r="AD24347" s="16"/>
    </row>
    <row r="24348" spans="30:30" x14ac:dyDescent="0.3">
      <c r="AD24348" s="16"/>
    </row>
    <row r="24349" spans="30:30" x14ac:dyDescent="0.3">
      <c r="AD24349" s="16"/>
    </row>
    <row r="24350" spans="30:30" x14ac:dyDescent="0.3">
      <c r="AD24350" s="16"/>
    </row>
    <row r="24351" spans="30:30" x14ac:dyDescent="0.3">
      <c r="AD24351" s="16"/>
    </row>
    <row r="24352" spans="30:30" x14ac:dyDescent="0.3">
      <c r="AD24352" s="16"/>
    </row>
    <row r="24353" spans="30:30" x14ac:dyDescent="0.3">
      <c r="AD24353" s="16"/>
    </row>
    <row r="24354" spans="30:30" x14ac:dyDescent="0.3">
      <c r="AD24354" s="16"/>
    </row>
    <row r="24355" spans="30:30" x14ac:dyDescent="0.3">
      <c r="AD24355" s="16"/>
    </row>
    <row r="24356" spans="30:30" x14ac:dyDescent="0.3">
      <c r="AD24356" s="16"/>
    </row>
    <row r="24357" spans="30:30" x14ac:dyDescent="0.3">
      <c r="AD24357" s="16"/>
    </row>
    <row r="24358" spans="30:30" x14ac:dyDescent="0.3">
      <c r="AD24358" s="16"/>
    </row>
    <row r="24359" spans="30:30" x14ac:dyDescent="0.3">
      <c r="AD24359" s="16"/>
    </row>
    <row r="24360" spans="30:30" x14ac:dyDescent="0.3">
      <c r="AD24360" s="16"/>
    </row>
    <row r="24361" spans="30:30" x14ac:dyDescent="0.3">
      <c r="AD24361" s="16"/>
    </row>
    <row r="24362" spans="30:30" x14ac:dyDescent="0.3">
      <c r="AD24362" s="16"/>
    </row>
    <row r="24363" spans="30:30" x14ac:dyDescent="0.3">
      <c r="AD24363" s="16"/>
    </row>
    <row r="24364" spans="30:30" x14ac:dyDescent="0.3">
      <c r="AD24364" s="16"/>
    </row>
    <row r="24365" spans="30:30" x14ac:dyDescent="0.3">
      <c r="AD24365" s="16"/>
    </row>
    <row r="24366" spans="30:30" x14ac:dyDescent="0.3">
      <c r="AD24366" s="16"/>
    </row>
    <row r="24367" spans="30:30" x14ac:dyDescent="0.3">
      <c r="AD24367" s="16"/>
    </row>
    <row r="24368" spans="30:30" x14ac:dyDescent="0.3">
      <c r="AD24368" s="16"/>
    </row>
    <row r="24369" spans="30:30" x14ac:dyDescent="0.3">
      <c r="AD24369" s="16"/>
    </row>
    <row r="24370" spans="30:30" x14ac:dyDescent="0.3">
      <c r="AD24370" s="16"/>
    </row>
    <row r="24371" spans="30:30" x14ac:dyDescent="0.3">
      <c r="AD24371" s="16"/>
    </row>
    <row r="24372" spans="30:30" x14ac:dyDescent="0.3">
      <c r="AD24372" s="16"/>
    </row>
    <row r="24373" spans="30:30" x14ac:dyDescent="0.3">
      <c r="AD24373" s="16"/>
    </row>
    <row r="24374" spans="30:30" x14ac:dyDescent="0.3">
      <c r="AD24374" s="16"/>
    </row>
    <row r="24375" spans="30:30" x14ac:dyDescent="0.3">
      <c r="AD24375" s="16"/>
    </row>
    <row r="24376" spans="30:30" x14ac:dyDescent="0.3">
      <c r="AD24376" s="16"/>
    </row>
    <row r="24377" spans="30:30" x14ac:dyDescent="0.3">
      <c r="AD24377" s="16"/>
    </row>
    <row r="24378" spans="30:30" x14ac:dyDescent="0.3">
      <c r="AD24378" s="16"/>
    </row>
    <row r="24379" spans="30:30" x14ac:dyDescent="0.3">
      <c r="AD24379" s="16"/>
    </row>
    <row r="24380" spans="30:30" x14ac:dyDescent="0.3">
      <c r="AD24380" s="16"/>
    </row>
    <row r="24381" spans="30:30" x14ac:dyDescent="0.3">
      <c r="AD24381" s="16"/>
    </row>
    <row r="24382" spans="30:30" x14ac:dyDescent="0.3">
      <c r="AD24382" s="16"/>
    </row>
    <row r="24383" spans="30:30" x14ac:dyDescent="0.3">
      <c r="AD24383" s="16"/>
    </row>
    <row r="24384" spans="30:30" x14ac:dyDescent="0.3">
      <c r="AD24384" s="16"/>
    </row>
    <row r="24385" spans="30:30" x14ac:dyDescent="0.3">
      <c r="AD24385" s="16"/>
    </row>
    <row r="24386" spans="30:30" x14ac:dyDescent="0.3">
      <c r="AD24386" s="16"/>
    </row>
    <row r="24387" spans="30:30" x14ac:dyDescent="0.3">
      <c r="AD24387" s="16"/>
    </row>
    <row r="24388" spans="30:30" x14ac:dyDescent="0.3">
      <c r="AD24388" s="16"/>
    </row>
    <row r="24389" spans="30:30" x14ac:dyDescent="0.3">
      <c r="AD24389" s="16"/>
    </row>
    <row r="24390" spans="30:30" x14ac:dyDescent="0.3">
      <c r="AD24390" s="16"/>
    </row>
    <row r="24391" spans="30:30" x14ac:dyDescent="0.3">
      <c r="AD24391" s="16"/>
    </row>
    <row r="24392" spans="30:30" x14ac:dyDescent="0.3">
      <c r="AD24392" s="16"/>
    </row>
    <row r="24393" spans="30:30" x14ac:dyDescent="0.3">
      <c r="AD24393" s="16"/>
    </row>
    <row r="24394" spans="30:30" x14ac:dyDescent="0.3">
      <c r="AD24394" s="16"/>
    </row>
    <row r="24395" spans="30:30" x14ac:dyDescent="0.3">
      <c r="AD24395" s="16"/>
    </row>
    <row r="24396" spans="30:30" x14ac:dyDescent="0.3">
      <c r="AD24396" s="16"/>
    </row>
    <row r="24397" spans="30:30" x14ac:dyDescent="0.3">
      <c r="AD24397" s="16"/>
    </row>
    <row r="24398" spans="30:30" x14ac:dyDescent="0.3">
      <c r="AD24398" s="16"/>
    </row>
    <row r="24399" spans="30:30" x14ac:dyDescent="0.3">
      <c r="AD24399" s="16"/>
    </row>
    <row r="24400" spans="30:30" x14ac:dyDescent="0.3">
      <c r="AD24400" s="16"/>
    </row>
    <row r="24401" spans="30:30" x14ac:dyDescent="0.3">
      <c r="AD24401" s="16"/>
    </row>
    <row r="24402" spans="30:30" x14ac:dyDescent="0.3">
      <c r="AD24402" s="16"/>
    </row>
    <row r="24403" spans="30:30" x14ac:dyDescent="0.3">
      <c r="AD24403" s="16"/>
    </row>
    <row r="24404" spans="30:30" x14ac:dyDescent="0.3">
      <c r="AD24404" s="16"/>
    </row>
    <row r="24405" spans="30:30" x14ac:dyDescent="0.3">
      <c r="AD24405" s="16"/>
    </row>
    <row r="24406" spans="30:30" x14ac:dyDescent="0.3">
      <c r="AD24406" s="16"/>
    </row>
    <row r="24407" spans="30:30" x14ac:dyDescent="0.3">
      <c r="AD24407" s="16"/>
    </row>
    <row r="24408" spans="30:30" x14ac:dyDescent="0.3">
      <c r="AD24408" s="16"/>
    </row>
    <row r="24409" spans="30:30" x14ac:dyDescent="0.3">
      <c r="AD24409" s="16"/>
    </row>
    <row r="24410" spans="30:30" x14ac:dyDescent="0.3">
      <c r="AD24410" s="16"/>
    </row>
    <row r="24411" spans="30:30" x14ac:dyDescent="0.3">
      <c r="AD24411" s="16"/>
    </row>
    <row r="24412" spans="30:30" x14ac:dyDescent="0.3">
      <c r="AD24412" s="16"/>
    </row>
    <row r="24413" spans="30:30" x14ac:dyDescent="0.3">
      <c r="AD24413" s="16"/>
    </row>
    <row r="24414" spans="30:30" x14ac:dyDescent="0.3">
      <c r="AD24414" s="16"/>
    </row>
    <row r="24415" spans="30:30" x14ac:dyDescent="0.3">
      <c r="AD24415" s="16"/>
    </row>
    <row r="24416" spans="30:30" x14ac:dyDescent="0.3">
      <c r="AD24416" s="16"/>
    </row>
    <row r="24417" spans="30:30" x14ac:dyDescent="0.3">
      <c r="AD24417" s="16"/>
    </row>
    <row r="24418" spans="30:30" x14ac:dyDescent="0.3">
      <c r="AD24418" s="16"/>
    </row>
    <row r="24419" spans="30:30" x14ac:dyDescent="0.3">
      <c r="AD24419" s="16"/>
    </row>
    <row r="24420" spans="30:30" x14ac:dyDescent="0.3">
      <c r="AD24420" s="16"/>
    </row>
    <row r="24421" spans="30:30" x14ac:dyDescent="0.3">
      <c r="AD24421" s="16"/>
    </row>
    <row r="24422" spans="30:30" x14ac:dyDescent="0.3">
      <c r="AD24422" s="16"/>
    </row>
    <row r="24423" spans="30:30" x14ac:dyDescent="0.3">
      <c r="AD24423" s="16"/>
    </row>
    <row r="24424" spans="30:30" x14ac:dyDescent="0.3">
      <c r="AD24424" s="16"/>
    </row>
    <row r="24425" spans="30:30" x14ac:dyDescent="0.3">
      <c r="AD24425" s="16"/>
    </row>
    <row r="24426" spans="30:30" x14ac:dyDescent="0.3">
      <c r="AD24426" s="16"/>
    </row>
    <row r="24427" spans="30:30" x14ac:dyDescent="0.3">
      <c r="AD24427" s="16"/>
    </row>
    <row r="24428" spans="30:30" x14ac:dyDescent="0.3">
      <c r="AD24428" s="16"/>
    </row>
    <row r="24429" spans="30:30" x14ac:dyDescent="0.3">
      <c r="AD24429" s="16"/>
    </row>
    <row r="24430" spans="30:30" x14ac:dyDescent="0.3">
      <c r="AD24430" s="16"/>
    </row>
    <row r="24431" spans="30:30" x14ac:dyDescent="0.3">
      <c r="AD24431" s="16"/>
    </row>
    <row r="24432" spans="30:30" x14ac:dyDescent="0.3">
      <c r="AD24432" s="16"/>
    </row>
    <row r="24433" spans="30:30" x14ac:dyDescent="0.3">
      <c r="AD24433" s="16"/>
    </row>
    <row r="24434" spans="30:30" x14ac:dyDescent="0.3">
      <c r="AD24434" s="16"/>
    </row>
    <row r="24435" spans="30:30" x14ac:dyDescent="0.3">
      <c r="AD24435" s="16"/>
    </row>
    <row r="24436" spans="30:30" x14ac:dyDescent="0.3">
      <c r="AD24436" s="16"/>
    </row>
    <row r="24437" spans="30:30" x14ac:dyDescent="0.3">
      <c r="AD24437" s="16"/>
    </row>
    <row r="24438" spans="30:30" x14ac:dyDescent="0.3">
      <c r="AD24438" s="16"/>
    </row>
    <row r="24439" spans="30:30" x14ac:dyDescent="0.3">
      <c r="AD24439" s="16"/>
    </row>
    <row r="24440" spans="30:30" x14ac:dyDescent="0.3">
      <c r="AD24440" s="16"/>
    </row>
    <row r="24441" spans="30:30" x14ac:dyDescent="0.3">
      <c r="AD24441" s="16"/>
    </row>
    <row r="24442" spans="30:30" x14ac:dyDescent="0.3">
      <c r="AD24442" s="16"/>
    </row>
    <row r="24443" spans="30:30" x14ac:dyDescent="0.3">
      <c r="AD24443" s="16"/>
    </row>
    <row r="24444" spans="30:30" x14ac:dyDescent="0.3">
      <c r="AD24444" s="16"/>
    </row>
    <row r="24445" spans="30:30" x14ac:dyDescent="0.3">
      <c r="AD24445" s="16"/>
    </row>
    <row r="24446" spans="30:30" x14ac:dyDescent="0.3">
      <c r="AD24446" s="16"/>
    </row>
    <row r="24447" spans="30:30" x14ac:dyDescent="0.3">
      <c r="AD24447" s="16"/>
    </row>
    <row r="24448" spans="30:30" x14ac:dyDescent="0.3">
      <c r="AD24448" s="16"/>
    </row>
    <row r="24449" spans="30:30" x14ac:dyDescent="0.3">
      <c r="AD24449" s="16"/>
    </row>
    <row r="24450" spans="30:30" x14ac:dyDescent="0.3">
      <c r="AD24450" s="16"/>
    </row>
    <row r="24451" spans="30:30" x14ac:dyDescent="0.3">
      <c r="AD24451" s="16"/>
    </row>
    <row r="24452" spans="30:30" x14ac:dyDescent="0.3">
      <c r="AD24452" s="16"/>
    </row>
    <row r="24453" spans="30:30" x14ac:dyDescent="0.3">
      <c r="AD24453" s="16"/>
    </row>
    <row r="24454" spans="30:30" x14ac:dyDescent="0.3">
      <c r="AD24454" s="16"/>
    </row>
    <row r="24455" spans="30:30" x14ac:dyDescent="0.3">
      <c r="AD24455" s="16"/>
    </row>
    <row r="24456" spans="30:30" x14ac:dyDescent="0.3">
      <c r="AD24456" s="16"/>
    </row>
    <row r="24457" spans="30:30" x14ac:dyDescent="0.3">
      <c r="AD24457" s="16"/>
    </row>
    <row r="24458" spans="30:30" x14ac:dyDescent="0.3">
      <c r="AD24458" s="16"/>
    </row>
    <row r="24459" spans="30:30" x14ac:dyDescent="0.3">
      <c r="AD24459" s="16"/>
    </row>
    <row r="24460" spans="30:30" x14ac:dyDescent="0.3">
      <c r="AD24460" s="16"/>
    </row>
    <row r="24461" spans="30:30" x14ac:dyDescent="0.3">
      <c r="AD24461" s="16"/>
    </row>
    <row r="24462" spans="30:30" x14ac:dyDescent="0.3">
      <c r="AD24462" s="16"/>
    </row>
    <row r="24463" spans="30:30" x14ac:dyDescent="0.3">
      <c r="AD24463" s="16"/>
    </row>
    <row r="24464" spans="30:30" x14ac:dyDescent="0.3">
      <c r="AD24464" s="16"/>
    </row>
    <row r="24465" spans="30:30" x14ac:dyDescent="0.3">
      <c r="AD24465" s="16"/>
    </row>
    <row r="24466" spans="30:30" x14ac:dyDescent="0.3">
      <c r="AD24466" s="16"/>
    </row>
    <row r="24467" spans="30:30" x14ac:dyDescent="0.3">
      <c r="AD24467" s="16"/>
    </row>
    <row r="24468" spans="30:30" x14ac:dyDescent="0.3">
      <c r="AD24468" s="16"/>
    </row>
    <row r="24469" spans="30:30" x14ac:dyDescent="0.3">
      <c r="AD24469" s="16"/>
    </row>
    <row r="24470" spans="30:30" x14ac:dyDescent="0.3">
      <c r="AD24470" s="16"/>
    </row>
    <row r="24471" spans="30:30" x14ac:dyDescent="0.3">
      <c r="AD24471" s="16"/>
    </row>
    <row r="24472" spans="30:30" x14ac:dyDescent="0.3">
      <c r="AD24472" s="16"/>
    </row>
    <row r="24473" spans="30:30" x14ac:dyDescent="0.3">
      <c r="AD24473" s="16"/>
    </row>
    <row r="24474" spans="30:30" x14ac:dyDescent="0.3">
      <c r="AD24474" s="16"/>
    </row>
    <row r="24475" spans="30:30" x14ac:dyDescent="0.3">
      <c r="AD24475" s="16"/>
    </row>
    <row r="24476" spans="30:30" x14ac:dyDescent="0.3">
      <c r="AD24476" s="16"/>
    </row>
    <row r="24477" spans="30:30" x14ac:dyDescent="0.3">
      <c r="AD24477" s="16"/>
    </row>
    <row r="24478" spans="30:30" x14ac:dyDescent="0.3">
      <c r="AD24478" s="16"/>
    </row>
    <row r="24479" spans="30:30" x14ac:dyDescent="0.3">
      <c r="AD24479" s="16"/>
    </row>
    <row r="24480" spans="30:30" x14ac:dyDescent="0.3">
      <c r="AD24480" s="16"/>
    </row>
    <row r="24481" spans="30:30" x14ac:dyDescent="0.3">
      <c r="AD24481" s="16"/>
    </row>
    <row r="24482" spans="30:30" x14ac:dyDescent="0.3">
      <c r="AD24482" s="16"/>
    </row>
    <row r="24483" spans="30:30" x14ac:dyDescent="0.3">
      <c r="AD24483" s="16"/>
    </row>
    <row r="24484" spans="30:30" x14ac:dyDescent="0.3">
      <c r="AD24484" s="16"/>
    </row>
    <row r="24485" spans="30:30" x14ac:dyDescent="0.3">
      <c r="AD24485" s="16"/>
    </row>
    <row r="24486" spans="30:30" x14ac:dyDescent="0.3">
      <c r="AD24486" s="16"/>
    </row>
    <row r="24487" spans="30:30" x14ac:dyDescent="0.3">
      <c r="AD24487" s="16"/>
    </row>
    <row r="24488" spans="30:30" x14ac:dyDescent="0.3">
      <c r="AD24488" s="16"/>
    </row>
    <row r="24489" spans="30:30" x14ac:dyDescent="0.3">
      <c r="AD24489" s="16"/>
    </row>
    <row r="24490" spans="30:30" x14ac:dyDescent="0.3">
      <c r="AD24490" s="16"/>
    </row>
    <row r="24491" spans="30:30" x14ac:dyDescent="0.3">
      <c r="AD24491" s="16"/>
    </row>
    <row r="24492" spans="30:30" x14ac:dyDescent="0.3">
      <c r="AD24492" s="16"/>
    </row>
    <row r="24493" spans="30:30" x14ac:dyDescent="0.3">
      <c r="AD24493" s="16"/>
    </row>
    <row r="24494" spans="30:30" x14ac:dyDescent="0.3">
      <c r="AD24494" s="16"/>
    </row>
    <row r="24495" spans="30:30" x14ac:dyDescent="0.3">
      <c r="AD24495" s="16"/>
    </row>
    <row r="24496" spans="30:30" x14ac:dyDescent="0.3">
      <c r="AD24496" s="16"/>
    </row>
    <row r="24497" spans="30:30" x14ac:dyDescent="0.3">
      <c r="AD24497" s="16"/>
    </row>
    <row r="24498" spans="30:30" x14ac:dyDescent="0.3">
      <c r="AD24498" s="16"/>
    </row>
    <row r="24499" spans="30:30" x14ac:dyDescent="0.3">
      <c r="AD24499" s="16"/>
    </row>
    <row r="24500" spans="30:30" x14ac:dyDescent="0.3">
      <c r="AD24500" s="16"/>
    </row>
    <row r="24501" spans="30:30" x14ac:dyDescent="0.3">
      <c r="AD24501" s="16"/>
    </row>
    <row r="24502" spans="30:30" x14ac:dyDescent="0.3">
      <c r="AD24502" s="16"/>
    </row>
    <row r="24503" spans="30:30" x14ac:dyDescent="0.3">
      <c r="AD24503" s="16"/>
    </row>
    <row r="24504" spans="30:30" x14ac:dyDescent="0.3">
      <c r="AD24504" s="16"/>
    </row>
    <row r="24505" spans="30:30" x14ac:dyDescent="0.3">
      <c r="AD24505" s="16"/>
    </row>
    <row r="24506" spans="30:30" x14ac:dyDescent="0.3">
      <c r="AD24506" s="16"/>
    </row>
    <row r="24507" spans="30:30" x14ac:dyDescent="0.3">
      <c r="AD24507" s="16"/>
    </row>
    <row r="24508" spans="30:30" x14ac:dyDescent="0.3">
      <c r="AD24508" s="16"/>
    </row>
    <row r="24509" spans="30:30" x14ac:dyDescent="0.3">
      <c r="AD24509" s="16"/>
    </row>
    <row r="24510" spans="30:30" x14ac:dyDescent="0.3">
      <c r="AD24510" s="16"/>
    </row>
    <row r="24511" spans="30:30" x14ac:dyDescent="0.3">
      <c r="AD24511" s="16"/>
    </row>
    <row r="24512" spans="30:30" x14ac:dyDescent="0.3">
      <c r="AD24512" s="16"/>
    </row>
    <row r="24513" spans="30:30" x14ac:dyDescent="0.3">
      <c r="AD24513" s="16"/>
    </row>
    <row r="24514" spans="30:30" x14ac:dyDescent="0.3">
      <c r="AD24514" s="16"/>
    </row>
    <row r="24515" spans="30:30" x14ac:dyDescent="0.3">
      <c r="AD24515" s="16"/>
    </row>
    <row r="24516" spans="30:30" x14ac:dyDescent="0.3">
      <c r="AD24516" s="16"/>
    </row>
    <row r="24517" spans="30:30" x14ac:dyDescent="0.3">
      <c r="AD24517" s="16"/>
    </row>
    <row r="24518" spans="30:30" x14ac:dyDescent="0.3">
      <c r="AD24518" s="16"/>
    </row>
    <row r="24519" spans="30:30" x14ac:dyDescent="0.3">
      <c r="AD24519" s="16"/>
    </row>
    <row r="24520" spans="30:30" x14ac:dyDescent="0.3">
      <c r="AD24520" s="16"/>
    </row>
    <row r="24521" spans="30:30" x14ac:dyDescent="0.3">
      <c r="AD24521" s="16"/>
    </row>
    <row r="24522" spans="30:30" x14ac:dyDescent="0.3">
      <c r="AD24522" s="16"/>
    </row>
    <row r="24523" spans="30:30" x14ac:dyDescent="0.3">
      <c r="AD24523" s="16"/>
    </row>
    <row r="24524" spans="30:30" x14ac:dyDescent="0.3">
      <c r="AD24524" s="16"/>
    </row>
    <row r="24525" spans="30:30" x14ac:dyDescent="0.3">
      <c r="AD24525" s="16"/>
    </row>
    <row r="24526" spans="30:30" x14ac:dyDescent="0.3">
      <c r="AD24526" s="16"/>
    </row>
    <row r="24527" spans="30:30" x14ac:dyDescent="0.3">
      <c r="AD24527" s="16"/>
    </row>
    <row r="24528" spans="30:30" x14ac:dyDescent="0.3">
      <c r="AD24528" s="16"/>
    </row>
    <row r="24529" spans="30:30" x14ac:dyDescent="0.3">
      <c r="AD24529" s="16"/>
    </row>
    <row r="24530" spans="30:30" x14ac:dyDescent="0.3">
      <c r="AD24530" s="16"/>
    </row>
    <row r="24531" spans="30:30" x14ac:dyDescent="0.3">
      <c r="AD24531" s="16"/>
    </row>
    <row r="24532" spans="30:30" x14ac:dyDescent="0.3">
      <c r="AD24532" s="16"/>
    </row>
    <row r="24533" spans="30:30" x14ac:dyDescent="0.3">
      <c r="AD24533" s="16"/>
    </row>
    <row r="24534" spans="30:30" x14ac:dyDescent="0.3">
      <c r="AD24534" s="16"/>
    </row>
    <row r="24535" spans="30:30" x14ac:dyDescent="0.3">
      <c r="AD24535" s="16"/>
    </row>
    <row r="24536" spans="30:30" x14ac:dyDescent="0.3">
      <c r="AD24536" s="16"/>
    </row>
    <row r="24537" spans="30:30" x14ac:dyDescent="0.3">
      <c r="AD24537" s="16"/>
    </row>
    <row r="24538" spans="30:30" x14ac:dyDescent="0.3">
      <c r="AD24538" s="16"/>
    </row>
    <row r="24539" spans="30:30" x14ac:dyDescent="0.3">
      <c r="AD24539" s="16"/>
    </row>
    <row r="24540" spans="30:30" x14ac:dyDescent="0.3">
      <c r="AD24540" s="16"/>
    </row>
    <row r="24541" spans="30:30" x14ac:dyDescent="0.3">
      <c r="AD24541" s="16"/>
    </row>
    <row r="24542" spans="30:30" x14ac:dyDescent="0.3">
      <c r="AD24542" s="16"/>
    </row>
    <row r="24543" spans="30:30" x14ac:dyDescent="0.3">
      <c r="AD24543" s="16"/>
    </row>
    <row r="24544" spans="30:30" x14ac:dyDescent="0.3">
      <c r="AD24544" s="16"/>
    </row>
    <row r="24545" spans="30:30" x14ac:dyDescent="0.3">
      <c r="AD24545" s="16"/>
    </row>
    <row r="24546" spans="30:30" x14ac:dyDescent="0.3">
      <c r="AD24546" s="16"/>
    </row>
    <row r="24547" spans="30:30" x14ac:dyDescent="0.3">
      <c r="AD24547" s="16"/>
    </row>
    <row r="24548" spans="30:30" x14ac:dyDescent="0.3">
      <c r="AD24548" s="16"/>
    </row>
    <row r="24549" spans="30:30" x14ac:dyDescent="0.3">
      <c r="AD24549" s="16"/>
    </row>
    <row r="24550" spans="30:30" x14ac:dyDescent="0.3">
      <c r="AD24550" s="16"/>
    </row>
    <row r="24551" spans="30:30" x14ac:dyDescent="0.3">
      <c r="AD24551" s="16"/>
    </row>
    <row r="24552" spans="30:30" x14ac:dyDescent="0.3">
      <c r="AD24552" s="16"/>
    </row>
    <row r="24553" spans="30:30" x14ac:dyDescent="0.3">
      <c r="AD24553" s="16"/>
    </row>
    <row r="24554" spans="30:30" x14ac:dyDescent="0.3">
      <c r="AD24554" s="16"/>
    </row>
    <row r="24555" spans="30:30" x14ac:dyDescent="0.3">
      <c r="AD24555" s="16"/>
    </row>
    <row r="24556" spans="30:30" x14ac:dyDescent="0.3">
      <c r="AD24556" s="16"/>
    </row>
    <row r="24557" spans="30:30" x14ac:dyDescent="0.3">
      <c r="AD24557" s="16"/>
    </row>
    <row r="24558" spans="30:30" x14ac:dyDescent="0.3">
      <c r="AD24558" s="16"/>
    </row>
    <row r="24559" spans="30:30" x14ac:dyDescent="0.3">
      <c r="AD24559" s="16"/>
    </row>
    <row r="24560" spans="30:30" x14ac:dyDescent="0.3">
      <c r="AD24560" s="16"/>
    </row>
    <row r="24561" spans="30:30" x14ac:dyDescent="0.3">
      <c r="AD24561" s="16"/>
    </row>
    <row r="24562" spans="30:30" x14ac:dyDescent="0.3">
      <c r="AD24562" s="16"/>
    </row>
    <row r="24563" spans="30:30" x14ac:dyDescent="0.3">
      <c r="AD24563" s="16"/>
    </row>
    <row r="24564" spans="30:30" x14ac:dyDescent="0.3">
      <c r="AD24564" s="16"/>
    </row>
    <row r="24565" spans="30:30" x14ac:dyDescent="0.3">
      <c r="AD24565" s="16"/>
    </row>
    <row r="24566" spans="30:30" x14ac:dyDescent="0.3">
      <c r="AD24566" s="16"/>
    </row>
    <row r="24567" spans="30:30" x14ac:dyDescent="0.3">
      <c r="AD24567" s="16"/>
    </row>
    <row r="24568" spans="30:30" x14ac:dyDescent="0.3">
      <c r="AD24568" s="16"/>
    </row>
    <row r="24569" spans="30:30" x14ac:dyDescent="0.3">
      <c r="AD24569" s="16"/>
    </row>
    <row r="24570" spans="30:30" x14ac:dyDescent="0.3">
      <c r="AD24570" s="16"/>
    </row>
    <row r="24571" spans="30:30" x14ac:dyDescent="0.3">
      <c r="AD24571" s="16"/>
    </row>
    <row r="24572" spans="30:30" x14ac:dyDescent="0.3">
      <c r="AD24572" s="16"/>
    </row>
    <row r="24573" spans="30:30" x14ac:dyDescent="0.3">
      <c r="AD24573" s="16"/>
    </row>
    <row r="24574" spans="30:30" x14ac:dyDescent="0.3">
      <c r="AD24574" s="16"/>
    </row>
    <row r="24575" spans="30:30" x14ac:dyDescent="0.3">
      <c r="AD24575" s="16"/>
    </row>
    <row r="24576" spans="30:30" x14ac:dyDescent="0.3">
      <c r="AD24576" s="16"/>
    </row>
    <row r="24577" spans="30:30" x14ac:dyDescent="0.3">
      <c r="AD24577" s="16"/>
    </row>
    <row r="24578" spans="30:30" x14ac:dyDescent="0.3">
      <c r="AD24578" s="16"/>
    </row>
    <row r="24579" spans="30:30" x14ac:dyDescent="0.3">
      <c r="AD24579" s="16"/>
    </row>
    <row r="24580" spans="30:30" x14ac:dyDescent="0.3">
      <c r="AD24580" s="16"/>
    </row>
    <row r="24581" spans="30:30" x14ac:dyDescent="0.3">
      <c r="AD24581" s="16"/>
    </row>
    <row r="24582" spans="30:30" x14ac:dyDescent="0.3">
      <c r="AD24582" s="16"/>
    </row>
    <row r="24583" spans="30:30" x14ac:dyDescent="0.3">
      <c r="AD24583" s="16"/>
    </row>
    <row r="24584" spans="30:30" x14ac:dyDescent="0.3">
      <c r="AD24584" s="16"/>
    </row>
    <row r="24585" spans="30:30" x14ac:dyDescent="0.3">
      <c r="AD24585" s="16"/>
    </row>
    <row r="24586" spans="30:30" x14ac:dyDescent="0.3">
      <c r="AD24586" s="16"/>
    </row>
    <row r="24587" spans="30:30" x14ac:dyDescent="0.3">
      <c r="AD24587" s="16"/>
    </row>
    <row r="24588" spans="30:30" x14ac:dyDescent="0.3">
      <c r="AD24588" s="16"/>
    </row>
    <row r="24589" spans="30:30" x14ac:dyDescent="0.3">
      <c r="AD24589" s="16"/>
    </row>
    <row r="24590" spans="30:30" x14ac:dyDescent="0.3">
      <c r="AD24590" s="16"/>
    </row>
    <row r="24591" spans="30:30" x14ac:dyDescent="0.3">
      <c r="AD24591" s="16"/>
    </row>
    <row r="24592" spans="30:30" x14ac:dyDescent="0.3">
      <c r="AD24592" s="16"/>
    </row>
    <row r="24593" spans="30:30" x14ac:dyDescent="0.3">
      <c r="AD24593" s="16"/>
    </row>
    <row r="24594" spans="30:30" x14ac:dyDescent="0.3">
      <c r="AD24594" s="16"/>
    </row>
    <row r="24595" spans="30:30" x14ac:dyDescent="0.3">
      <c r="AD24595" s="16"/>
    </row>
    <row r="24596" spans="30:30" x14ac:dyDescent="0.3">
      <c r="AD24596" s="16"/>
    </row>
    <row r="24597" spans="30:30" x14ac:dyDescent="0.3">
      <c r="AD24597" s="16"/>
    </row>
    <row r="24598" spans="30:30" x14ac:dyDescent="0.3">
      <c r="AD24598" s="16"/>
    </row>
    <row r="24599" spans="30:30" x14ac:dyDescent="0.3">
      <c r="AD24599" s="16"/>
    </row>
    <row r="24600" spans="30:30" x14ac:dyDescent="0.3">
      <c r="AD24600" s="16"/>
    </row>
    <row r="24601" spans="30:30" x14ac:dyDescent="0.3">
      <c r="AD24601" s="16"/>
    </row>
    <row r="24602" spans="30:30" x14ac:dyDescent="0.3">
      <c r="AD24602" s="16"/>
    </row>
    <row r="24603" spans="30:30" x14ac:dyDescent="0.3">
      <c r="AD24603" s="16"/>
    </row>
    <row r="24604" spans="30:30" x14ac:dyDescent="0.3">
      <c r="AD24604" s="16"/>
    </row>
    <row r="24605" spans="30:30" x14ac:dyDescent="0.3">
      <c r="AD24605" s="16"/>
    </row>
    <row r="24606" spans="30:30" x14ac:dyDescent="0.3">
      <c r="AD24606" s="16"/>
    </row>
    <row r="24607" spans="30:30" x14ac:dyDescent="0.3">
      <c r="AD24607" s="16"/>
    </row>
    <row r="24608" spans="30:30" x14ac:dyDescent="0.3">
      <c r="AD24608" s="16"/>
    </row>
    <row r="24609" spans="30:30" x14ac:dyDescent="0.3">
      <c r="AD24609" s="16"/>
    </row>
    <row r="24610" spans="30:30" x14ac:dyDescent="0.3">
      <c r="AD24610" s="16"/>
    </row>
    <row r="24611" spans="30:30" x14ac:dyDescent="0.3">
      <c r="AD24611" s="16"/>
    </row>
    <row r="24612" spans="30:30" x14ac:dyDescent="0.3">
      <c r="AD24612" s="16"/>
    </row>
    <row r="24613" spans="30:30" x14ac:dyDescent="0.3">
      <c r="AD24613" s="16"/>
    </row>
    <row r="24614" spans="30:30" x14ac:dyDescent="0.3">
      <c r="AD24614" s="16"/>
    </row>
    <row r="24615" spans="30:30" x14ac:dyDescent="0.3">
      <c r="AD24615" s="16"/>
    </row>
    <row r="24616" spans="30:30" x14ac:dyDescent="0.3">
      <c r="AD24616" s="16"/>
    </row>
    <row r="24617" spans="30:30" x14ac:dyDescent="0.3">
      <c r="AD24617" s="16"/>
    </row>
    <row r="24618" spans="30:30" x14ac:dyDescent="0.3">
      <c r="AD24618" s="16"/>
    </row>
    <row r="24619" spans="30:30" x14ac:dyDescent="0.3">
      <c r="AD24619" s="16"/>
    </row>
    <row r="24620" spans="30:30" x14ac:dyDescent="0.3">
      <c r="AD24620" s="16"/>
    </row>
    <row r="24621" spans="30:30" x14ac:dyDescent="0.3">
      <c r="AD24621" s="16"/>
    </row>
    <row r="24622" spans="30:30" x14ac:dyDescent="0.3">
      <c r="AD24622" s="16"/>
    </row>
    <row r="24623" spans="30:30" x14ac:dyDescent="0.3">
      <c r="AD24623" s="16"/>
    </row>
    <row r="24624" spans="30:30" x14ac:dyDescent="0.3">
      <c r="AD24624" s="16"/>
    </row>
    <row r="24625" spans="30:30" x14ac:dyDescent="0.3">
      <c r="AD24625" s="16"/>
    </row>
    <row r="24626" spans="30:30" x14ac:dyDescent="0.3">
      <c r="AD24626" s="16"/>
    </row>
    <row r="24627" spans="30:30" x14ac:dyDescent="0.3">
      <c r="AD24627" s="16"/>
    </row>
    <row r="24628" spans="30:30" x14ac:dyDescent="0.3">
      <c r="AD24628" s="16"/>
    </row>
    <row r="24629" spans="30:30" x14ac:dyDescent="0.3">
      <c r="AD24629" s="16"/>
    </row>
    <row r="24630" spans="30:30" x14ac:dyDescent="0.3">
      <c r="AD24630" s="16"/>
    </row>
    <row r="24631" spans="30:30" x14ac:dyDescent="0.3">
      <c r="AD24631" s="16"/>
    </row>
    <row r="24632" spans="30:30" x14ac:dyDescent="0.3">
      <c r="AD24632" s="16"/>
    </row>
    <row r="24633" spans="30:30" x14ac:dyDescent="0.3">
      <c r="AD24633" s="16"/>
    </row>
    <row r="24634" spans="30:30" x14ac:dyDescent="0.3">
      <c r="AD24634" s="16"/>
    </row>
    <row r="24635" spans="30:30" x14ac:dyDescent="0.3">
      <c r="AD24635" s="16"/>
    </row>
    <row r="24636" spans="30:30" x14ac:dyDescent="0.3">
      <c r="AD24636" s="16"/>
    </row>
    <row r="24637" spans="30:30" x14ac:dyDescent="0.3">
      <c r="AD24637" s="16"/>
    </row>
    <row r="24638" spans="30:30" x14ac:dyDescent="0.3">
      <c r="AD24638" s="16"/>
    </row>
    <row r="24639" spans="30:30" x14ac:dyDescent="0.3">
      <c r="AD24639" s="16"/>
    </row>
    <row r="24640" spans="30:30" x14ac:dyDescent="0.3">
      <c r="AD24640" s="16"/>
    </row>
    <row r="24641" spans="30:30" x14ac:dyDescent="0.3">
      <c r="AD24641" s="16"/>
    </row>
    <row r="24642" spans="30:30" x14ac:dyDescent="0.3">
      <c r="AD24642" s="16"/>
    </row>
    <row r="24643" spans="30:30" x14ac:dyDescent="0.3">
      <c r="AD24643" s="16"/>
    </row>
    <row r="24644" spans="30:30" x14ac:dyDescent="0.3">
      <c r="AD24644" s="16"/>
    </row>
    <row r="24645" spans="30:30" x14ac:dyDescent="0.3">
      <c r="AD24645" s="16"/>
    </row>
    <row r="24646" spans="30:30" x14ac:dyDescent="0.3">
      <c r="AD24646" s="16"/>
    </row>
    <row r="24647" spans="30:30" x14ac:dyDescent="0.3">
      <c r="AD24647" s="16"/>
    </row>
    <row r="24648" spans="30:30" x14ac:dyDescent="0.3">
      <c r="AD24648" s="16"/>
    </row>
    <row r="24649" spans="30:30" x14ac:dyDescent="0.3">
      <c r="AD24649" s="16"/>
    </row>
    <row r="24650" spans="30:30" x14ac:dyDescent="0.3">
      <c r="AD24650" s="16"/>
    </row>
    <row r="24651" spans="30:30" x14ac:dyDescent="0.3">
      <c r="AD24651" s="16"/>
    </row>
    <row r="24652" spans="30:30" x14ac:dyDescent="0.3">
      <c r="AD24652" s="16"/>
    </row>
    <row r="24653" spans="30:30" x14ac:dyDescent="0.3">
      <c r="AD24653" s="16"/>
    </row>
    <row r="24654" spans="30:30" x14ac:dyDescent="0.3">
      <c r="AD24654" s="16"/>
    </row>
    <row r="24655" spans="30:30" x14ac:dyDescent="0.3">
      <c r="AD24655" s="16"/>
    </row>
    <row r="24656" spans="30:30" x14ac:dyDescent="0.3">
      <c r="AD24656" s="16"/>
    </row>
    <row r="24657" spans="30:30" x14ac:dyDescent="0.3">
      <c r="AD24657" s="16"/>
    </row>
    <row r="24658" spans="30:30" x14ac:dyDescent="0.3">
      <c r="AD24658" s="16"/>
    </row>
    <row r="24659" spans="30:30" x14ac:dyDescent="0.3">
      <c r="AD24659" s="16"/>
    </row>
    <row r="24660" spans="30:30" x14ac:dyDescent="0.3">
      <c r="AD24660" s="16"/>
    </row>
    <row r="24661" spans="30:30" x14ac:dyDescent="0.3">
      <c r="AD24661" s="16"/>
    </row>
    <row r="24662" spans="30:30" x14ac:dyDescent="0.3">
      <c r="AD24662" s="16"/>
    </row>
    <row r="24663" spans="30:30" x14ac:dyDescent="0.3">
      <c r="AD24663" s="16"/>
    </row>
    <row r="24664" spans="30:30" x14ac:dyDescent="0.3">
      <c r="AD24664" s="16"/>
    </row>
    <row r="24665" spans="30:30" x14ac:dyDescent="0.3">
      <c r="AD24665" s="16"/>
    </row>
    <row r="24666" spans="30:30" x14ac:dyDescent="0.3">
      <c r="AD24666" s="16"/>
    </row>
    <row r="24667" spans="30:30" x14ac:dyDescent="0.3">
      <c r="AD24667" s="16"/>
    </row>
    <row r="24668" spans="30:30" x14ac:dyDescent="0.3">
      <c r="AD24668" s="16"/>
    </row>
    <row r="24669" spans="30:30" x14ac:dyDescent="0.3">
      <c r="AD24669" s="16"/>
    </row>
    <row r="24670" spans="30:30" x14ac:dyDescent="0.3">
      <c r="AD24670" s="16"/>
    </row>
    <row r="24671" spans="30:30" x14ac:dyDescent="0.3">
      <c r="AD24671" s="16"/>
    </row>
    <row r="24672" spans="30:30" x14ac:dyDescent="0.3">
      <c r="AD24672" s="16"/>
    </row>
    <row r="24673" spans="30:30" x14ac:dyDescent="0.3">
      <c r="AD24673" s="16"/>
    </row>
    <row r="24674" spans="30:30" x14ac:dyDescent="0.3">
      <c r="AD24674" s="16"/>
    </row>
    <row r="24675" spans="30:30" x14ac:dyDescent="0.3">
      <c r="AD24675" s="16"/>
    </row>
    <row r="24676" spans="30:30" x14ac:dyDescent="0.3">
      <c r="AD24676" s="16"/>
    </row>
    <row r="24677" spans="30:30" x14ac:dyDescent="0.3">
      <c r="AD24677" s="16"/>
    </row>
    <row r="24678" spans="30:30" x14ac:dyDescent="0.3">
      <c r="AD24678" s="16"/>
    </row>
    <row r="24679" spans="30:30" x14ac:dyDescent="0.3">
      <c r="AD24679" s="16"/>
    </row>
    <row r="24680" spans="30:30" x14ac:dyDescent="0.3">
      <c r="AD24680" s="16"/>
    </row>
    <row r="24681" spans="30:30" x14ac:dyDescent="0.3">
      <c r="AD24681" s="16"/>
    </row>
    <row r="24682" spans="30:30" x14ac:dyDescent="0.3">
      <c r="AD24682" s="16"/>
    </row>
    <row r="24683" spans="30:30" x14ac:dyDescent="0.3">
      <c r="AD24683" s="16"/>
    </row>
    <row r="24684" spans="30:30" x14ac:dyDescent="0.3">
      <c r="AD24684" s="16"/>
    </row>
    <row r="24685" spans="30:30" x14ac:dyDescent="0.3">
      <c r="AD24685" s="16"/>
    </row>
    <row r="24686" spans="30:30" x14ac:dyDescent="0.3">
      <c r="AD24686" s="16"/>
    </row>
    <row r="24687" spans="30:30" x14ac:dyDescent="0.3">
      <c r="AD24687" s="16"/>
    </row>
    <row r="24688" spans="30:30" x14ac:dyDescent="0.3">
      <c r="AD24688" s="16"/>
    </row>
    <row r="24689" spans="30:30" x14ac:dyDescent="0.3">
      <c r="AD24689" s="16"/>
    </row>
    <row r="24690" spans="30:30" x14ac:dyDescent="0.3">
      <c r="AD24690" s="16"/>
    </row>
    <row r="24691" spans="30:30" x14ac:dyDescent="0.3">
      <c r="AD24691" s="16"/>
    </row>
    <row r="24692" spans="30:30" x14ac:dyDescent="0.3">
      <c r="AD24692" s="16"/>
    </row>
    <row r="24693" spans="30:30" x14ac:dyDescent="0.3">
      <c r="AD24693" s="16"/>
    </row>
    <row r="24694" spans="30:30" x14ac:dyDescent="0.3">
      <c r="AD24694" s="16"/>
    </row>
    <row r="24695" spans="30:30" x14ac:dyDescent="0.3">
      <c r="AD24695" s="16"/>
    </row>
    <row r="24696" spans="30:30" x14ac:dyDescent="0.3">
      <c r="AD24696" s="16"/>
    </row>
    <row r="24697" spans="30:30" x14ac:dyDescent="0.3">
      <c r="AD24697" s="16"/>
    </row>
    <row r="24698" spans="30:30" x14ac:dyDescent="0.3">
      <c r="AD24698" s="16"/>
    </row>
    <row r="24699" spans="30:30" x14ac:dyDescent="0.3">
      <c r="AD24699" s="16"/>
    </row>
    <row r="24700" spans="30:30" x14ac:dyDescent="0.3">
      <c r="AD24700" s="16"/>
    </row>
    <row r="24701" spans="30:30" x14ac:dyDescent="0.3">
      <c r="AD24701" s="16"/>
    </row>
    <row r="24702" spans="30:30" x14ac:dyDescent="0.3">
      <c r="AD24702" s="16"/>
    </row>
    <row r="24703" spans="30:30" x14ac:dyDescent="0.3">
      <c r="AD24703" s="16"/>
    </row>
    <row r="24704" spans="30:30" x14ac:dyDescent="0.3">
      <c r="AD24704" s="16"/>
    </row>
    <row r="24705" spans="30:30" x14ac:dyDescent="0.3">
      <c r="AD24705" s="16"/>
    </row>
    <row r="24706" spans="30:30" x14ac:dyDescent="0.3">
      <c r="AD24706" s="16"/>
    </row>
    <row r="24707" spans="30:30" x14ac:dyDescent="0.3">
      <c r="AD24707" s="16"/>
    </row>
    <row r="24708" spans="30:30" x14ac:dyDescent="0.3">
      <c r="AD24708" s="16"/>
    </row>
    <row r="24709" spans="30:30" x14ac:dyDescent="0.3">
      <c r="AD24709" s="16"/>
    </row>
    <row r="24710" spans="30:30" x14ac:dyDescent="0.3">
      <c r="AD24710" s="16"/>
    </row>
    <row r="24711" spans="30:30" x14ac:dyDescent="0.3">
      <c r="AD24711" s="16"/>
    </row>
    <row r="24712" spans="30:30" x14ac:dyDescent="0.3">
      <c r="AD24712" s="16"/>
    </row>
    <row r="24713" spans="30:30" x14ac:dyDescent="0.3">
      <c r="AD24713" s="16"/>
    </row>
    <row r="24714" spans="30:30" x14ac:dyDescent="0.3">
      <c r="AD24714" s="16"/>
    </row>
    <row r="24715" spans="30:30" x14ac:dyDescent="0.3">
      <c r="AD24715" s="16"/>
    </row>
    <row r="24716" spans="30:30" x14ac:dyDescent="0.3">
      <c r="AD24716" s="16"/>
    </row>
    <row r="24717" spans="30:30" x14ac:dyDescent="0.3">
      <c r="AD24717" s="16"/>
    </row>
    <row r="24718" spans="30:30" x14ac:dyDescent="0.3">
      <c r="AD24718" s="16"/>
    </row>
    <row r="24719" spans="30:30" x14ac:dyDescent="0.3">
      <c r="AD24719" s="16"/>
    </row>
    <row r="24720" spans="30:30" x14ac:dyDescent="0.3">
      <c r="AD24720" s="16"/>
    </row>
    <row r="24721" spans="30:30" x14ac:dyDescent="0.3">
      <c r="AD24721" s="16"/>
    </row>
    <row r="24722" spans="30:30" x14ac:dyDescent="0.3">
      <c r="AD24722" s="16"/>
    </row>
    <row r="24723" spans="30:30" x14ac:dyDescent="0.3">
      <c r="AD24723" s="16"/>
    </row>
    <row r="24724" spans="30:30" x14ac:dyDescent="0.3">
      <c r="AD24724" s="16"/>
    </row>
    <row r="24725" spans="30:30" x14ac:dyDescent="0.3">
      <c r="AD24725" s="16"/>
    </row>
    <row r="24726" spans="30:30" x14ac:dyDescent="0.3">
      <c r="AD24726" s="16"/>
    </row>
    <row r="24727" spans="30:30" x14ac:dyDescent="0.3">
      <c r="AD24727" s="16"/>
    </row>
    <row r="24728" spans="30:30" x14ac:dyDescent="0.3">
      <c r="AD24728" s="16"/>
    </row>
    <row r="24729" spans="30:30" x14ac:dyDescent="0.3">
      <c r="AD24729" s="16"/>
    </row>
    <row r="24730" spans="30:30" x14ac:dyDescent="0.3">
      <c r="AD24730" s="16"/>
    </row>
    <row r="24731" spans="30:30" x14ac:dyDescent="0.3">
      <c r="AD24731" s="16"/>
    </row>
    <row r="24732" spans="30:30" x14ac:dyDescent="0.3">
      <c r="AD24732" s="16"/>
    </row>
    <row r="24733" spans="30:30" x14ac:dyDescent="0.3">
      <c r="AD24733" s="16"/>
    </row>
    <row r="24734" spans="30:30" x14ac:dyDescent="0.3">
      <c r="AD24734" s="16"/>
    </row>
    <row r="24735" spans="30:30" x14ac:dyDescent="0.3">
      <c r="AD24735" s="16"/>
    </row>
    <row r="24736" spans="30:30" x14ac:dyDescent="0.3">
      <c r="AD24736" s="16"/>
    </row>
    <row r="24737" spans="30:30" x14ac:dyDescent="0.3">
      <c r="AD24737" s="16"/>
    </row>
    <row r="24738" spans="30:30" x14ac:dyDescent="0.3">
      <c r="AD24738" s="16"/>
    </row>
    <row r="24739" spans="30:30" x14ac:dyDescent="0.3">
      <c r="AD24739" s="16"/>
    </row>
    <row r="24740" spans="30:30" x14ac:dyDescent="0.3">
      <c r="AD24740" s="16"/>
    </row>
    <row r="24741" spans="30:30" x14ac:dyDescent="0.3">
      <c r="AD24741" s="16"/>
    </row>
    <row r="24742" spans="30:30" x14ac:dyDescent="0.3">
      <c r="AD24742" s="16"/>
    </row>
    <row r="24743" spans="30:30" x14ac:dyDescent="0.3">
      <c r="AD24743" s="16"/>
    </row>
    <row r="24744" spans="30:30" x14ac:dyDescent="0.3">
      <c r="AD24744" s="16"/>
    </row>
    <row r="24745" spans="30:30" x14ac:dyDescent="0.3">
      <c r="AD24745" s="16"/>
    </row>
    <row r="24746" spans="30:30" x14ac:dyDescent="0.3">
      <c r="AD24746" s="16"/>
    </row>
    <row r="24747" spans="30:30" x14ac:dyDescent="0.3">
      <c r="AD24747" s="16"/>
    </row>
    <row r="24748" spans="30:30" x14ac:dyDescent="0.3">
      <c r="AD24748" s="16"/>
    </row>
    <row r="24749" spans="30:30" x14ac:dyDescent="0.3">
      <c r="AD24749" s="16"/>
    </row>
    <row r="24750" spans="30:30" x14ac:dyDescent="0.3">
      <c r="AD24750" s="16"/>
    </row>
    <row r="24751" spans="30:30" x14ac:dyDescent="0.3">
      <c r="AD24751" s="16"/>
    </row>
    <row r="24752" spans="30:30" x14ac:dyDescent="0.3">
      <c r="AD24752" s="16"/>
    </row>
    <row r="24753" spans="30:30" x14ac:dyDescent="0.3">
      <c r="AD24753" s="16"/>
    </row>
    <row r="24754" spans="30:30" x14ac:dyDescent="0.3">
      <c r="AD24754" s="16"/>
    </row>
    <row r="24755" spans="30:30" x14ac:dyDescent="0.3">
      <c r="AD24755" s="16"/>
    </row>
    <row r="24756" spans="30:30" x14ac:dyDescent="0.3">
      <c r="AD24756" s="16"/>
    </row>
    <row r="24757" spans="30:30" x14ac:dyDescent="0.3">
      <c r="AD24757" s="16"/>
    </row>
    <row r="24758" spans="30:30" x14ac:dyDescent="0.3">
      <c r="AD24758" s="16"/>
    </row>
    <row r="24759" spans="30:30" x14ac:dyDescent="0.3">
      <c r="AD24759" s="16"/>
    </row>
    <row r="24760" spans="30:30" x14ac:dyDescent="0.3">
      <c r="AD24760" s="16"/>
    </row>
    <row r="24761" spans="30:30" x14ac:dyDescent="0.3">
      <c r="AD24761" s="16"/>
    </row>
    <row r="24762" spans="30:30" x14ac:dyDescent="0.3">
      <c r="AD24762" s="16"/>
    </row>
    <row r="24763" spans="30:30" x14ac:dyDescent="0.3">
      <c r="AD24763" s="16"/>
    </row>
    <row r="24764" spans="30:30" x14ac:dyDescent="0.3">
      <c r="AD24764" s="16"/>
    </row>
    <row r="24765" spans="30:30" x14ac:dyDescent="0.3">
      <c r="AD24765" s="16"/>
    </row>
    <row r="24766" spans="30:30" x14ac:dyDescent="0.3">
      <c r="AD24766" s="16"/>
    </row>
    <row r="24767" spans="30:30" x14ac:dyDescent="0.3">
      <c r="AD24767" s="16"/>
    </row>
    <row r="24768" spans="30:30" x14ac:dyDescent="0.3">
      <c r="AD24768" s="16"/>
    </row>
    <row r="24769" spans="30:30" x14ac:dyDescent="0.3">
      <c r="AD24769" s="16"/>
    </row>
    <row r="24770" spans="30:30" x14ac:dyDescent="0.3">
      <c r="AD24770" s="16"/>
    </row>
    <row r="24771" spans="30:30" x14ac:dyDescent="0.3">
      <c r="AD24771" s="16"/>
    </row>
    <row r="24772" spans="30:30" x14ac:dyDescent="0.3">
      <c r="AD24772" s="16"/>
    </row>
    <row r="24773" spans="30:30" x14ac:dyDescent="0.3">
      <c r="AD24773" s="16"/>
    </row>
    <row r="24774" spans="30:30" x14ac:dyDescent="0.3">
      <c r="AD24774" s="16"/>
    </row>
    <row r="24775" spans="30:30" x14ac:dyDescent="0.3">
      <c r="AD24775" s="16"/>
    </row>
    <row r="24776" spans="30:30" x14ac:dyDescent="0.3">
      <c r="AD24776" s="16"/>
    </row>
    <row r="24777" spans="30:30" x14ac:dyDescent="0.3">
      <c r="AD24777" s="16"/>
    </row>
    <row r="24778" spans="30:30" x14ac:dyDescent="0.3">
      <c r="AD24778" s="16"/>
    </row>
    <row r="24779" spans="30:30" x14ac:dyDescent="0.3">
      <c r="AD24779" s="16"/>
    </row>
    <row r="24780" spans="30:30" x14ac:dyDescent="0.3">
      <c r="AD24780" s="16"/>
    </row>
    <row r="24781" spans="30:30" x14ac:dyDescent="0.3">
      <c r="AD24781" s="16"/>
    </row>
    <row r="24782" spans="30:30" x14ac:dyDescent="0.3">
      <c r="AD24782" s="16"/>
    </row>
    <row r="24783" spans="30:30" x14ac:dyDescent="0.3">
      <c r="AD24783" s="16"/>
    </row>
    <row r="24784" spans="30:30" x14ac:dyDescent="0.3">
      <c r="AD24784" s="16"/>
    </row>
    <row r="24785" spans="30:30" x14ac:dyDescent="0.3">
      <c r="AD24785" s="16"/>
    </row>
    <row r="24786" spans="30:30" x14ac:dyDescent="0.3">
      <c r="AD24786" s="16"/>
    </row>
    <row r="24787" spans="30:30" x14ac:dyDescent="0.3">
      <c r="AD24787" s="16"/>
    </row>
    <row r="24788" spans="30:30" x14ac:dyDescent="0.3">
      <c r="AD24788" s="16"/>
    </row>
    <row r="24789" spans="30:30" x14ac:dyDescent="0.3">
      <c r="AD24789" s="16"/>
    </row>
    <row r="24790" spans="30:30" x14ac:dyDescent="0.3">
      <c r="AD24790" s="16"/>
    </row>
    <row r="24791" spans="30:30" x14ac:dyDescent="0.3">
      <c r="AD24791" s="16"/>
    </row>
    <row r="24792" spans="30:30" x14ac:dyDescent="0.3">
      <c r="AD24792" s="16"/>
    </row>
    <row r="24793" spans="30:30" x14ac:dyDescent="0.3">
      <c r="AD24793" s="16"/>
    </row>
    <row r="24794" spans="30:30" x14ac:dyDescent="0.3">
      <c r="AD24794" s="16"/>
    </row>
    <row r="24795" spans="30:30" x14ac:dyDescent="0.3">
      <c r="AD24795" s="16"/>
    </row>
    <row r="24796" spans="30:30" x14ac:dyDescent="0.3">
      <c r="AD24796" s="16"/>
    </row>
    <row r="24797" spans="30:30" x14ac:dyDescent="0.3">
      <c r="AD24797" s="16"/>
    </row>
    <row r="24798" spans="30:30" x14ac:dyDescent="0.3">
      <c r="AD24798" s="16"/>
    </row>
    <row r="24799" spans="30:30" x14ac:dyDescent="0.3">
      <c r="AD24799" s="16"/>
    </row>
    <row r="24800" spans="30:30" x14ac:dyDescent="0.3">
      <c r="AD24800" s="16"/>
    </row>
    <row r="24801" spans="30:30" x14ac:dyDescent="0.3">
      <c r="AD24801" s="16"/>
    </row>
    <row r="24802" spans="30:30" x14ac:dyDescent="0.3">
      <c r="AD24802" s="16"/>
    </row>
    <row r="24803" spans="30:30" x14ac:dyDescent="0.3">
      <c r="AD24803" s="16"/>
    </row>
    <row r="24804" spans="30:30" x14ac:dyDescent="0.3">
      <c r="AD24804" s="16"/>
    </row>
    <row r="24805" spans="30:30" x14ac:dyDescent="0.3">
      <c r="AD24805" s="16"/>
    </row>
    <row r="24806" spans="30:30" x14ac:dyDescent="0.3">
      <c r="AD24806" s="16"/>
    </row>
    <row r="24807" spans="30:30" x14ac:dyDescent="0.3">
      <c r="AD24807" s="16"/>
    </row>
    <row r="24808" spans="30:30" x14ac:dyDescent="0.3">
      <c r="AD24808" s="16"/>
    </row>
    <row r="24809" spans="30:30" x14ac:dyDescent="0.3">
      <c r="AD24809" s="16"/>
    </row>
    <row r="24810" spans="30:30" x14ac:dyDescent="0.3">
      <c r="AD24810" s="16"/>
    </row>
    <row r="24811" spans="30:30" x14ac:dyDescent="0.3">
      <c r="AD24811" s="16"/>
    </row>
    <row r="24812" spans="30:30" x14ac:dyDescent="0.3">
      <c r="AD24812" s="16"/>
    </row>
    <row r="24813" spans="30:30" x14ac:dyDescent="0.3">
      <c r="AD24813" s="16"/>
    </row>
    <row r="24814" spans="30:30" x14ac:dyDescent="0.3">
      <c r="AD24814" s="16"/>
    </row>
    <row r="24815" spans="30:30" x14ac:dyDescent="0.3">
      <c r="AD24815" s="16"/>
    </row>
    <row r="24816" spans="30:30" x14ac:dyDescent="0.3">
      <c r="AD24816" s="16"/>
    </row>
    <row r="24817" spans="30:30" x14ac:dyDescent="0.3">
      <c r="AD24817" s="16"/>
    </row>
    <row r="24818" spans="30:30" x14ac:dyDescent="0.3">
      <c r="AD24818" s="16"/>
    </row>
    <row r="24819" spans="30:30" x14ac:dyDescent="0.3">
      <c r="AD24819" s="16"/>
    </row>
    <row r="24820" spans="30:30" x14ac:dyDescent="0.3">
      <c r="AD24820" s="16"/>
    </row>
    <row r="24821" spans="30:30" x14ac:dyDescent="0.3">
      <c r="AD24821" s="16"/>
    </row>
    <row r="24822" spans="30:30" x14ac:dyDescent="0.3">
      <c r="AD24822" s="16"/>
    </row>
    <row r="24823" spans="30:30" x14ac:dyDescent="0.3">
      <c r="AD24823" s="16"/>
    </row>
    <row r="24824" spans="30:30" x14ac:dyDescent="0.3">
      <c r="AD24824" s="16"/>
    </row>
    <row r="24825" spans="30:30" x14ac:dyDescent="0.3">
      <c r="AD24825" s="16"/>
    </row>
    <row r="24826" spans="30:30" x14ac:dyDescent="0.3">
      <c r="AD24826" s="16"/>
    </row>
    <row r="24827" spans="30:30" x14ac:dyDescent="0.3">
      <c r="AD24827" s="16"/>
    </row>
    <row r="24828" spans="30:30" x14ac:dyDescent="0.3">
      <c r="AD24828" s="16"/>
    </row>
    <row r="24829" spans="30:30" x14ac:dyDescent="0.3">
      <c r="AD24829" s="16"/>
    </row>
    <row r="24830" spans="30:30" x14ac:dyDescent="0.3">
      <c r="AD24830" s="16"/>
    </row>
    <row r="24831" spans="30:30" x14ac:dyDescent="0.3">
      <c r="AD24831" s="16"/>
    </row>
    <row r="24832" spans="30:30" x14ac:dyDescent="0.3">
      <c r="AD24832" s="16"/>
    </row>
    <row r="24833" spans="30:30" x14ac:dyDescent="0.3">
      <c r="AD24833" s="16"/>
    </row>
    <row r="24834" spans="30:30" x14ac:dyDescent="0.3">
      <c r="AD24834" s="16"/>
    </row>
    <row r="24835" spans="30:30" x14ac:dyDescent="0.3">
      <c r="AD24835" s="16"/>
    </row>
    <row r="24836" spans="30:30" x14ac:dyDescent="0.3">
      <c r="AD24836" s="16"/>
    </row>
    <row r="24837" spans="30:30" x14ac:dyDescent="0.3">
      <c r="AD24837" s="16"/>
    </row>
    <row r="24838" spans="30:30" x14ac:dyDescent="0.3">
      <c r="AD24838" s="16"/>
    </row>
    <row r="24839" spans="30:30" x14ac:dyDescent="0.3">
      <c r="AD24839" s="16"/>
    </row>
    <row r="24840" spans="30:30" x14ac:dyDescent="0.3">
      <c r="AD24840" s="16"/>
    </row>
    <row r="24841" spans="30:30" x14ac:dyDescent="0.3">
      <c r="AD24841" s="16"/>
    </row>
    <row r="24842" spans="30:30" x14ac:dyDescent="0.3">
      <c r="AD24842" s="16"/>
    </row>
    <row r="24843" spans="30:30" x14ac:dyDescent="0.3">
      <c r="AD24843" s="16"/>
    </row>
    <row r="24844" spans="30:30" x14ac:dyDescent="0.3">
      <c r="AD24844" s="16"/>
    </row>
    <row r="24845" spans="30:30" x14ac:dyDescent="0.3">
      <c r="AD24845" s="16"/>
    </row>
    <row r="24846" spans="30:30" x14ac:dyDescent="0.3">
      <c r="AD24846" s="16"/>
    </row>
    <row r="24847" spans="30:30" x14ac:dyDescent="0.3">
      <c r="AD24847" s="16"/>
    </row>
    <row r="24848" spans="30:30" x14ac:dyDescent="0.3">
      <c r="AD24848" s="16"/>
    </row>
    <row r="24849" spans="30:30" x14ac:dyDescent="0.3">
      <c r="AD24849" s="16"/>
    </row>
    <row r="24850" spans="30:30" x14ac:dyDescent="0.3">
      <c r="AD24850" s="16"/>
    </row>
    <row r="24851" spans="30:30" x14ac:dyDescent="0.3">
      <c r="AD24851" s="16"/>
    </row>
    <row r="24852" spans="30:30" x14ac:dyDescent="0.3">
      <c r="AD24852" s="16"/>
    </row>
    <row r="24853" spans="30:30" x14ac:dyDescent="0.3">
      <c r="AD24853" s="16"/>
    </row>
    <row r="24854" spans="30:30" x14ac:dyDescent="0.3">
      <c r="AD24854" s="16"/>
    </row>
    <row r="24855" spans="30:30" x14ac:dyDescent="0.3">
      <c r="AD24855" s="16"/>
    </row>
    <row r="24856" spans="30:30" x14ac:dyDescent="0.3">
      <c r="AD24856" s="16"/>
    </row>
    <row r="24857" spans="30:30" x14ac:dyDescent="0.3">
      <c r="AD24857" s="16"/>
    </row>
    <row r="24858" spans="30:30" x14ac:dyDescent="0.3">
      <c r="AD24858" s="16"/>
    </row>
    <row r="24859" spans="30:30" x14ac:dyDescent="0.3">
      <c r="AD24859" s="16"/>
    </row>
    <row r="24860" spans="30:30" x14ac:dyDescent="0.3">
      <c r="AD24860" s="16"/>
    </row>
    <row r="24861" spans="30:30" x14ac:dyDescent="0.3">
      <c r="AD24861" s="16"/>
    </row>
    <row r="24862" spans="30:30" x14ac:dyDescent="0.3">
      <c r="AD24862" s="16"/>
    </row>
    <row r="24863" spans="30:30" x14ac:dyDescent="0.3">
      <c r="AD24863" s="16"/>
    </row>
    <row r="24864" spans="30:30" x14ac:dyDescent="0.3">
      <c r="AD24864" s="16"/>
    </row>
    <row r="24865" spans="30:30" x14ac:dyDescent="0.3">
      <c r="AD24865" s="16"/>
    </row>
    <row r="24866" spans="30:30" x14ac:dyDescent="0.3">
      <c r="AD24866" s="16"/>
    </row>
    <row r="24867" spans="30:30" x14ac:dyDescent="0.3">
      <c r="AD24867" s="16"/>
    </row>
    <row r="24868" spans="30:30" x14ac:dyDescent="0.3">
      <c r="AD24868" s="16"/>
    </row>
    <row r="24869" spans="30:30" x14ac:dyDescent="0.3">
      <c r="AD24869" s="16"/>
    </row>
    <row r="24870" spans="30:30" x14ac:dyDescent="0.3">
      <c r="AD24870" s="16"/>
    </row>
    <row r="24871" spans="30:30" x14ac:dyDescent="0.3">
      <c r="AD24871" s="16"/>
    </row>
    <row r="24872" spans="30:30" x14ac:dyDescent="0.3">
      <c r="AD24872" s="16"/>
    </row>
    <row r="24873" spans="30:30" x14ac:dyDescent="0.3">
      <c r="AD24873" s="16"/>
    </row>
    <row r="24874" spans="30:30" x14ac:dyDescent="0.3">
      <c r="AD24874" s="16"/>
    </row>
    <row r="24875" spans="30:30" x14ac:dyDescent="0.3">
      <c r="AD24875" s="16"/>
    </row>
    <row r="24876" spans="30:30" x14ac:dyDescent="0.3">
      <c r="AD24876" s="16"/>
    </row>
    <row r="24877" spans="30:30" x14ac:dyDescent="0.3">
      <c r="AD24877" s="16"/>
    </row>
    <row r="24878" spans="30:30" x14ac:dyDescent="0.3">
      <c r="AD24878" s="16"/>
    </row>
    <row r="24879" spans="30:30" x14ac:dyDescent="0.3">
      <c r="AD24879" s="16"/>
    </row>
    <row r="24880" spans="30:30" x14ac:dyDescent="0.3">
      <c r="AD24880" s="16"/>
    </row>
    <row r="24881" spans="30:30" x14ac:dyDescent="0.3">
      <c r="AD24881" s="16"/>
    </row>
    <row r="24882" spans="30:30" x14ac:dyDescent="0.3">
      <c r="AD24882" s="16"/>
    </row>
    <row r="24883" spans="30:30" x14ac:dyDescent="0.3">
      <c r="AD24883" s="16"/>
    </row>
    <row r="24884" spans="30:30" x14ac:dyDescent="0.3">
      <c r="AD24884" s="16"/>
    </row>
    <row r="24885" spans="30:30" x14ac:dyDescent="0.3">
      <c r="AD24885" s="16"/>
    </row>
    <row r="24886" spans="30:30" x14ac:dyDescent="0.3">
      <c r="AD24886" s="16"/>
    </row>
    <row r="24887" spans="30:30" x14ac:dyDescent="0.3">
      <c r="AD24887" s="16"/>
    </row>
    <row r="24888" spans="30:30" x14ac:dyDescent="0.3">
      <c r="AD24888" s="16"/>
    </row>
    <row r="24889" spans="30:30" x14ac:dyDescent="0.3">
      <c r="AD24889" s="16"/>
    </row>
    <row r="24890" spans="30:30" x14ac:dyDescent="0.3">
      <c r="AD24890" s="16"/>
    </row>
    <row r="24891" spans="30:30" x14ac:dyDescent="0.3">
      <c r="AD24891" s="16"/>
    </row>
    <row r="24892" spans="30:30" x14ac:dyDescent="0.3">
      <c r="AD24892" s="16"/>
    </row>
    <row r="24893" spans="30:30" x14ac:dyDescent="0.3">
      <c r="AD24893" s="16"/>
    </row>
    <row r="24894" spans="30:30" x14ac:dyDescent="0.3">
      <c r="AD24894" s="16"/>
    </row>
    <row r="24895" spans="30:30" x14ac:dyDescent="0.3">
      <c r="AD24895" s="16"/>
    </row>
    <row r="24896" spans="30:30" x14ac:dyDescent="0.3">
      <c r="AD24896" s="16"/>
    </row>
    <row r="24897" spans="30:30" x14ac:dyDescent="0.3">
      <c r="AD24897" s="16"/>
    </row>
    <row r="24898" spans="30:30" x14ac:dyDescent="0.3">
      <c r="AD24898" s="16"/>
    </row>
    <row r="24899" spans="30:30" x14ac:dyDescent="0.3">
      <c r="AD24899" s="16"/>
    </row>
    <row r="24900" spans="30:30" x14ac:dyDescent="0.3">
      <c r="AD24900" s="16"/>
    </row>
    <row r="24901" spans="30:30" x14ac:dyDescent="0.3">
      <c r="AD24901" s="16"/>
    </row>
    <row r="24902" spans="30:30" x14ac:dyDescent="0.3">
      <c r="AD24902" s="16"/>
    </row>
    <row r="24903" spans="30:30" x14ac:dyDescent="0.3">
      <c r="AD24903" s="16"/>
    </row>
    <row r="24904" spans="30:30" x14ac:dyDescent="0.3">
      <c r="AD24904" s="16"/>
    </row>
    <row r="24905" spans="30:30" x14ac:dyDescent="0.3">
      <c r="AD24905" s="16"/>
    </row>
    <row r="24906" spans="30:30" x14ac:dyDescent="0.3">
      <c r="AD24906" s="16"/>
    </row>
    <row r="24907" spans="30:30" x14ac:dyDescent="0.3">
      <c r="AD24907" s="16"/>
    </row>
    <row r="24908" spans="30:30" x14ac:dyDescent="0.3">
      <c r="AD24908" s="16"/>
    </row>
    <row r="24909" spans="30:30" x14ac:dyDescent="0.3">
      <c r="AD24909" s="16"/>
    </row>
    <row r="24910" spans="30:30" x14ac:dyDescent="0.3">
      <c r="AD24910" s="16"/>
    </row>
    <row r="24911" spans="30:30" x14ac:dyDescent="0.3">
      <c r="AD24911" s="16"/>
    </row>
    <row r="24912" spans="30:30" x14ac:dyDescent="0.3">
      <c r="AD24912" s="16"/>
    </row>
    <row r="24913" spans="30:30" x14ac:dyDescent="0.3">
      <c r="AD24913" s="16"/>
    </row>
    <row r="24914" spans="30:30" x14ac:dyDescent="0.3">
      <c r="AD24914" s="16"/>
    </row>
    <row r="24915" spans="30:30" x14ac:dyDescent="0.3">
      <c r="AD24915" s="16"/>
    </row>
    <row r="24916" spans="30:30" x14ac:dyDescent="0.3">
      <c r="AD24916" s="16"/>
    </row>
    <row r="24917" spans="30:30" x14ac:dyDescent="0.3">
      <c r="AD24917" s="16"/>
    </row>
    <row r="24918" spans="30:30" x14ac:dyDescent="0.3">
      <c r="AD24918" s="16"/>
    </row>
    <row r="24919" spans="30:30" x14ac:dyDescent="0.3">
      <c r="AD24919" s="16"/>
    </row>
    <row r="24920" spans="30:30" x14ac:dyDescent="0.3">
      <c r="AD24920" s="16"/>
    </row>
    <row r="24921" spans="30:30" x14ac:dyDescent="0.3">
      <c r="AD24921" s="16"/>
    </row>
    <row r="24922" spans="30:30" x14ac:dyDescent="0.3">
      <c r="AD24922" s="16"/>
    </row>
    <row r="24923" spans="30:30" x14ac:dyDescent="0.3">
      <c r="AD24923" s="16"/>
    </row>
    <row r="24924" spans="30:30" x14ac:dyDescent="0.3">
      <c r="AD24924" s="16"/>
    </row>
    <row r="24925" spans="30:30" x14ac:dyDescent="0.3">
      <c r="AD24925" s="16"/>
    </row>
    <row r="24926" spans="30:30" x14ac:dyDescent="0.3">
      <c r="AD24926" s="16"/>
    </row>
    <row r="24927" spans="30:30" x14ac:dyDescent="0.3">
      <c r="AD24927" s="16"/>
    </row>
    <row r="24928" spans="30:30" x14ac:dyDescent="0.3">
      <c r="AD24928" s="16"/>
    </row>
    <row r="24929" spans="30:30" x14ac:dyDescent="0.3">
      <c r="AD24929" s="16"/>
    </row>
    <row r="24930" spans="30:30" x14ac:dyDescent="0.3">
      <c r="AD24930" s="16"/>
    </row>
    <row r="24931" spans="30:30" x14ac:dyDescent="0.3">
      <c r="AD24931" s="16"/>
    </row>
    <row r="24932" spans="30:30" x14ac:dyDescent="0.3">
      <c r="AD24932" s="16"/>
    </row>
    <row r="24933" spans="30:30" x14ac:dyDescent="0.3">
      <c r="AD24933" s="16"/>
    </row>
    <row r="24934" spans="30:30" x14ac:dyDescent="0.3">
      <c r="AD24934" s="16"/>
    </row>
    <row r="24935" spans="30:30" x14ac:dyDescent="0.3">
      <c r="AD24935" s="16"/>
    </row>
    <row r="24936" spans="30:30" x14ac:dyDescent="0.3">
      <c r="AD24936" s="16"/>
    </row>
    <row r="24937" spans="30:30" x14ac:dyDescent="0.3">
      <c r="AD24937" s="16"/>
    </row>
    <row r="24938" spans="30:30" x14ac:dyDescent="0.3">
      <c r="AD24938" s="16"/>
    </row>
    <row r="24939" spans="30:30" x14ac:dyDescent="0.3">
      <c r="AD24939" s="16"/>
    </row>
    <row r="24940" spans="30:30" x14ac:dyDescent="0.3">
      <c r="AD24940" s="16"/>
    </row>
    <row r="24941" spans="30:30" x14ac:dyDescent="0.3">
      <c r="AD24941" s="16"/>
    </row>
    <row r="24942" spans="30:30" x14ac:dyDescent="0.3">
      <c r="AD24942" s="16"/>
    </row>
    <row r="24943" spans="30:30" x14ac:dyDescent="0.3">
      <c r="AD24943" s="16"/>
    </row>
    <row r="24944" spans="30:30" x14ac:dyDescent="0.3">
      <c r="AD24944" s="16"/>
    </row>
    <row r="24945" spans="30:30" x14ac:dyDescent="0.3">
      <c r="AD24945" s="16"/>
    </row>
    <row r="24946" spans="30:30" x14ac:dyDescent="0.3">
      <c r="AD24946" s="16"/>
    </row>
    <row r="24947" spans="30:30" x14ac:dyDescent="0.3">
      <c r="AD24947" s="16"/>
    </row>
    <row r="24948" spans="30:30" x14ac:dyDescent="0.3">
      <c r="AD24948" s="16"/>
    </row>
    <row r="24949" spans="30:30" x14ac:dyDescent="0.3">
      <c r="AD24949" s="16"/>
    </row>
    <row r="24950" spans="30:30" x14ac:dyDescent="0.3">
      <c r="AD24950" s="16"/>
    </row>
    <row r="24951" spans="30:30" x14ac:dyDescent="0.3">
      <c r="AD24951" s="16"/>
    </row>
    <row r="24952" spans="30:30" x14ac:dyDescent="0.3">
      <c r="AD24952" s="16"/>
    </row>
    <row r="24953" spans="30:30" x14ac:dyDescent="0.3">
      <c r="AD24953" s="16"/>
    </row>
    <row r="24954" spans="30:30" x14ac:dyDescent="0.3">
      <c r="AD24954" s="16"/>
    </row>
    <row r="24955" spans="30:30" x14ac:dyDescent="0.3">
      <c r="AD24955" s="16"/>
    </row>
    <row r="24956" spans="30:30" x14ac:dyDescent="0.3">
      <c r="AD24956" s="16"/>
    </row>
    <row r="24957" spans="30:30" x14ac:dyDescent="0.3">
      <c r="AD24957" s="16"/>
    </row>
    <row r="24958" spans="30:30" x14ac:dyDescent="0.3">
      <c r="AD24958" s="16"/>
    </row>
    <row r="24959" spans="30:30" x14ac:dyDescent="0.3">
      <c r="AD24959" s="16"/>
    </row>
    <row r="24960" spans="30:30" x14ac:dyDescent="0.3">
      <c r="AD24960" s="16"/>
    </row>
    <row r="24961" spans="30:30" x14ac:dyDescent="0.3">
      <c r="AD24961" s="16"/>
    </row>
    <row r="24962" spans="30:30" x14ac:dyDescent="0.3">
      <c r="AD24962" s="16"/>
    </row>
    <row r="24963" spans="30:30" x14ac:dyDescent="0.3">
      <c r="AD24963" s="16"/>
    </row>
    <row r="24964" spans="30:30" x14ac:dyDescent="0.3">
      <c r="AD24964" s="16"/>
    </row>
    <row r="24965" spans="30:30" x14ac:dyDescent="0.3">
      <c r="AD24965" s="16"/>
    </row>
    <row r="24966" spans="30:30" x14ac:dyDescent="0.3">
      <c r="AD24966" s="16"/>
    </row>
    <row r="24967" spans="30:30" x14ac:dyDescent="0.3">
      <c r="AD24967" s="16"/>
    </row>
    <row r="24968" spans="30:30" x14ac:dyDescent="0.3">
      <c r="AD24968" s="16"/>
    </row>
    <row r="24969" spans="30:30" x14ac:dyDescent="0.3">
      <c r="AD24969" s="16"/>
    </row>
    <row r="24970" spans="30:30" x14ac:dyDescent="0.3">
      <c r="AD24970" s="16"/>
    </row>
    <row r="24971" spans="30:30" x14ac:dyDescent="0.3">
      <c r="AD24971" s="16"/>
    </row>
    <row r="24972" spans="30:30" x14ac:dyDescent="0.3">
      <c r="AD24972" s="16"/>
    </row>
    <row r="24973" spans="30:30" x14ac:dyDescent="0.3">
      <c r="AD24973" s="16"/>
    </row>
    <row r="24974" spans="30:30" x14ac:dyDescent="0.3">
      <c r="AD24974" s="16"/>
    </row>
    <row r="24975" spans="30:30" x14ac:dyDescent="0.3">
      <c r="AD24975" s="16"/>
    </row>
    <row r="24976" spans="30:30" x14ac:dyDescent="0.3">
      <c r="AD24976" s="16"/>
    </row>
    <row r="24977" spans="30:30" x14ac:dyDescent="0.3">
      <c r="AD24977" s="16"/>
    </row>
    <row r="24978" spans="30:30" x14ac:dyDescent="0.3">
      <c r="AD24978" s="16"/>
    </row>
    <row r="24979" spans="30:30" x14ac:dyDescent="0.3">
      <c r="AD24979" s="16"/>
    </row>
    <row r="24980" spans="30:30" x14ac:dyDescent="0.3">
      <c r="AD24980" s="16"/>
    </row>
    <row r="24981" spans="30:30" x14ac:dyDescent="0.3">
      <c r="AD24981" s="16"/>
    </row>
    <row r="24982" spans="30:30" x14ac:dyDescent="0.3">
      <c r="AD24982" s="16"/>
    </row>
    <row r="24983" spans="30:30" x14ac:dyDescent="0.3">
      <c r="AD24983" s="16"/>
    </row>
    <row r="24984" spans="30:30" x14ac:dyDescent="0.3">
      <c r="AD24984" s="16"/>
    </row>
    <row r="24985" spans="30:30" x14ac:dyDescent="0.3">
      <c r="AD24985" s="16"/>
    </row>
    <row r="24986" spans="30:30" x14ac:dyDescent="0.3">
      <c r="AD24986" s="16"/>
    </row>
    <row r="24987" spans="30:30" x14ac:dyDescent="0.3">
      <c r="AD24987" s="16"/>
    </row>
    <row r="24988" spans="30:30" x14ac:dyDescent="0.3">
      <c r="AD24988" s="16"/>
    </row>
    <row r="24989" spans="30:30" x14ac:dyDescent="0.3">
      <c r="AD24989" s="16"/>
    </row>
    <row r="24990" spans="30:30" x14ac:dyDescent="0.3">
      <c r="AD24990" s="16"/>
    </row>
    <row r="24991" spans="30:30" x14ac:dyDescent="0.3">
      <c r="AD24991" s="16"/>
    </row>
    <row r="24992" spans="30:30" x14ac:dyDescent="0.3">
      <c r="AD24992" s="16"/>
    </row>
    <row r="24993" spans="30:30" x14ac:dyDescent="0.3">
      <c r="AD24993" s="16"/>
    </row>
    <row r="24994" spans="30:30" x14ac:dyDescent="0.3">
      <c r="AD24994" s="16"/>
    </row>
    <row r="24995" spans="30:30" x14ac:dyDescent="0.3">
      <c r="AD24995" s="16"/>
    </row>
    <row r="24996" spans="30:30" x14ac:dyDescent="0.3">
      <c r="AD24996" s="16"/>
    </row>
    <row r="24997" spans="30:30" x14ac:dyDescent="0.3">
      <c r="AD24997" s="16"/>
    </row>
    <row r="24998" spans="30:30" x14ac:dyDescent="0.3">
      <c r="AD24998" s="16"/>
    </row>
    <row r="24999" spans="30:30" x14ac:dyDescent="0.3">
      <c r="AD24999" s="16"/>
    </row>
    <row r="25000" spans="30:30" x14ac:dyDescent="0.3">
      <c r="AD25000" s="16"/>
    </row>
    <row r="25001" spans="30:30" x14ac:dyDescent="0.3">
      <c r="AD25001" s="16"/>
    </row>
    <row r="25002" spans="30:30" x14ac:dyDescent="0.3">
      <c r="AD25002" s="16"/>
    </row>
    <row r="25003" spans="30:30" x14ac:dyDescent="0.3">
      <c r="AD25003" s="16"/>
    </row>
    <row r="25004" spans="30:30" x14ac:dyDescent="0.3">
      <c r="AD25004" s="16"/>
    </row>
    <row r="25005" spans="30:30" x14ac:dyDescent="0.3">
      <c r="AD25005" s="16"/>
    </row>
    <row r="25006" spans="30:30" x14ac:dyDescent="0.3">
      <c r="AD25006" s="16"/>
    </row>
    <row r="25007" spans="30:30" x14ac:dyDescent="0.3">
      <c r="AD25007" s="16"/>
    </row>
    <row r="25008" spans="30:30" x14ac:dyDescent="0.3">
      <c r="AD25008" s="16"/>
    </row>
    <row r="25009" spans="30:30" x14ac:dyDescent="0.3">
      <c r="AD25009" s="16"/>
    </row>
    <row r="25010" spans="30:30" x14ac:dyDescent="0.3">
      <c r="AD25010" s="16"/>
    </row>
    <row r="25011" spans="30:30" x14ac:dyDescent="0.3">
      <c r="AD25011" s="16"/>
    </row>
    <row r="25012" spans="30:30" x14ac:dyDescent="0.3">
      <c r="AD25012" s="16"/>
    </row>
    <row r="25013" spans="30:30" x14ac:dyDescent="0.3">
      <c r="AD25013" s="16"/>
    </row>
    <row r="25014" spans="30:30" x14ac:dyDescent="0.3">
      <c r="AD25014" s="16"/>
    </row>
    <row r="25015" spans="30:30" x14ac:dyDescent="0.3">
      <c r="AD25015" s="16"/>
    </row>
    <row r="25016" spans="30:30" x14ac:dyDescent="0.3">
      <c r="AD25016" s="16"/>
    </row>
    <row r="25017" spans="30:30" x14ac:dyDescent="0.3">
      <c r="AD25017" s="16"/>
    </row>
    <row r="25018" spans="30:30" x14ac:dyDescent="0.3">
      <c r="AD25018" s="16"/>
    </row>
    <row r="25019" spans="30:30" x14ac:dyDescent="0.3">
      <c r="AD25019" s="16"/>
    </row>
    <row r="25020" spans="30:30" x14ac:dyDescent="0.3">
      <c r="AD25020" s="16"/>
    </row>
    <row r="25021" spans="30:30" x14ac:dyDescent="0.3">
      <c r="AD25021" s="16"/>
    </row>
    <row r="25022" spans="30:30" x14ac:dyDescent="0.3">
      <c r="AD25022" s="16"/>
    </row>
    <row r="25023" spans="30:30" x14ac:dyDescent="0.3">
      <c r="AD25023" s="16"/>
    </row>
    <row r="25024" spans="30:30" x14ac:dyDescent="0.3">
      <c r="AD25024" s="16"/>
    </row>
    <row r="25025" spans="30:30" x14ac:dyDescent="0.3">
      <c r="AD25025" s="16"/>
    </row>
    <row r="25026" spans="30:30" x14ac:dyDescent="0.3">
      <c r="AD25026" s="16"/>
    </row>
    <row r="25027" spans="30:30" x14ac:dyDescent="0.3">
      <c r="AD25027" s="16"/>
    </row>
    <row r="25028" spans="30:30" x14ac:dyDescent="0.3">
      <c r="AD25028" s="16"/>
    </row>
    <row r="25029" spans="30:30" x14ac:dyDescent="0.3">
      <c r="AD25029" s="16"/>
    </row>
    <row r="25030" spans="30:30" x14ac:dyDescent="0.3">
      <c r="AD25030" s="16"/>
    </row>
    <row r="25031" spans="30:30" x14ac:dyDescent="0.3">
      <c r="AD25031" s="16"/>
    </row>
    <row r="25032" spans="30:30" x14ac:dyDescent="0.3">
      <c r="AD25032" s="16"/>
    </row>
    <row r="25033" spans="30:30" x14ac:dyDescent="0.3">
      <c r="AD25033" s="16"/>
    </row>
    <row r="25034" spans="30:30" x14ac:dyDescent="0.3">
      <c r="AD25034" s="16"/>
    </row>
    <row r="25035" spans="30:30" x14ac:dyDescent="0.3">
      <c r="AD25035" s="16"/>
    </row>
    <row r="25036" spans="30:30" x14ac:dyDescent="0.3">
      <c r="AD25036" s="16"/>
    </row>
    <row r="25037" spans="30:30" x14ac:dyDescent="0.3">
      <c r="AD25037" s="16"/>
    </row>
    <row r="25038" spans="30:30" x14ac:dyDescent="0.3">
      <c r="AD25038" s="16"/>
    </row>
    <row r="25039" spans="30:30" x14ac:dyDescent="0.3">
      <c r="AD25039" s="16"/>
    </row>
    <row r="25040" spans="30:30" x14ac:dyDescent="0.3">
      <c r="AD25040" s="16"/>
    </row>
    <row r="25041" spans="30:30" x14ac:dyDescent="0.3">
      <c r="AD25041" s="16"/>
    </row>
    <row r="25042" spans="30:30" x14ac:dyDescent="0.3">
      <c r="AD25042" s="16"/>
    </row>
    <row r="25043" spans="30:30" x14ac:dyDescent="0.3">
      <c r="AD25043" s="16"/>
    </row>
    <row r="25044" spans="30:30" x14ac:dyDescent="0.3">
      <c r="AD25044" s="16"/>
    </row>
    <row r="25045" spans="30:30" x14ac:dyDescent="0.3">
      <c r="AD25045" s="16"/>
    </row>
    <row r="25046" spans="30:30" x14ac:dyDescent="0.3">
      <c r="AD25046" s="16"/>
    </row>
    <row r="25047" spans="30:30" x14ac:dyDescent="0.3">
      <c r="AD25047" s="16"/>
    </row>
    <row r="25048" spans="30:30" x14ac:dyDescent="0.3">
      <c r="AD25048" s="16"/>
    </row>
    <row r="25049" spans="30:30" x14ac:dyDescent="0.3">
      <c r="AD25049" s="16"/>
    </row>
    <row r="25050" spans="30:30" x14ac:dyDescent="0.3">
      <c r="AD25050" s="16"/>
    </row>
    <row r="25051" spans="30:30" x14ac:dyDescent="0.3">
      <c r="AD25051" s="16"/>
    </row>
    <row r="25052" spans="30:30" x14ac:dyDescent="0.3">
      <c r="AD25052" s="16"/>
    </row>
    <row r="25053" spans="30:30" x14ac:dyDescent="0.3">
      <c r="AD25053" s="16"/>
    </row>
    <row r="25054" spans="30:30" x14ac:dyDescent="0.3">
      <c r="AD25054" s="16"/>
    </row>
    <row r="25055" spans="30:30" x14ac:dyDescent="0.3">
      <c r="AD25055" s="16"/>
    </row>
    <row r="25056" spans="30:30" x14ac:dyDescent="0.3">
      <c r="AD25056" s="16"/>
    </row>
    <row r="25057" spans="30:30" x14ac:dyDescent="0.3">
      <c r="AD25057" s="16"/>
    </row>
    <row r="25058" spans="30:30" x14ac:dyDescent="0.3">
      <c r="AD25058" s="16"/>
    </row>
    <row r="25059" spans="30:30" x14ac:dyDescent="0.3">
      <c r="AD25059" s="16"/>
    </row>
    <row r="25060" spans="30:30" x14ac:dyDescent="0.3">
      <c r="AD25060" s="16"/>
    </row>
    <row r="25061" spans="30:30" x14ac:dyDescent="0.3">
      <c r="AD25061" s="16"/>
    </row>
    <row r="25062" spans="30:30" x14ac:dyDescent="0.3">
      <c r="AD25062" s="16"/>
    </row>
    <row r="25063" spans="30:30" x14ac:dyDescent="0.3">
      <c r="AD25063" s="16"/>
    </row>
    <row r="25064" spans="30:30" x14ac:dyDescent="0.3">
      <c r="AD25064" s="16"/>
    </row>
    <row r="25065" spans="30:30" x14ac:dyDescent="0.3">
      <c r="AD25065" s="16"/>
    </row>
    <row r="25066" spans="30:30" x14ac:dyDescent="0.3">
      <c r="AD25066" s="16"/>
    </row>
    <row r="25067" spans="30:30" x14ac:dyDescent="0.3">
      <c r="AD25067" s="16"/>
    </row>
    <row r="25068" spans="30:30" x14ac:dyDescent="0.3">
      <c r="AD25068" s="16"/>
    </row>
    <row r="25069" spans="30:30" x14ac:dyDescent="0.3">
      <c r="AD25069" s="16"/>
    </row>
    <row r="25070" spans="30:30" x14ac:dyDescent="0.3">
      <c r="AD25070" s="16"/>
    </row>
    <row r="25071" spans="30:30" x14ac:dyDescent="0.3">
      <c r="AD25071" s="16"/>
    </row>
    <row r="25072" spans="30:30" x14ac:dyDescent="0.3">
      <c r="AD25072" s="16"/>
    </row>
    <row r="25073" spans="30:30" x14ac:dyDescent="0.3">
      <c r="AD25073" s="16"/>
    </row>
    <row r="25074" spans="30:30" x14ac:dyDescent="0.3">
      <c r="AD25074" s="16"/>
    </row>
    <row r="25075" spans="30:30" x14ac:dyDescent="0.3">
      <c r="AD25075" s="16"/>
    </row>
    <row r="25076" spans="30:30" x14ac:dyDescent="0.3">
      <c r="AD25076" s="16"/>
    </row>
    <row r="25077" spans="30:30" x14ac:dyDescent="0.3">
      <c r="AD25077" s="16"/>
    </row>
    <row r="25078" spans="30:30" x14ac:dyDescent="0.3">
      <c r="AD25078" s="16"/>
    </row>
    <row r="25079" spans="30:30" x14ac:dyDescent="0.3">
      <c r="AD25079" s="16"/>
    </row>
    <row r="25080" spans="30:30" x14ac:dyDescent="0.3">
      <c r="AD25080" s="16"/>
    </row>
    <row r="25081" spans="30:30" x14ac:dyDescent="0.3">
      <c r="AD25081" s="16"/>
    </row>
    <row r="25082" spans="30:30" x14ac:dyDescent="0.3">
      <c r="AD25082" s="16"/>
    </row>
    <row r="25083" spans="30:30" x14ac:dyDescent="0.3">
      <c r="AD25083" s="16"/>
    </row>
    <row r="25084" spans="30:30" x14ac:dyDescent="0.3">
      <c r="AD25084" s="16"/>
    </row>
    <row r="25085" spans="30:30" x14ac:dyDescent="0.3">
      <c r="AD25085" s="16"/>
    </row>
    <row r="25086" spans="30:30" x14ac:dyDescent="0.3">
      <c r="AD25086" s="16"/>
    </row>
    <row r="25087" spans="30:30" x14ac:dyDescent="0.3">
      <c r="AD25087" s="16"/>
    </row>
    <row r="25088" spans="30:30" x14ac:dyDescent="0.3">
      <c r="AD25088" s="16"/>
    </row>
    <row r="25089" spans="30:30" x14ac:dyDescent="0.3">
      <c r="AD25089" s="16"/>
    </row>
    <row r="25090" spans="30:30" x14ac:dyDescent="0.3">
      <c r="AD25090" s="16"/>
    </row>
    <row r="25091" spans="30:30" x14ac:dyDescent="0.3">
      <c r="AD25091" s="16"/>
    </row>
    <row r="25092" spans="30:30" x14ac:dyDescent="0.3">
      <c r="AD25092" s="16"/>
    </row>
    <row r="25093" spans="30:30" x14ac:dyDescent="0.3">
      <c r="AD25093" s="16"/>
    </row>
    <row r="25094" spans="30:30" x14ac:dyDescent="0.3">
      <c r="AD25094" s="16"/>
    </row>
    <row r="25095" spans="30:30" x14ac:dyDescent="0.3">
      <c r="AD25095" s="16"/>
    </row>
    <row r="25096" spans="30:30" x14ac:dyDescent="0.3">
      <c r="AD25096" s="16"/>
    </row>
    <row r="25097" spans="30:30" x14ac:dyDescent="0.3">
      <c r="AD25097" s="16"/>
    </row>
    <row r="25098" spans="30:30" x14ac:dyDescent="0.3">
      <c r="AD25098" s="16"/>
    </row>
    <row r="25099" spans="30:30" x14ac:dyDescent="0.3">
      <c r="AD25099" s="16"/>
    </row>
    <row r="25100" spans="30:30" x14ac:dyDescent="0.3">
      <c r="AD25100" s="16"/>
    </row>
    <row r="25101" spans="30:30" x14ac:dyDescent="0.3">
      <c r="AD25101" s="16"/>
    </row>
    <row r="25102" spans="30:30" x14ac:dyDescent="0.3">
      <c r="AD25102" s="16"/>
    </row>
    <row r="25103" spans="30:30" x14ac:dyDescent="0.3">
      <c r="AD25103" s="16"/>
    </row>
    <row r="25104" spans="30:30" x14ac:dyDescent="0.3">
      <c r="AD25104" s="16"/>
    </row>
    <row r="25105" spans="30:30" x14ac:dyDescent="0.3">
      <c r="AD25105" s="16"/>
    </row>
    <row r="25106" spans="30:30" x14ac:dyDescent="0.3">
      <c r="AD25106" s="16"/>
    </row>
    <row r="25107" spans="30:30" x14ac:dyDescent="0.3">
      <c r="AD25107" s="16"/>
    </row>
    <row r="25108" spans="30:30" x14ac:dyDescent="0.3">
      <c r="AD25108" s="16"/>
    </row>
    <row r="25109" spans="30:30" x14ac:dyDescent="0.3">
      <c r="AD25109" s="16"/>
    </row>
    <row r="25110" spans="30:30" x14ac:dyDescent="0.3">
      <c r="AD25110" s="16"/>
    </row>
    <row r="25111" spans="30:30" x14ac:dyDescent="0.3">
      <c r="AD25111" s="16"/>
    </row>
    <row r="25112" spans="30:30" x14ac:dyDescent="0.3">
      <c r="AD25112" s="16"/>
    </row>
    <row r="25113" spans="30:30" x14ac:dyDescent="0.3">
      <c r="AD25113" s="16"/>
    </row>
    <row r="25114" spans="30:30" x14ac:dyDescent="0.3">
      <c r="AD25114" s="16"/>
    </row>
    <row r="25115" spans="30:30" x14ac:dyDescent="0.3">
      <c r="AD25115" s="16"/>
    </row>
    <row r="25116" spans="30:30" x14ac:dyDescent="0.3">
      <c r="AD25116" s="16"/>
    </row>
    <row r="25117" spans="30:30" x14ac:dyDescent="0.3">
      <c r="AD25117" s="16"/>
    </row>
    <row r="25118" spans="30:30" x14ac:dyDescent="0.3">
      <c r="AD25118" s="16"/>
    </row>
    <row r="25119" spans="30:30" x14ac:dyDescent="0.3">
      <c r="AD25119" s="16"/>
    </row>
    <row r="25120" spans="30:30" x14ac:dyDescent="0.3">
      <c r="AD25120" s="16"/>
    </row>
    <row r="25121" spans="30:30" x14ac:dyDescent="0.3">
      <c r="AD25121" s="16"/>
    </row>
    <row r="25122" spans="30:30" x14ac:dyDescent="0.3">
      <c r="AD25122" s="16"/>
    </row>
    <row r="25123" spans="30:30" x14ac:dyDescent="0.3">
      <c r="AD25123" s="16"/>
    </row>
    <row r="25124" spans="30:30" x14ac:dyDescent="0.3">
      <c r="AD25124" s="16"/>
    </row>
    <row r="25125" spans="30:30" x14ac:dyDescent="0.3">
      <c r="AD25125" s="16"/>
    </row>
    <row r="25126" spans="30:30" x14ac:dyDescent="0.3">
      <c r="AD25126" s="16"/>
    </row>
    <row r="25127" spans="30:30" x14ac:dyDescent="0.3">
      <c r="AD25127" s="16"/>
    </row>
    <row r="25128" spans="30:30" x14ac:dyDescent="0.3">
      <c r="AD25128" s="16"/>
    </row>
    <row r="25129" spans="30:30" x14ac:dyDescent="0.3">
      <c r="AD25129" s="16"/>
    </row>
    <row r="25130" spans="30:30" x14ac:dyDescent="0.3">
      <c r="AD25130" s="16"/>
    </row>
    <row r="25131" spans="30:30" x14ac:dyDescent="0.3">
      <c r="AD25131" s="16"/>
    </row>
    <row r="25132" spans="30:30" x14ac:dyDescent="0.3">
      <c r="AD25132" s="16"/>
    </row>
    <row r="25133" spans="30:30" x14ac:dyDescent="0.3">
      <c r="AD25133" s="16"/>
    </row>
    <row r="25134" spans="30:30" x14ac:dyDescent="0.3">
      <c r="AD25134" s="16"/>
    </row>
    <row r="25135" spans="30:30" x14ac:dyDescent="0.3">
      <c r="AD25135" s="16"/>
    </row>
    <row r="25136" spans="30:30" x14ac:dyDescent="0.3">
      <c r="AD25136" s="16"/>
    </row>
    <row r="25137" spans="30:30" x14ac:dyDescent="0.3">
      <c r="AD25137" s="16"/>
    </row>
    <row r="25138" spans="30:30" x14ac:dyDescent="0.3">
      <c r="AD25138" s="16"/>
    </row>
    <row r="25139" spans="30:30" x14ac:dyDescent="0.3">
      <c r="AD25139" s="16"/>
    </row>
    <row r="25140" spans="30:30" x14ac:dyDescent="0.3">
      <c r="AD25140" s="16"/>
    </row>
    <row r="25141" spans="30:30" x14ac:dyDescent="0.3">
      <c r="AD25141" s="16"/>
    </row>
    <row r="25142" spans="30:30" x14ac:dyDescent="0.3">
      <c r="AD25142" s="16"/>
    </row>
    <row r="25143" spans="30:30" x14ac:dyDescent="0.3">
      <c r="AD25143" s="16"/>
    </row>
    <row r="25144" spans="30:30" x14ac:dyDescent="0.3">
      <c r="AD25144" s="16"/>
    </row>
    <row r="25145" spans="30:30" x14ac:dyDescent="0.3">
      <c r="AD25145" s="16"/>
    </row>
    <row r="25146" spans="30:30" x14ac:dyDescent="0.3">
      <c r="AD25146" s="16"/>
    </row>
    <row r="25147" spans="30:30" x14ac:dyDescent="0.3">
      <c r="AD25147" s="16"/>
    </row>
    <row r="25148" spans="30:30" x14ac:dyDescent="0.3">
      <c r="AD25148" s="16"/>
    </row>
    <row r="25149" spans="30:30" x14ac:dyDescent="0.3">
      <c r="AD25149" s="16"/>
    </row>
    <row r="25150" spans="30:30" x14ac:dyDescent="0.3">
      <c r="AD25150" s="16"/>
    </row>
    <row r="25151" spans="30:30" x14ac:dyDescent="0.3">
      <c r="AD25151" s="16"/>
    </row>
    <row r="25152" spans="30:30" x14ac:dyDescent="0.3">
      <c r="AD25152" s="16"/>
    </row>
    <row r="25153" spans="30:30" x14ac:dyDescent="0.3">
      <c r="AD25153" s="16"/>
    </row>
    <row r="25154" spans="30:30" x14ac:dyDescent="0.3">
      <c r="AD25154" s="16"/>
    </row>
    <row r="25155" spans="30:30" x14ac:dyDescent="0.3">
      <c r="AD25155" s="16"/>
    </row>
    <row r="25156" spans="30:30" x14ac:dyDescent="0.3">
      <c r="AD25156" s="16"/>
    </row>
    <row r="25157" spans="30:30" x14ac:dyDescent="0.3">
      <c r="AD25157" s="16"/>
    </row>
    <row r="25158" spans="30:30" x14ac:dyDescent="0.3">
      <c r="AD25158" s="16"/>
    </row>
    <row r="25159" spans="30:30" x14ac:dyDescent="0.3">
      <c r="AD25159" s="16"/>
    </row>
    <row r="25160" spans="30:30" x14ac:dyDescent="0.3">
      <c r="AD25160" s="16"/>
    </row>
    <row r="25161" spans="30:30" x14ac:dyDescent="0.3">
      <c r="AD25161" s="16"/>
    </row>
    <row r="25162" spans="30:30" x14ac:dyDescent="0.3">
      <c r="AD25162" s="16"/>
    </row>
    <row r="25163" spans="30:30" x14ac:dyDescent="0.3">
      <c r="AD25163" s="16"/>
    </row>
    <row r="25164" spans="30:30" x14ac:dyDescent="0.3">
      <c r="AD25164" s="16"/>
    </row>
    <row r="25165" spans="30:30" x14ac:dyDescent="0.3">
      <c r="AD25165" s="16"/>
    </row>
    <row r="25166" spans="30:30" x14ac:dyDescent="0.3">
      <c r="AD25166" s="16"/>
    </row>
    <row r="25167" spans="30:30" x14ac:dyDescent="0.3">
      <c r="AD25167" s="16"/>
    </row>
    <row r="25168" spans="30:30" x14ac:dyDescent="0.3">
      <c r="AD25168" s="16"/>
    </row>
    <row r="25169" spans="30:30" x14ac:dyDescent="0.3">
      <c r="AD25169" s="16"/>
    </row>
    <row r="25170" spans="30:30" x14ac:dyDescent="0.3">
      <c r="AD25170" s="16"/>
    </row>
    <row r="25171" spans="30:30" x14ac:dyDescent="0.3">
      <c r="AD25171" s="16"/>
    </row>
    <row r="25172" spans="30:30" x14ac:dyDescent="0.3">
      <c r="AD25172" s="16"/>
    </row>
    <row r="25173" spans="30:30" x14ac:dyDescent="0.3">
      <c r="AD25173" s="16"/>
    </row>
    <row r="25174" spans="30:30" x14ac:dyDescent="0.3">
      <c r="AD25174" s="16"/>
    </row>
    <row r="25175" spans="30:30" x14ac:dyDescent="0.3">
      <c r="AD25175" s="16"/>
    </row>
    <row r="25176" spans="30:30" x14ac:dyDescent="0.3">
      <c r="AD25176" s="16"/>
    </row>
    <row r="25177" spans="30:30" x14ac:dyDescent="0.3">
      <c r="AD25177" s="16"/>
    </row>
    <row r="25178" spans="30:30" x14ac:dyDescent="0.3">
      <c r="AD25178" s="16"/>
    </row>
    <row r="25179" spans="30:30" x14ac:dyDescent="0.3">
      <c r="AD25179" s="16"/>
    </row>
    <row r="25180" spans="30:30" x14ac:dyDescent="0.3">
      <c r="AD25180" s="16"/>
    </row>
    <row r="25181" spans="30:30" x14ac:dyDescent="0.3">
      <c r="AD25181" s="16"/>
    </row>
    <row r="25182" spans="30:30" x14ac:dyDescent="0.3">
      <c r="AD25182" s="16"/>
    </row>
    <row r="25183" spans="30:30" x14ac:dyDescent="0.3">
      <c r="AD25183" s="16"/>
    </row>
    <row r="25184" spans="30:30" x14ac:dyDescent="0.3">
      <c r="AD25184" s="16"/>
    </row>
    <row r="25185" spans="30:30" x14ac:dyDescent="0.3">
      <c r="AD25185" s="16"/>
    </row>
    <row r="25186" spans="30:30" x14ac:dyDescent="0.3">
      <c r="AD25186" s="16"/>
    </row>
    <row r="25187" spans="30:30" x14ac:dyDescent="0.3">
      <c r="AD25187" s="16"/>
    </row>
    <row r="25188" spans="30:30" x14ac:dyDescent="0.3">
      <c r="AD25188" s="16"/>
    </row>
    <row r="25189" spans="30:30" x14ac:dyDescent="0.3">
      <c r="AD25189" s="16"/>
    </row>
    <row r="25190" spans="30:30" x14ac:dyDescent="0.3">
      <c r="AD25190" s="16"/>
    </row>
    <row r="25191" spans="30:30" x14ac:dyDescent="0.3">
      <c r="AD25191" s="16"/>
    </row>
    <row r="25192" spans="30:30" x14ac:dyDescent="0.3">
      <c r="AD25192" s="16"/>
    </row>
    <row r="25193" spans="30:30" x14ac:dyDescent="0.3">
      <c r="AD25193" s="16"/>
    </row>
    <row r="25194" spans="30:30" x14ac:dyDescent="0.3">
      <c r="AD25194" s="16"/>
    </row>
    <row r="25195" spans="30:30" x14ac:dyDescent="0.3">
      <c r="AD25195" s="16"/>
    </row>
    <row r="25196" spans="30:30" x14ac:dyDescent="0.3">
      <c r="AD25196" s="16"/>
    </row>
    <row r="25197" spans="30:30" x14ac:dyDescent="0.3">
      <c r="AD25197" s="16"/>
    </row>
    <row r="25198" spans="30:30" x14ac:dyDescent="0.3">
      <c r="AD25198" s="16"/>
    </row>
    <row r="25199" spans="30:30" x14ac:dyDescent="0.3">
      <c r="AD25199" s="16"/>
    </row>
    <row r="25200" spans="30:30" x14ac:dyDescent="0.3">
      <c r="AD25200" s="16"/>
    </row>
    <row r="25201" spans="30:30" x14ac:dyDescent="0.3">
      <c r="AD25201" s="16"/>
    </row>
    <row r="25202" spans="30:30" x14ac:dyDescent="0.3">
      <c r="AD25202" s="16"/>
    </row>
    <row r="25203" spans="30:30" x14ac:dyDescent="0.3">
      <c r="AD25203" s="16"/>
    </row>
    <row r="25204" spans="30:30" x14ac:dyDescent="0.3">
      <c r="AD25204" s="16"/>
    </row>
    <row r="25205" spans="30:30" x14ac:dyDescent="0.3">
      <c r="AD25205" s="16"/>
    </row>
    <row r="25206" spans="30:30" x14ac:dyDescent="0.3">
      <c r="AD25206" s="16"/>
    </row>
    <row r="25207" spans="30:30" x14ac:dyDescent="0.3">
      <c r="AD25207" s="16"/>
    </row>
    <row r="25208" spans="30:30" x14ac:dyDescent="0.3">
      <c r="AD25208" s="16"/>
    </row>
    <row r="25209" spans="30:30" x14ac:dyDescent="0.3">
      <c r="AD25209" s="16"/>
    </row>
    <row r="25210" spans="30:30" x14ac:dyDescent="0.3">
      <c r="AD25210" s="16"/>
    </row>
    <row r="25211" spans="30:30" x14ac:dyDescent="0.3">
      <c r="AD25211" s="16"/>
    </row>
    <row r="25212" spans="30:30" x14ac:dyDescent="0.3">
      <c r="AD25212" s="16"/>
    </row>
    <row r="25213" spans="30:30" x14ac:dyDescent="0.3">
      <c r="AD25213" s="16"/>
    </row>
    <row r="25214" spans="30:30" x14ac:dyDescent="0.3">
      <c r="AD25214" s="16"/>
    </row>
    <row r="25215" spans="30:30" x14ac:dyDescent="0.3">
      <c r="AD25215" s="16"/>
    </row>
    <row r="25216" spans="30:30" x14ac:dyDescent="0.3">
      <c r="AD25216" s="16"/>
    </row>
    <row r="25217" spans="30:30" x14ac:dyDescent="0.3">
      <c r="AD25217" s="16"/>
    </row>
    <row r="25218" spans="30:30" x14ac:dyDescent="0.3">
      <c r="AD25218" s="16"/>
    </row>
    <row r="25219" spans="30:30" x14ac:dyDescent="0.3">
      <c r="AD25219" s="16"/>
    </row>
    <row r="25220" spans="30:30" x14ac:dyDescent="0.3">
      <c r="AD25220" s="16"/>
    </row>
    <row r="25221" spans="30:30" x14ac:dyDescent="0.3">
      <c r="AD25221" s="16"/>
    </row>
    <row r="25222" spans="30:30" x14ac:dyDescent="0.3">
      <c r="AD25222" s="16"/>
    </row>
    <row r="25223" spans="30:30" x14ac:dyDescent="0.3">
      <c r="AD25223" s="16"/>
    </row>
    <row r="25224" spans="30:30" x14ac:dyDescent="0.3">
      <c r="AD25224" s="16"/>
    </row>
    <row r="25225" spans="30:30" x14ac:dyDescent="0.3">
      <c r="AD25225" s="16"/>
    </row>
    <row r="25226" spans="30:30" x14ac:dyDescent="0.3">
      <c r="AD25226" s="16"/>
    </row>
    <row r="25227" spans="30:30" x14ac:dyDescent="0.3">
      <c r="AD25227" s="16"/>
    </row>
    <row r="25228" spans="30:30" x14ac:dyDescent="0.3">
      <c r="AD25228" s="16"/>
    </row>
    <row r="25229" spans="30:30" x14ac:dyDescent="0.3">
      <c r="AD25229" s="16"/>
    </row>
    <row r="25230" spans="30:30" x14ac:dyDescent="0.3">
      <c r="AD25230" s="16"/>
    </row>
    <row r="25231" spans="30:30" x14ac:dyDescent="0.3">
      <c r="AD25231" s="16"/>
    </row>
    <row r="25232" spans="30:30" x14ac:dyDescent="0.3">
      <c r="AD25232" s="16"/>
    </row>
    <row r="25233" spans="30:30" x14ac:dyDescent="0.3">
      <c r="AD25233" s="16"/>
    </row>
    <row r="25234" spans="30:30" x14ac:dyDescent="0.3">
      <c r="AD25234" s="16"/>
    </row>
    <row r="25235" spans="30:30" x14ac:dyDescent="0.3">
      <c r="AD25235" s="16"/>
    </row>
    <row r="25236" spans="30:30" x14ac:dyDescent="0.3">
      <c r="AD25236" s="16"/>
    </row>
    <row r="25237" spans="30:30" x14ac:dyDescent="0.3">
      <c r="AD25237" s="16"/>
    </row>
    <row r="25238" spans="30:30" x14ac:dyDescent="0.3">
      <c r="AD25238" s="16"/>
    </row>
    <row r="25239" spans="30:30" x14ac:dyDescent="0.3">
      <c r="AD25239" s="16"/>
    </row>
    <row r="25240" spans="30:30" x14ac:dyDescent="0.3">
      <c r="AD25240" s="16"/>
    </row>
    <row r="25241" spans="30:30" x14ac:dyDescent="0.3">
      <c r="AD25241" s="16"/>
    </row>
    <row r="25242" spans="30:30" x14ac:dyDescent="0.3">
      <c r="AD25242" s="16"/>
    </row>
    <row r="25243" spans="30:30" x14ac:dyDescent="0.3">
      <c r="AD25243" s="16"/>
    </row>
    <row r="25244" spans="30:30" x14ac:dyDescent="0.3">
      <c r="AD25244" s="16"/>
    </row>
    <row r="25245" spans="30:30" x14ac:dyDescent="0.3">
      <c r="AD25245" s="16"/>
    </row>
    <row r="25246" spans="30:30" x14ac:dyDescent="0.3">
      <c r="AD25246" s="16"/>
    </row>
    <row r="25247" spans="30:30" x14ac:dyDescent="0.3">
      <c r="AD25247" s="16"/>
    </row>
    <row r="25248" spans="30:30" x14ac:dyDescent="0.3">
      <c r="AD25248" s="16"/>
    </row>
    <row r="25249" spans="30:30" x14ac:dyDescent="0.3">
      <c r="AD25249" s="16"/>
    </row>
    <row r="25250" spans="30:30" x14ac:dyDescent="0.3">
      <c r="AD25250" s="16"/>
    </row>
    <row r="25251" spans="30:30" x14ac:dyDescent="0.3">
      <c r="AD25251" s="16"/>
    </row>
    <row r="25252" spans="30:30" x14ac:dyDescent="0.3">
      <c r="AD25252" s="16"/>
    </row>
    <row r="25253" spans="30:30" x14ac:dyDescent="0.3">
      <c r="AD25253" s="16"/>
    </row>
    <row r="25254" spans="30:30" x14ac:dyDescent="0.3">
      <c r="AD25254" s="16"/>
    </row>
    <row r="25255" spans="30:30" x14ac:dyDescent="0.3">
      <c r="AD25255" s="16"/>
    </row>
    <row r="25256" spans="30:30" x14ac:dyDescent="0.3">
      <c r="AD25256" s="16"/>
    </row>
    <row r="25257" spans="30:30" x14ac:dyDescent="0.3">
      <c r="AD25257" s="16"/>
    </row>
    <row r="25258" spans="30:30" x14ac:dyDescent="0.3">
      <c r="AD25258" s="16"/>
    </row>
    <row r="25259" spans="30:30" x14ac:dyDescent="0.3">
      <c r="AD25259" s="16"/>
    </row>
    <row r="25260" spans="30:30" x14ac:dyDescent="0.3">
      <c r="AD25260" s="16"/>
    </row>
    <row r="25261" spans="30:30" x14ac:dyDescent="0.3">
      <c r="AD25261" s="16"/>
    </row>
    <row r="25262" spans="30:30" x14ac:dyDescent="0.3">
      <c r="AD25262" s="16"/>
    </row>
    <row r="25263" spans="30:30" x14ac:dyDescent="0.3">
      <c r="AD25263" s="16"/>
    </row>
    <row r="25264" spans="30:30" x14ac:dyDescent="0.3">
      <c r="AD25264" s="16"/>
    </row>
    <row r="25265" spans="30:30" x14ac:dyDescent="0.3">
      <c r="AD25265" s="16"/>
    </row>
    <row r="25266" spans="30:30" x14ac:dyDescent="0.3">
      <c r="AD25266" s="16"/>
    </row>
    <row r="25267" spans="30:30" x14ac:dyDescent="0.3">
      <c r="AD25267" s="16"/>
    </row>
    <row r="25268" spans="30:30" x14ac:dyDescent="0.3">
      <c r="AD25268" s="16"/>
    </row>
    <row r="25269" spans="30:30" x14ac:dyDescent="0.3">
      <c r="AD25269" s="16"/>
    </row>
    <row r="25270" spans="30:30" x14ac:dyDescent="0.3">
      <c r="AD25270" s="16"/>
    </row>
    <row r="25271" spans="30:30" x14ac:dyDescent="0.3">
      <c r="AD25271" s="16"/>
    </row>
    <row r="25272" spans="30:30" x14ac:dyDescent="0.3">
      <c r="AD25272" s="16"/>
    </row>
    <row r="25273" spans="30:30" x14ac:dyDescent="0.3">
      <c r="AD25273" s="16"/>
    </row>
    <row r="25274" spans="30:30" x14ac:dyDescent="0.3">
      <c r="AD25274" s="16"/>
    </row>
    <row r="25275" spans="30:30" x14ac:dyDescent="0.3">
      <c r="AD25275" s="16"/>
    </row>
    <row r="25276" spans="30:30" x14ac:dyDescent="0.3">
      <c r="AD25276" s="16"/>
    </row>
    <row r="25277" spans="30:30" x14ac:dyDescent="0.3">
      <c r="AD25277" s="16"/>
    </row>
    <row r="25278" spans="30:30" x14ac:dyDescent="0.3">
      <c r="AD25278" s="16"/>
    </row>
    <row r="25279" spans="30:30" x14ac:dyDescent="0.3">
      <c r="AD25279" s="16"/>
    </row>
    <row r="25280" spans="30:30" x14ac:dyDescent="0.3">
      <c r="AD25280" s="16"/>
    </row>
    <row r="25281" spans="30:30" x14ac:dyDescent="0.3">
      <c r="AD25281" s="16"/>
    </row>
    <row r="25282" spans="30:30" x14ac:dyDescent="0.3">
      <c r="AD25282" s="16"/>
    </row>
    <row r="25283" spans="30:30" x14ac:dyDescent="0.3">
      <c r="AD25283" s="16"/>
    </row>
    <row r="25284" spans="30:30" x14ac:dyDescent="0.3">
      <c r="AD25284" s="16"/>
    </row>
    <row r="25285" spans="30:30" x14ac:dyDescent="0.3">
      <c r="AD25285" s="16"/>
    </row>
    <row r="25286" spans="30:30" x14ac:dyDescent="0.3">
      <c r="AD25286" s="16"/>
    </row>
    <row r="25287" spans="30:30" x14ac:dyDescent="0.3">
      <c r="AD25287" s="16"/>
    </row>
    <row r="25288" spans="30:30" x14ac:dyDescent="0.3">
      <c r="AD25288" s="16"/>
    </row>
    <row r="25289" spans="30:30" x14ac:dyDescent="0.3">
      <c r="AD25289" s="16"/>
    </row>
    <row r="25290" spans="30:30" x14ac:dyDescent="0.3">
      <c r="AD25290" s="16"/>
    </row>
    <row r="25291" spans="30:30" x14ac:dyDescent="0.3">
      <c r="AD25291" s="16"/>
    </row>
    <row r="25292" spans="30:30" x14ac:dyDescent="0.3">
      <c r="AD25292" s="16"/>
    </row>
    <row r="25293" spans="30:30" x14ac:dyDescent="0.3">
      <c r="AD25293" s="16"/>
    </row>
    <row r="25294" spans="30:30" x14ac:dyDescent="0.3">
      <c r="AD25294" s="16"/>
    </row>
    <row r="25295" spans="30:30" x14ac:dyDescent="0.3">
      <c r="AD25295" s="16"/>
    </row>
    <row r="25296" spans="30:30" x14ac:dyDescent="0.3">
      <c r="AD25296" s="16"/>
    </row>
    <row r="25297" spans="30:30" x14ac:dyDescent="0.3">
      <c r="AD25297" s="16"/>
    </row>
    <row r="25298" spans="30:30" x14ac:dyDescent="0.3">
      <c r="AD25298" s="16"/>
    </row>
    <row r="25299" spans="30:30" x14ac:dyDescent="0.3">
      <c r="AD25299" s="16"/>
    </row>
    <row r="25300" spans="30:30" x14ac:dyDescent="0.3">
      <c r="AD25300" s="16"/>
    </row>
    <row r="25301" spans="30:30" x14ac:dyDescent="0.3">
      <c r="AD25301" s="16"/>
    </row>
    <row r="25302" spans="30:30" x14ac:dyDescent="0.3">
      <c r="AD25302" s="16"/>
    </row>
    <row r="25303" spans="30:30" x14ac:dyDescent="0.3">
      <c r="AD25303" s="16"/>
    </row>
    <row r="25304" spans="30:30" x14ac:dyDescent="0.3">
      <c r="AD25304" s="16"/>
    </row>
    <row r="25305" spans="30:30" x14ac:dyDescent="0.3">
      <c r="AD25305" s="16"/>
    </row>
    <row r="25306" spans="30:30" x14ac:dyDescent="0.3">
      <c r="AD25306" s="16"/>
    </row>
    <row r="25307" spans="30:30" x14ac:dyDescent="0.3">
      <c r="AD25307" s="16"/>
    </row>
    <row r="25308" spans="30:30" x14ac:dyDescent="0.3">
      <c r="AD25308" s="16"/>
    </row>
    <row r="25309" spans="30:30" x14ac:dyDescent="0.3">
      <c r="AD25309" s="16"/>
    </row>
    <row r="25310" spans="30:30" x14ac:dyDescent="0.3">
      <c r="AD25310" s="16"/>
    </row>
    <row r="25311" spans="30:30" x14ac:dyDescent="0.3">
      <c r="AD25311" s="16"/>
    </row>
    <row r="25312" spans="30:30" x14ac:dyDescent="0.3">
      <c r="AD25312" s="16"/>
    </row>
    <row r="25313" spans="30:30" x14ac:dyDescent="0.3">
      <c r="AD25313" s="16"/>
    </row>
    <row r="25314" spans="30:30" x14ac:dyDescent="0.3">
      <c r="AD25314" s="16"/>
    </row>
    <row r="25315" spans="30:30" x14ac:dyDescent="0.3">
      <c r="AD25315" s="16"/>
    </row>
    <row r="25316" spans="30:30" x14ac:dyDescent="0.3">
      <c r="AD25316" s="16"/>
    </row>
    <row r="25317" spans="30:30" x14ac:dyDescent="0.3">
      <c r="AD25317" s="16"/>
    </row>
    <row r="25318" spans="30:30" x14ac:dyDescent="0.3">
      <c r="AD25318" s="16"/>
    </row>
    <row r="25319" spans="30:30" x14ac:dyDescent="0.3">
      <c r="AD25319" s="16"/>
    </row>
    <row r="25320" spans="30:30" x14ac:dyDescent="0.3">
      <c r="AD25320" s="16"/>
    </row>
    <row r="25321" spans="30:30" x14ac:dyDescent="0.3">
      <c r="AD25321" s="16"/>
    </row>
    <row r="25322" spans="30:30" x14ac:dyDescent="0.3">
      <c r="AD25322" s="16"/>
    </row>
    <row r="25323" spans="30:30" x14ac:dyDescent="0.3">
      <c r="AD25323" s="16"/>
    </row>
    <row r="25324" spans="30:30" x14ac:dyDescent="0.3">
      <c r="AD25324" s="16"/>
    </row>
    <row r="25325" spans="30:30" x14ac:dyDescent="0.3">
      <c r="AD25325" s="16"/>
    </row>
    <row r="25326" spans="30:30" x14ac:dyDescent="0.3">
      <c r="AD25326" s="16"/>
    </row>
    <row r="25327" spans="30:30" x14ac:dyDescent="0.3">
      <c r="AD25327" s="16"/>
    </row>
    <row r="25328" spans="30:30" x14ac:dyDescent="0.3">
      <c r="AD25328" s="16"/>
    </row>
    <row r="25329" spans="30:30" x14ac:dyDescent="0.3">
      <c r="AD25329" s="16"/>
    </row>
    <row r="25330" spans="30:30" x14ac:dyDescent="0.3">
      <c r="AD25330" s="16"/>
    </row>
    <row r="25331" spans="30:30" x14ac:dyDescent="0.3">
      <c r="AD25331" s="16"/>
    </row>
    <row r="25332" spans="30:30" x14ac:dyDescent="0.3">
      <c r="AD25332" s="16"/>
    </row>
    <row r="25333" spans="30:30" x14ac:dyDescent="0.3">
      <c r="AD25333" s="16"/>
    </row>
    <row r="25334" spans="30:30" x14ac:dyDescent="0.3">
      <c r="AD25334" s="16"/>
    </row>
    <row r="25335" spans="30:30" x14ac:dyDescent="0.3">
      <c r="AD25335" s="16"/>
    </row>
    <row r="25336" spans="30:30" x14ac:dyDescent="0.3">
      <c r="AD25336" s="16"/>
    </row>
    <row r="25337" spans="30:30" x14ac:dyDescent="0.3">
      <c r="AD25337" s="16"/>
    </row>
    <row r="25338" spans="30:30" x14ac:dyDescent="0.3">
      <c r="AD25338" s="16"/>
    </row>
    <row r="25339" spans="30:30" x14ac:dyDescent="0.3">
      <c r="AD25339" s="16"/>
    </row>
    <row r="25340" spans="30:30" x14ac:dyDescent="0.3">
      <c r="AD25340" s="16"/>
    </row>
    <row r="25341" spans="30:30" x14ac:dyDescent="0.3">
      <c r="AD25341" s="16"/>
    </row>
    <row r="25342" spans="30:30" x14ac:dyDescent="0.3">
      <c r="AD25342" s="16"/>
    </row>
    <row r="25343" spans="30:30" x14ac:dyDescent="0.3">
      <c r="AD25343" s="16"/>
    </row>
    <row r="25344" spans="30:30" x14ac:dyDescent="0.3">
      <c r="AD25344" s="16"/>
    </row>
    <row r="25345" spans="30:30" x14ac:dyDescent="0.3">
      <c r="AD25345" s="16"/>
    </row>
    <row r="25346" spans="30:30" x14ac:dyDescent="0.3">
      <c r="AD25346" s="16"/>
    </row>
    <row r="25347" spans="30:30" x14ac:dyDescent="0.3">
      <c r="AD25347" s="16"/>
    </row>
    <row r="25348" spans="30:30" x14ac:dyDescent="0.3">
      <c r="AD25348" s="16"/>
    </row>
    <row r="25349" spans="30:30" x14ac:dyDescent="0.3">
      <c r="AD25349" s="16"/>
    </row>
    <row r="25350" spans="30:30" x14ac:dyDescent="0.3">
      <c r="AD25350" s="16"/>
    </row>
    <row r="25351" spans="30:30" x14ac:dyDescent="0.3">
      <c r="AD25351" s="16"/>
    </row>
    <row r="25352" spans="30:30" x14ac:dyDescent="0.3">
      <c r="AD25352" s="16"/>
    </row>
    <row r="25353" spans="30:30" x14ac:dyDescent="0.3">
      <c r="AD25353" s="16"/>
    </row>
    <row r="25354" spans="30:30" x14ac:dyDescent="0.3">
      <c r="AD25354" s="16"/>
    </row>
    <row r="25355" spans="30:30" x14ac:dyDescent="0.3">
      <c r="AD25355" s="16"/>
    </row>
    <row r="25356" spans="30:30" x14ac:dyDescent="0.3">
      <c r="AD25356" s="16"/>
    </row>
    <row r="25357" spans="30:30" x14ac:dyDescent="0.3">
      <c r="AD25357" s="16"/>
    </row>
    <row r="25358" spans="30:30" x14ac:dyDescent="0.3">
      <c r="AD25358" s="16"/>
    </row>
    <row r="25359" spans="30:30" x14ac:dyDescent="0.3">
      <c r="AD25359" s="16"/>
    </row>
    <row r="25360" spans="30:30" x14ac:dyDescent="0.3">
      <c r="AD25360" s="16"/>
    </row>
    <row r="25361" spans="30:30" x14ac:dyDescent="0.3">
      <c r="AD25361" s="16"/>
    </row>
    <row r="25362" spans="30:30" x14ac:dyDescent="0.3">
      <c r="AD25362" s="16"/>
    </row>
    <row r="25363" spans="30:30" x14ac:dyDescent="0.3">
      <c r="AD25363" s="16"/>
    </row>
    <row r="25364" spans="30:30" x14ac:dyDescent="0.3">
      <c r="AD25364" s="16"/>
    </row>
    <row r="25365" spans="30:30" x14ac:dyDescent="0.3">
      <c r="AD25365" s="16"/>
    </row>
    <row r="25366" spans="30:30" x14ac:dyDescent="0.3">
      <c r="AD25366" s="16"/>
    </row>
    <row r="25367" spans="30:30" x14ac:dyDescent="0.3">
      <c r="AD25367" s="16"/>
    </row>
    <row r="25368" spans="30:30" x14ac:dyDescent="0.3">
      <c r="AD25368" s="16"/>
    </row>
    <row r="25369" spans="30:30" x14ac:dyDescent="0.3">
      <c r="AD25369" s="16"/>
    </row>
    <row r="25370" spans="30:30" x14ac:dyDescent="0.3">
      <c r="AD25370" s="16"/>
    </row>
    <row r="25371" spans="30:30" x14ac:dyDescent="0.3">
      <c r="AD25371" s="16"/>
    </row>
    <row r="25372" spans="30:30" x14ac:dyDescent="0.3">
      <c r="AD25372" s="16"/>
    </row>
    <row r="25373" spans="30:30" x14ac:dyDescent="0.3">
      <c r="AD25373" s="16"/>
    </row>
    <row r="25374" spans="30:30" x14ac:dyDescent="0.3">
      <c r="AD25374" s="16"/>
    </row>
    <row r="25375" spans="30:30" x14ac:dyDescent="0.3">
      <c r="AD25375" s="16"/>
    </row>
    <row r="25376" spans="30:30" x14ac:dyDescent="0.3">
      <c r="AD25376" s="16"/>
    </row>
    <row r="25377" spans="30:30" x14ac:dyDescent="0.3">
      <c r="AD25377" s="16"/>
    </row>
    <row r="25378" spans="30:30" x14ac:dyDescent="0.3">
      <c r="AD25378" s="16"/>
    </row>
    <row r="25379" spans="30:30" x14ac:dyDescent="0.3">
      <c r="AD25379" s="16"/>
    </row>
    <row r="25380" spans="30:30" x14ac:dyDescent="0.3">
      <c r="AD25380" s="16"/>
    </row>
    <row r="25381" spans="30:30" x14ac:dyDescent="0.3">
      <c r="AD25381" s="16"/>
    </row>
    <row r="25382" spans="30:30" x14ac:dyDescent="0.3">
      <c r="AD25382" s="16"/>
    </row>
    <row r="25383" spans="30:30" x14ac:dyDescent="0.3">
      <c r="AD25383" s="16"/>
    </row>
    <row r="25384" spans="30:30" x14ac:dyDescent="0.3">
      <c r="AD25384" s="16"/>
    </row>
    <row r="25385" spans="30:30" x14ac:dyDescent="0.3">
      <c r="AD25385" s="16"/>
    </row>
    <row r="25386" spans="30:30" x14ac:dyDescent="0.3">
      <c r="AD25386" s="16"/>
    </row>
    <row r="25387" spans="30:30" x14ac:dyDescent="0.3">
      <c r="AD25387" s="16"/>
    </row>
    <row r="25388" spans="30:30" x14ac:dyDescent="0.3">
      <c r="AD25388" s="16"/>
    </row>
    <row r="25389" spans="30:30" x14ac:dyDescent="0.3">
      <c r="AD25389" s="16"/>
    </row>
    <row r="25390" spans="30:30" x14ac:dyDescent="0.3">
      <c r="AD25390" s="16"/>
    </row>
    <row r="25391" spans="30:30" x14ac:dyDescent="0.3">
      <c r="AD25391" s="16"/>
    </row>
    <row r="25392" spans="30:30" x14ac:dyDescent="0.3">
      <c r="AD25392" s="16"/>
    </row>
    <row r="25393" spans="30:30" x14ac:dyDescent="0.3">
      <c r="AD25393" s="16"/>
    </row>
    <row r="25394" spans="30:30" x14ac:dyDescent="0.3">
      <c r="AD25394" s="16"/>
    </row>
    <row r="25395" spans="30:30" x14ac:dyDescent="0.3">
      <c r="AD25395" s="16"/>
    </row>
    <row r="25396" spans="30:30" x14ac:dyDescent="0.3">
      <c r="AD25396" s="16"/>
    </row>
    <row r="25397" spans="30:30" x14ac:dyDescent="0.3">
      <c r="AD25397" s="16"/>
    </row>
    <row r="25398" spans="30:30" x14ac:dyDescent="0.3">
      <c r="AD25398" s="16"/>
    </row>
    <row r="25399" spans="30:30" x14ac:dyDescent="0.3">
      <c r="AD25399" s="16"/>
    </row>
    <row r="25400" spans="30:30" x14ac:dyDescent="0.3">
      <c r="AD25400" s="16"/>
    </row>
    <row r="25401" spans="30:30" x14ac:dyDescent="0.3">
      <c r="AD25401" s="16"/>
    </row>
    <row r="25402" spans="30:30" x14ac:dyDescent="0.3">
      <c r="AD25402" s="16"/>
    </row>
    <row r="25403" spans="30:30" x14ac:dyDescent="0.3">
      <c r="AD25403" s="16"/>
    </row>
    <row r="25404" spans="30:30" x14ac:dyDescent="0.3">
      <c r="AD25404" s="16"/>
    </row>
    <row r="25405" spans="30:30" x14ac:dyDescent="0.3">
      <c r="AD25405" s="16"/>
    </row>
    <row r="25406" spans="30:30" x14ac:dyDescent="0.3">
      <c r="AD25406" s="16"/>
    </row>
    <row r="25407" spans="30:30" x14ac:dyDescent="0.3">
      <c r="AD25407" s="16"/>
    </row>
    <row r="25408" spans="30:30" x14ac:dyDescent="0.3">
      <c r="AD25408" s="16"/>
    </row>
    <row r="25409" spans="30:30" x14ac:dyDescent="0.3">
      <c r="AD25409" s="16"/>
    </row>
    <row r="25410" spans="30:30" x14ac:dyDescent="0.3">
      <c r="AD25410" s="16"/>
    </row>
    <row r="25411" spans="30:30" x14ac:dyDescent="0.3">
      <c r="AD25411" s="16"/>
    </row>
    <row r="25412" spans="30:30" x14ac:dyDescent="0.3">
      <c r="AD25412" s="16"/>
    </row>
    <row r="25413" spans="30:30" x14ac:dyDescent="0.3">
      <c r="AD25413" s="16"/>
    </row>
    <row r="25414" spans="30:30" x14ac:dyDescent="0.3">
      <c r="AD25414" s="16"/>
    </row>
    <row r="25415" spans="30:30" x14ac:dyDescent="0.3">
      <c r="AD25415" s="16"/>
    </row>
    <row r="25416" spans="30:30" x14ac:dyDescent="0.3">
      <c r="AD25416" s="16"/>
    </row>
    <row r="25417" spans="30:30" x14ac:dyDescent="0.3">
      <c r="AD25417" s="16"/>
    </row>
    <row r="25418" spans="30:30" x14ac:dyDescent="0.3">
      <c r="AD25418" s="16"/>
    </row>
    <row r="25419" spans="30:30" x14ac:dyDescent="0.3">
      <c r="AD25419" s="16"/>
    </row>
    <row r="25420" spans="30:30" x14ac:dyDescent="0.3">
      <c r="AD25420" s="16"/>
    </row>
    <row r="25421" spans="30:30" x14ac:dyDescent="0.3">
      <c r="AD25421" s="16"/>
    </row>
    <row r="25422" spans="30:30" x14ac:dyDescent="0.3">
      <c r="AD25422" s="16"/>
    </row>
    <row r="25423" spans="30:30" x14ac:dyDescent="0.3">
      <c r="AD25423" s="16"/>
    </row>
    <row r="25424" spans="30:30" x14ac:dyDescent="0.3">
      <c r="AD25424" s="16"/>
    </row>
    <row r="25425" spans="30:30" x14ac:dyDescent="0.3">
      <c r="AD25425" s="16"/>
    </row>
    <row r="25426" spans="30:30" x14ac:dyDescent="0.3">
      <c r="AD25426" s="16"/>
    </row>
    <row r="25427" spans="30:30" x14ac:dyDescent="0.3">
      <c r="AD25427" s="16"/>
    </row>
    <row r="25428" spans="30:30" x14ac:dyDescent="0.3">
      <c r="AD25428" s="16"/>
    </row>
    <row r="25429" spans="30:30" x14ac:dyDescent="0.3">
      <c r="AD25429" s="16"/>
    </row>
    <row r="25430" spans="30:30" x14ac:dyDescent="0.3">
      <c r="AD25430" s="16"/>
    </row>
    <row r="25431" spans="30:30" x14ac:dyDescent="0.3">
      <c r="AD25431" s="16"/>
    </row>
    <row r="25432" spans="30:30" x14ac:dyDescent="0.3">
      <c r="AD25432" s="16"/>
    </row>
    <row r="25433" spans="30:30" x14ac:dyDescent="0.3">
      <c r="AD25433" s="16"/>
    </row>
    <row r="25434" spans="30:30" x14ac:dyDescent="0.3">
      <c r="AD25434" s="16"/>
    </row>
    <row r="25435" spans="30:30" x14ac:dyDescent="0.3">
      <c r="AD25435" s="16"/>
    </row>
    <row r="25436" spans="30:30" x14ac:dyDescent="0.3">
      <c r="AD25436" s="16"/>
    </row>
    <row r="25437" spans="30:30" x14ac:dyDescent="0.3">
      <c r="AD25437" s="16"/>
    </row>
    <row r="25438" spans="30:30" x14ac:dyDescent="0.3">
      <c r="AD25438" s="16"/>
    </row>
    <row r="25439" spans="30:30" x14ac:dyDescent="0.3">
      <c r="AD25439" s="16"/>
    </row>
    <row r="25440" spans="30:30" x14ac:dyDescent="0.3">
      <c r="AD25440" s="16"/>
    </row>
    <row r="25441" spans="30:30" x14ac:dyDescent="0.3">
      <c r="AD25441" s="16"/>
    </row>
    <row r="25442" spans="30:30" x14ac:dyDescent="0.3">
      <c r="AD25442" s="16"/>
    </row>
    <row r="25443" spans="30:30" x14ac:dyDescent="0.3">
      <c r="AD25443" s="16"/>
    </row>
    <row r="25444" spans="30:30" x14ac:dyDescent="0.3">
      <c r="AD25444" s="16"/>
    </row>
    <row r="25445" spans="30:30" x14ac:dyDescent="0.3">
      <c r="AD25445" s="16"/>
    </row>
    <row r="25446" spans="30:30" x14ac:dyDescent="0.3">
      <c r="AD25446" s="16"/>
    </row>
    <row r="25447" spans="30:30" x14ac:dyDescent="0.3">
      <c r="AD25447" s="16"/>
    </row>
    <row r="25448" spans="30:30" x14ac:dyDescent="0.3">
      <c r="AD25448" s="16"/>
    </row>
    <row r="25449" spans="30:30" x14ac:dyDescent="0.3">
      <c r="AD25449" s="16"/>
    </row>
    <row r="25450" spans="30:30" x14ac:dyDescent="0.3">
      <c r="AD25450" s="16"/>
    </row>
    <row r="25451" spans="30:30" x14ac:dyDescent="0.3">
      <c r="AD25451" s="16"/>
    </row>
    <row r="25452" spans="30:30" x14ac:dyDescent="0.3">
      <c r="AD25452" s="16"/>
    </row>
    <row r="25453" spans="30:30" x14ac:dyDescent="0.3">
      <c r="AD25453" s="16"/>
    </row>
    <row r="25454" spans="30:30" x14ac:dyDescent="0.3">
      <c r="AD25454" s="16"/>
    </row>
    <row r="25455" spans="30:30" x14ac:dyDescent="0.3">
      <c r="AD25455" s="16"/>
    </row>
    <row r="25456" spans="30:30" x14ac:dyDescent="0.3">
      <c r="AD25456" s="16"/>
    </row>
    <row r="25457" spans="30:30" x14ac:dyDescent="0.3">
      <c r="AD25457" s="16"/>
    </row>
    <row r="25458" spans="30:30" x14ac:dyDescent="0.3">
      <c r="AD25458" s="16"/>
    </row>
    <row r="25459" spans="30:30" x14ac:dyDescent="0.3">
      <c r="AD25459" s="16"/>
    </row>
    <row r="25460" spans="30:30" x14ac:dyDescent="0.3">
      <c r="AD25460" s="16"/>
    </row>
    <row r="25461" spans="30:30" x14ac:dyDescent="0.3">
      <c r="AD25461" s="16"/>
    </row>
    <row r="25462" spans="30:30" x14ac:dyDescent="0.3">
      <c r="AD25462" s="16"/>
    </row>
    <row r="25463" spans="30:30" x14ac:dyDescent="0.3">
      <c r="AD25463" s="16"/>
    </row>
    <row r="25464" spans="30:30" x14ac:dyDescent="0.3">
      <c r="AD25464" s="16"/>
    </row>
    <row r="25465" spans="30:30" x14ac:dyDescent="0.3">
      <c r="AD25465" s="16"/>
    </row>
    <row r="25466" spans="30:30" x14ac:dyDescent="0.3">
      <c r="AD25466" s="16"/>
    </row>
    <row r="25467" spans="30:30" x14ac:dyDescent="0.3">
      <c r="AD25467" s="16"/>
    </row>
    <row r="25468" spans="30:30" x14ac:dyDescent="0.3">
      <c r="AD25468" s="16"/>
    </row>
    <row r="25469" spans="30:30" x14ac:dyDescent="0.3">
      <c r="AD25469" s="16"/>
    </row>
    <row r="25470" spans="30:30" x14ac:dyDescent="0.3">
      <c r="AD25470" s="16"/>
    </row>
    <row r="25471" spans="30:30" x14ac:dyDescent="0.3">
      <c r="AD25471" s="16"/>
    </row>
    <row r="25472" spans="30:30" x14ac:dyDescent="0.3">
      <c r="AD25472" s="16"/>
    </row>
    <row r="25473" spans="30:30" x14ac:dyDescent="0.3">
      <c r="AD25473" s="16"/>
    </row>
    <row r="25474" spans="30:30" x14ac:dyDescent="0.3">
      <c r="AD25474" s="16"/>
    </row>
    <row r="25475" spans="30:30" x14ac:dyDescent="0.3">
      <c r="AD25475" s="16"/>
    </row>
    <row r="25476" spans="30:30" x14ac:dyDescent="0.3">
      <c r="AD25476" s="16"/>
    </row>
    <row r="25477" spans="30:30" x14ac:dyDescent="0.3">
      <c r="AD25477" s="16"/>
    </row>
    <row r="25478" spans="30:30" x14ac:dyDescent="0.3">
      <c r="AD25478" s="16"/>
    </row>
    <row r="25479" spans="30:30" x14ac:dyDescent="0.3">
      <c r="AD25479" s="16"/>
    </row>
    <row r="25480" spans="30:30" x14ac:dyDescent="0.3">
      <c r="AD25480" s="16"/>
    </row>
    <row r="25481" spans="30:30" x14ac:dyDescent="0.3">
      <c r="AD25481" s="16"/>
    </row>
    <row r="25482" spans="30:30" x14ac:dyDescent="0.3">
      <c r="AD25482" s="16"/>
    </row>
    <row r="25483" spans="30:30" x14ac:dyDescent="0.3">
      <c r="AD25483" s="16"/>
    </row>
    <row r="25484" spans="30:30" x14ac:dyDescent="0.3">
      <c r="AD25484" s="16"/>
    </row>
    <row r="25485" spans="30:30" x14ac:dyDescent="0.3">
      <c r="AD25485" s="16"/>
    </row>
    <row r="25486" spans="30:30" x14ac:dyDescent="0.3">
      <c r="AD25486" s="16"/>
    </row>
    <row r="25487" spans="30:30" x14ac:dyDescent="0.3">
      <c r="AD25487" s="16"/>
    </row>
    <row r="25488" spans="30:30" x14ac:dyDescent="0.3">
      <c r="AD25488" s="16"/>
    </row>
    <row r="25489" spans="30:30" x14ac:dyDescent="0.3">
      <c r="AD25489" s="16"/>
    </row>
    <row r="25490" spans="30:30" x14ac:dyDescent="0.3">
      <c r="AD25490" s="16"/>
    </row>
    <row r="25491" spans="30:30" x14ac:dyDescent="0.3">
      <c r="AD25491" s="16"/>
    </row>
    <row r="25492" spans="30:30" x14ac:dyDescent="0.3">
      <c r="AD25492" s="16"/>
    </row>
    <row r="25493" spans="30:30" x14ac:dyDescent="0.3">
      <c r="AD25493" s="16"/>
    </row>
    <row r="25494" spans="30:30" x14ac:dyDescent="0.3">
      <c r="AD25494" s="16"/>
    </row>
    <row r="25495" spans="30:30" x14ac:dyDescent="0.3">
      <c r="AD25495" s="16"/>
    </row>
    <row r="25496" spans="30:30" x14ac:dyDescent="0.3">
      <c r="AD25496" s="16"/>
    </row>
    <row r="25497" spans="30:30" x14ac:dyDescent="0.3">
      <c r="AD25497" s="16"/>
    </row>
    <row r="25498" spans="30:30" x14ac:dyDescent="0.3">
      <c r="AD25498" s="16"/>
    </row>
    <row r="25499" spans="30:30" x14ac:dyDescent="0.3">
      <c r="AD25499" s="16"/>
    </row>
    <row r="25500" spans="30:30" x14ac:dyDescent="0.3">
      <c r="AD25500" s="16"/>
    </row>
    <row r="25501" spans="30:30" x14ac:dyDescent="0.3">
      <c r="AD25501" s="16"/>
    </row>
    <row r="25502" spans="30:30" x14ac:dyDescent="0.3">
      <c r="AD25502" s="16"/>
    </row>
    <row r="25503" spans="30:30" x14ac:dyDescent="0.3">
      <c r="AD25503" s="16"/>
    </row>
    <row r="25504" spans="30:30" x14ac:dyDescent="0.3">
      <c r="AD25504" s="16"/>
    </row>
    <row r="25505" spans="30:30" x14ac:dyDescent="0.3">
      <c r="AD25505" s="16"/>
    </row>
    <row r="25506" spans="30:30" x14ac:dyDescent="0.3">
      <c r="AD25506" s="16"/>
    </row>
    <row r="25507" spans="30:30" x14ac:dyDescent="0.3">
      <c r="AD25507" s="16"/>
    </row>
    <row r="25508" spans="30:30" x14ac:dyDescent="0.3">
      <c r="AD25508" s="16"/>
    </row>
    <row r="25509" spans="30:30" x14ac:dyDescent="0.3">
      <c r="AD25509" s="16"/>
    </row>
    <row r="25510" spans="30:30" x14ac:dyDescent="0.3">
      <c r="AD25510" s="16"/>
    </row>
    <row r="25511" spans="30:30" x14ac:dyDescent="0.3">
      <c r="AD25511" s="16"/>
    </row>
    <row r="25512" spans="30:30" x14ac:dyDescent="0.3">
      <c r="AD25512" s="16"/>
    </row>
    <row r="25513" spans="30:30" x14ac:dyDescent="0.3">
      <c r="AD25513" s="16"/>
    </row>
    <row r="25514" spans="30:30" x14ac:dyDescent="0.3">
      <c r="AD25514" s="16"/>
    </row>
    <row r="25515" spans="30:30" x14ac:dyDescent="0.3">
      <c r="AD25515" s="16"/>
    </row>
    <row r="25516" spans="30:30" x14ac:dyDescent="0.3">
      <c r="AD25516" s="16"/>
    </row>
    <row r="25517" spans="30:30" x14ac:dyDescent="0.3">
      <c r="AD25517" s="16"/>
    </row>
    <row r="25518" spans="30:30" x14ac:dyDescent="0.3">
      <c r="AD25518" s="16"/>
    </row>
    <row r="25519" spans="30:30" x14ac:dyDescent="0.3">
      <c r="AD25519" s="16"/>
    </row>
    <row r="25520" spans="30:30" x14ac:dyDescent="0.3">
      <c r="AD25520" s="16"/>
    </row>
    <row r="25521" spans="30:30" x14ac:dyDescent="0.3">
      <c r="AD25521" s="16"/>
    </row>
    <row r="25522" spans="30:30" x14ac:dyDescent="0.3">
      <c r="AD25522" s="16"/>
    </row>
    <row r="25523" spans="30:30" x14ac:dyDescent="0.3">
      <c r="AD25523" s="16"/>
    </row>
    <row r="25524" spans="30:30" x14ac:dyDescent="0.3">
      <c r="AD25524" s="16"/>
    </row>
    <row r="25525" spans="30:30" x14ac:dyDescent="0.3">
      <c r="AD25525" s="16"/>
    </row>
    <row r="25526" spans="30:30" x14ac:dyDescent="0.3">
      <c r="AD25526" s="16"/>
    </row>
    <row r="25527" spans="30:30" x14ac:dyDescent="0.3">
      <c r="AD25527" s="16"/>
    </row>
    <row r="25528" spans="30:30" x14ac:dyDescent="0.3">
      <c r="AD25528" s="16"/>
    </row>
    <row r="25529" spans="30:30" x14ac:dyDescent="0.3">
      <c r="AD25529" s="16"/>
    </row>
    <row r="25530" spans="30:30" x14ac:dyDescent="0.3">
      <c r="AD25530" s="16"/>
    </row>
    <row r="25531" spans="30:30" x14ac:dyDescent="0.3">
      <c r="AD25531" s="16"/>
    </row>
    <row r="25532" spans="30:30" x14ac:dyDescent="0.3">
      <c r="AD25532" s="16"/>
    </row>
    <row r="25533" spans="30:30" x14ac:dyDescent="0.3">
      <c r="AD25533" s="16"/>
    </row>
    <row r="25534" spans="30:30" x14ac:dyDescent="0.3">
      <c r="AD25534" s="16"/>
    </row>
    <row r="25535" spans="30:30" x14ac:dyDescent="0.3">
      <c r="AD25535" s="16"/>
    </row>
    <row r="25536" spans="30:30" x14ac:dyDescent="0.3">
      <c r="AD25536" s="16"/>
    </row>
    <row r="25537" spans="30:30" x14ac:dyDescent="0.3">
      <c r="AD25537" s="16"/>
    </row>
    <row r="25538" spans="30:30" x14ac:dyDescent="0.3">
      <c r="AD25538" s="16"/>
    </row>
    <row r="25539" spans="30:30" x14ac:dyDescent="0.3">
      <c r="AD25539" s="16"/>
    </row>
    <row r="25540" spans="30:30" x14ac:dyDescent="0.3">
      <c r="AD25540" s="16"/>
    </row>
    <row r="25541" spans="30:30" x14ac:dyDescent="0.3">
      <c r="AD25541" s="16"/>
    </row>
    <row r="25542" spans="30:30" x14ac:dyDescent="0.3">
      <c r="AD25542" s="16"/>
    </row>
    <row r="25543" spans="30:30" x14ac:dyDescent="0.3">
      <c r="AD25543" s="16"/>
    </row>
    <row r="25544" spans="30:30" x14ac:dyDescent="0.3">
      <c r="AD25544" s="16"/>
    </row>
    <row r="25545" spans="30:30" x14ac:dyDescent="0.3">
      <c r="AD25545" s="16"/>
    </row>
    <row r="25546" spans="30:30" x14ac:dyDescent="0.3">
      <c r="AD25546" s="16"/>
    </row>
    <row r="25547" spans="30:30" x14ac:dyDescent="0.3">
      <c r="AD25547" s="16"/>
    </row>
    <row r="25548" spans="30:30" x14ac:dyDescent="0.3">
      <c r="AD25548" s="16"/>
    </row>
    <row r="25549" spans="30:30" x14ac:dyDescent="0.3">
      <c r="AD25549" s="16"/>
    </row>
    <row r="25550" spans="30:30" x14ac:dyDescent="0.3">
      <c r="AD25550" s="16"/>
    </row>
    <row r="25551" spans="30:30" x14ac:dyDescent="0.3">
      <c r="AD25551" s="16"/>
    </row>
    <row r="25552" spans="30:30" x14ac:dyDescent="0.3">
      <c r="AD25552" s="16"/>
    </row>
    <row r="25553" spans="30:30" x14ac:dyDescent="0.3">
      <c r="AD25553" s="16"/>
    </row>
    <row r="25554" spans="30:30" x14ac:dyDescent="0.3">
      <c r="AD25554" s="16"/>
    </row>
    <row r="25555" spans="30:30" x14ac:dyDescent="0.3">
      <c r="AD25555" s="16"/>
    </row>
    <row r="25556" spans="30:30" x14ac:dyDescent="0.3">
      <c r="AD25556" s="16"/>
    </row>
    <row r="25557" spans="30:30" x14ac:dyDescent="0.3">
      <c r="AD25557" s="16"/>
    </row>
    <row r="25558" spans="30:30" x14ac:dyDescent="0.3">
      <c r="AD25558" s="16"/>
    </row>
    <row r="25559" spans="30:30" x14ac:dyDescent="0.3">
      <c r="AD25559" s="16"/>
    </row>
    <row r="25560" spans="30:30" x14ac:dyDescent="0.3">
      <c r="AD25560" s="16"/>
    </row>
    <row r="25561" spans="30:30" x14ac:dyDescent="0.3">
      <c r="AD25561" s="16"/>
    </row>
    <row r="25562" spans="30:30" x14ac:dyDescent="0.3">
      <c r="AD25562" s="16"/>
    </row>
    <row r="25563" spans="30:30" x14ac:dyDescent="0.3">
      <c r="AD25563" s="16"/>
    </row>
    <row r="25564" spans="30:30" x14ac:dyDescent="0.3">
      <c r="AD25564" s="16"/>
    </row>
    <row r="25565" spans="30:30" x14ac:dyDescent="0.3">
      <c r="AD25565" s="16"/>
    </row>
    <row r="25566" spans="30:30" x14ac:dyDescent="0.3">
      <c r="AD25566" s="16"/>
    </row>
    <row r="25567" spans="30:30" x14ac:dyDescent="0.3">
      <c r="AD25567" s="16"/>
    </row>
    <row r="25568" spans="30:30" x14ac:dyDescent="0.3">
      <c r="AD25568" s="16"/>
    </row>
    <row r="25569" spans="30:30" x14ac:dyDescent="0.3">
      <c r="AD25569" s="16"/>
    </row>
    <row r="25570" spans="30:30" x14ac:dyDescent="0.3">
      <c r="AD25570" s="16"/>
    </row>
    <row r="25571" spans="30:30" x14ac:dyDescent="0.3">
      <c r="AD25571" s="16"/>
    </row>
    <row r="25572" spans="30:30" x14ac:dyDescent="0.3">
      <c r="AD25572" s="16"/>
    </row>
    <row r="25573" spans="30:30" x14ac:dyDescent="0.3">
      <c r="AD25573" s="16"/>
    </row>
    <row r="25574" spans="30:30" x14ac:dyDescent="0.3">
      <c r="AD25574" s="16"/>
    </row>
    <row r="25575" spans="30:30" x14ac:dyDescent="0.3">
      <c r="AD25575" s="16"/>
    </row>
    <row r="25576" spans="30:30" x14ac:dyDescent="0.3">
      <c r="AD25576" s="16"/>
    </row>
    <row r="25577" spans="30:30" x14ac:dyDescent="0.3">
      <c r="AD25577" s="16"/>
    </row>
    <row r="25578" spans="30:30" x14ac:dyDescent="0.3">
      <c r="AD25578" s="16"/>
    </row>
    <row r="25579" spans="30:30" x14ac:dyDescent="0.3">
      <c r="AD25579" s="16"/>
    </row>
    <row r="25580" spans="30:30" x14ac:dyDescent="0.3">
      <c r="AD25580" s="16"/>
    </row>
    <row r="25581" spans="30:30" x14ac:dyDescent="0.3">
      <c r="AD25581" s="16"/>
    </row>
    <row r="25582" spans="30:30" x14ac:dyDescent="0.3">
      <c r="AD25582" s="16"/>
    </row>
    <row r="25583" spans="30:30" x14ac:dyDescent="0.3">
      <c r="AD25583" s="16"/>
    </row>
    <row r="25584" spans="30:30" x14ac:dyDescent="0.3">
      <c r="AD25584" s="16"/>
    </row>
    <row r="25585" spans="30:30" x14ac:dyDescent="0.3">
      <c r="AD25585" s="16"/>
    </row>
    <row r="25586" spans="30:30" x14ac:dyDescent="0.3">
      <c r="AD25586" s="16"/>
    </row>
    <row r="25587" spans="30:30" x14ac:dyDescent="0.3">
      <c r="AD25587" s="16"/>
    </row>
    <row r="25588" spans="30:30" x14ac:dyDescent="0.3">
      <c r="AD25588" s="16"/>
    </row>
    <row r="25589" spans="30:30" x14ac:dyDescent="0.3">
      <c r="AD25589" s="16"/>
    </row>
    <row r="25590" spans="30:30" x14ac:dyDescent="0.3">
      <c r="AD25590" s="16"/>
    </row>
    <row r="25591" spans="30:30" x14ac:dyDescent="0.3">
      <c r="AD25591" s="16"/>
    </row>
    <row r="25592" spans="30:30" x14ac:dyDescent="0.3">
      <c r="AD25592" s="16"/>
    </row>
    <row r="25593" spans="30:30" x14ac:dyDescent="0.3">
      <c r="AD25593" s="16"/>
    </row>
    <row r="25594" spans="30:30" x14ac:dyDescent="0.3">
      <c r="AD25594" s="16"/>
    </row>
    <row r="25595" spans="30:30" x14ac:dyDescent="0.3">
      <c r="AD25595" s="16"/>
    </row>
    <row r="25596" spans="30:30" x14ac:dyDescent="0.3">
      <c r="AD25596" s="16"/>
    </row>
    <row r="25597" spans="30:30" x14ac:dyDescent="0.3">
      <c r="AD25597" s="16"/>
    </row>
    <row r="25598" spans="30:30" x14ac:dyDescent="0.3">
      <c r="AD25598" s="16"/>
    </row>
    <row r="25599" spans="30:30" x14ac:dyDescent="0.3">
      <c r="AD25599" s="16"/>
    </row>
    <row r="25600" spans="30:30" x14ac:dyDescent="0.3">
      <c r="AD25600" s="16"/>
    </row>
    <row r="25601" spans="30:30" x14ac:dyDescent="0.3">
      <c r="AD25601" s="16"/>
    </row>
    <row r="25602" spans="30:30" x14ac:dyDescent="0.3">
      <c r="AD25602" s="16"/>
    </row>
    <row r="25603" spans="30:30" x14ac:dyDescent="0.3">
      <c r="AD25603" s="16"/>
    </row>
    <row r="25604" spans="30:30" x14ac:dyDescent="0.3">
      <c r="AD25604" s="16"/>
    </row>
    <row r="25605" spans="30:30" x14ac:dyDescent="0.3">
      <c r="AD25605" s="16"/>
    </row>
    <row r="25606" spans="30:30" x14ac:dyDescent="0.3">
      <c r="AD25606" s="16"/>
    </row>
    <row r="25607" spans="30:30" x14ac:dyDescent="0.3">
      <c r="AD25607" s="16"/>
    </row>
    <row r="25608" spans="30:30" x14ac:dyDescent="0.3">
      <c r="AD25608" s="16"/>
    </row>
    <row r="25609" spans="30:30" x14ac:dyDescent="0.3">
      <c r="AD25609" s="16"/>
    </row>
    <row r="25610" spans="30:30" x14ac:dyDescent="0.3">
      <c r="AD25610" s="16"/>
    </row>
    <row r="25611" spans="30:30" x14ac:dyDescent="0.3">
      <c r="AD25611" s="16"/>
    </row>
    <row r="25612" spans="30:30" x14ac:dyDescent="0.3">
      <c r="AD25612" s="16"/>
    </row>
    <row r="25613" spans="30:30" x14ac:dyDescent="0.3">
      <c r="AD25613" s="16"/>
    </row>
    <row r="25614" spans="30:30" x14ac:dyDescent="0.3">
      <c r="AD25614" s="16"/>
    </row>
    <row r="25615" spans="30:30" x14ac:dyDescent="0.3">
      <c r="AD25615" s="16"/>
    </row>
    <row r="25616" spans="30:30" x14ac:dyDescent="0.3">
      <c r="AD25616" s="16"/>
    </row>
    <row r="25617" spans="30:30" x14ac:dyDescent="0.3">
      <c r="AD25617" s="16"/>
    </row>
    <row r="25618" spans="30:30" x14ac:dyDescent="0.3">
      <c r="AD25618" s="16"/>
    </row>
    <row r="25619" spans="30:30" x14ac:dyDescent="0.3">
      <c r="AD25619" s="16"/>
    </row>
    <row r="25620" spans="30:30" x14ac:dyDescent="0.3">
      <c r="AD25620" s="16"/>
    </row>
    <row r="25621" spans="30:30" x14ac:dyDescent="0.3">
      <c r="AD25621" s="16"/>
    </row>
    <row r="25622" spans="30:30" x14ac:dyDescent="0.3">
      <c r="AD25622" s="16"/>
    </row>
    <row r="25623" spans="30:30" x14ac:dyDescent="0.3">
      <c r="AD25623" s="16"/>
    </row>
    <row r="25624" spans="30:30" x14ac:dyDescent="0.3">
      <c r="AD25624" s="16"/>
    </row>
    <row r="25625" spans="30:30" x14ac:dyDescent="0.3">
      <c r="AD25625" s="16"/>
    </row>
    <row r="25626" spans="30:30" x14ac:dyDescent="0.3">
      <c r="AD25626" s="16"/>
    </row>
    <row r="25627" spans="30:30" x14ac:dyDescent="0.3">
      <c r="AD25627" s="16"/>
    </row>
    <row r="25628" spans="30:30" x14ac:dyDescent="0.3">
      <c r="AD25628" s="16"/>
    </row>
    <row r="25629" spans="30:30" x14ac:dyDescent="0.3">
      <c r="AD25629" s="16"/>
    </row>
    <row r="25630" spans="30:30" x14ac:dyDescent="0.3">
      <c r="AD25630" s="16"/>
    </row>
    <row r="25631" spans="30:30" x14ac:dyDescent="0.3">
      <c r="AD25631" s="16"/>
    </row>
    <row r="25632" spans="30:30" x14ac:dyDescent="0.3">
      <c r="AD25632" s="16"/>
    </row>
    <row r="25633" spans="30:30" x14ac:dyDescent="0.3">
      <c r="AD25633" s="16"/>
    </row>
    <row r="25634" spans="30:30" x14ac:dyDescent="0.3">
      <c r="AD25634" s="16"/>
    </row>
    <row r="25635" spans="30:30" x14ac:dyDescent="0.3">
      <c r="AD25635" s="16"/>
    </row>
    <row r="25636" spans="30:30" x14ac:dyDescent="0.3">
      <c r="AD25636" s="16"/>
    </row>
    <row r="25637" spans="30:30" x14ac:dyDescent="0.3">
      <c r="AD25637" s="16"/>
    </row>
    <row r="25638" spans="30:30" x14ac:dyDescent="0.3">
      <c r="AD25638" s="16"/>
    </row>
    <row r="25639" spans="30:30" x14ac:dyDescent="0.3">
      <c r="AD25639" s="16"/>
    </row>
    <row r="25640" spans="30:30" x14ac:dyDescent="0.3">
      <c r="AD25640" s="16"/>
    </row>
    <row r="25641" spans="30:30" x14ac:dyDescent="0.3">
      <c r="AD25641" s="16"/>
    </row>
    <row r="25642" spans="30:30" x14ac:dyDescent="0.3">
      <c r="AD25642" s="16"/>
    </row>
    <row r="25643" spans="30:30" x14ac:dyDescent="0.3">
      <c r="AD25643" s="16"/>
    </row>
    <row r="25644" spans="30:30" x14ac:dyDescent="0.3">
      <c r="AD25644" s="16"/>
    </row>
    <row r="25645" spans="30:30" x14ac:dyDescent="0.3">
      <c r="AD25645" s="16"/>
    </row>
    <row r="25646" spans="30:30" x14ac:dyDescent="0.3">
      <c r="AD25646" s="16"/>
    </row>
    <row r="25647" spans="30:30" x14ac:dyDescent="0.3">
      <c r="AD25647" s="16"/>
    </row>
    <row r="25648" spans="30:30" x14ac:dyDescent="0.3">
      <c r="AD25648" s="16"/>
    </row>
    <row r="25649" spans="30:30" x14ac:dyDescent="0.3">
      <c r="AD25649" s="16"/>
    </row>
    <row r="25650" spans="30:30" x14ac:dyDescent="0.3">
      <c r="AD25650" s="16"/>
    </row>
    <row r="25651" spans="30:30" x14ac:dyDescent="0.3">
      <c r="AD25651" s="16"/>
    </row>
    <row r="25652" spans="30:30" x14ac:dyDescent="0.3">
      <c r="AD25652" s="16"/>
    </row>
    <row r="25653" spans="30:30" x14ac:dyDescent="0.3">
      <c r="AD25653" s="16"/>
    </row>
    <row r="25654" spans="30:30" x14ac:dyDescent="0.3">
      <c r="AD25654" s="16"/>
    </row>
    <row r="25655" spans="30:30" x14ac:dyDescent="0.3">
      <c r="AD25655" s="16"/>
    </row>
    <row r="25656" spans="30:30" x14ac:dyDescent="0.3">
      <c r="AD25656" s="16"/>
    </row>
    <row r="25657" spans="30:30" x14ac:dyDescent="0.3">
      <c r="AD25657" s="16"/>
    </row>
    <row r="25658" spans="30:30" x14ac:dyDescent="0.3">
      <c r="AD25658" s="16"/>
    </row>
    <row r="25659" spans="30:30" x14ac:dyDescent="0.3">
      <c r="AD25659" s="16"/>
    </row>
    <row r="25660" spans="30:30" x14ac:dyDescent="0.3">
      <c r="AD25660" s="16"/>
    </row>
    <row r="25661" spans="30:30" x14ac:dyDescent="0.3">
      <c r="AD25661" s="16"/>
    </row>
    <row r="25662" spans="30:30" x14ac:dyDescent="0.3">
      <c r="AD25662" s="16"/>
    </row>
    <row r="25663" spans="30:30" x14ac:dyDescent="0.3">
      <c r="AD25663" s="16"/>
    </row>
    <row r="25664" spans="30:30" x14ac:dyDescent="0.3">
      <c r="AD25664" s="16"/>
    </row>
    <row r="25665" spans="30:30" x14ac:dyDescent="0.3">
      <c r="AD25665" s="16"/>
    </row>
    <row r="25666" spans="30:30" x14ac:dyDescent="0.3">
      <c r="AD25666" s="16"/>
    </row>
    <row r="25667" spans="30:30" x14ac:dyDescent="0.3">
      <c r="AD25667" s="16"/>
    </row>
    <row r="25668" spans="30:30" x14ac:dyDescent="0.3">
      <c r="AD25668" s="16"/>
    </row>
    <row r="25669" spans="30:30" x14ac:dyDescent="0.3">
      <c r="AD25669" s="16"/>
    </row>
    <row r="25670" spans="30:30" x14ac:dyDescent="0.3">
      <c r="AD25670" s="16"/>
    </row>
    <row r="25671" spans="30:30" x14ac:dyDescent="0.3">
      <c r="AD25671" s="16"/>
    </row>
    <row r="25672" spans="30:30" x14ac:dyDescent="0.3">
      <c r="AD25672" s="16"/>
    </row>
    <row r="25673" spans="30:30" x14ac:dyDescent="0.3">
      <c r="AD25673" s="16"/>
    </row>
    <row r="25674" spans="30:30" x14ac:dyDescent="0.3">
      <c r="AD25674" s="16"/>
    </row>
    <row r="25675" spans="30:30" x14ac:dyDescent="0.3">
      <c r="AD25675" s="16"/>
    </row>
    <row r="25676" spans="30:30" x14ac:dyDescent="0.3">
      <c r="AD25676" s="16"/>
    </row>
    <row r="25677" spans="30:30" x14ac:dyDescent="0.3">
      <c r="AD25677" s="16"/>
    </row>
    <row r="25678" spans="30:30" x14ac:dyDescent="0.3">
      <c r="AD25678" s="16"/>
    </row>
    <row r="25679" spans="30:30" x14ac:dyDescent="0.3">
      <c r="AD25679" s="16"/>
    </row>
    <row r="25680" spans="30:30" x14ac:dyDescent="0.3">
      <c r="AD25680" s="16"/>
    </row>
    <row r="25681" spans="30:30" x14ac:dyDescent="0.3">
      <c r="AD25681" s="16"/>
    </row>
    <row r="25682" spans="30:30" x14ac:dyDescent="0.3">
      <c r="AD25682" s="16"/>
    </row>
    <row r="25683" spans="30:30" x14ac:dyDescent="0.3">
      <c r="AD25683" s="16"/>
    </row>
    <row r="25684" spans="30:30" x14ac:dyDescent="0.3">
      <c r="AD25684" s="16"/>
    </row>
    <row r="25685" spans="30:30" x14ac:dyDescent="0.3">
      <c r="AD25685" s="16"/>
    </row>
    <row r="25686" spans="30:30" x14ac:dyDescent="0.3">
      <c r="AD25686" s="16"/>
    </row>
    <row r="25687" spans="30:30" x14ac:dyDescent="0.3">
      <c r="AD25687" s="16"/>
    </row>
    <row r="25688" spans="30:30" x14ac:dyDescent="0.3">
      <c r="AD25688" s="16"/>
    </row>
    <row r="25689" spans="30:30" x14ac:dyDescent="0.3">
      <c r="AD25689" s="16"/>
    </row>
    <row r="25690" spans="30:30" x14ac:dyDescent="0.3">
      <c r="AD25690" s="16"/>
    </row>
    <row r="25691" spans="30:30" x14ac:dyDescent="0.3">
      <c r="AD25691" s="16"/>
    </row>
    <row r="25692" spans="30:30" x14ac:dyDescent="0.3">
      <c r="AD25692" s="16"/>
    </row>
    <row r="25693" spans="30:30" x14ac:dyDescent="0.3">
      <c r="AD25693" s="16"/>
    </row>
    <row r="25694" spans="30:30" x14ac:dyDescent="0.3">
      <c r="AD25694" s="16"/>
    </row>
    <row r="25695" spans="30:30" x14ac:dyDescent="0.3">
      <c r="AD25695" s="16"/>
    </row>
    <row r="25696" spans="30:30" x14ac:dyDescent="0.3">
      <c r="AD25696" s="16"/>
    </row>
    <row r="25697" spans="30:30" x14ac:dyDescent="0.3">
      <c r="AD25697" s="16"/>
    </row>
    <row r="25698" spans="30:30" x14ac:dyDescent="0.3">
      <c r="AD25698" s="16"/>
    </row>
    <row r="25699" spans="30:30" x14ac:dyDescent="0.3">
      <c r="AD25699" s="16"/>
    </row>
    <row r="25700" spans="30:30" x14ac:dyDescent="0.3">
      <c r="AD25700" s="16"/>
    </row>
    <row r="25701" spans="30:30" x14ac:dyDescent="0.3">
      <c r="AD25701" s="16"/>
    </row>
    <row r="25702" spans="30:30" x14ac:dyDescent="0.3">
      <c r="AD25702" s="16"/>
    </row>
    <row r="25703" spans="30:30" x14ac:dyDescent="0.3">
      <c r="AD25703" s="16"/>
    </row>
    <row r="25704" spans="30:30" x14ac:dyDescent="0.3">
      <c r="AD25704" s="16"/>
    </row>
    <row r="25705" spans="30:30" x14ac:dyDescent="0.3">
      <c r="AD25705" s="16"/>
    </row>
    <row r="25706" spans="30:30" x14ac:dyDescent="0.3">
      <c r="AD25706" s="16"/>
    </row>
    <row r="25707" spans="30:30" x14ac:dyDescent="0.3">
      <c r="AD25707" s="16"/>
    </row>
    <row r="25708" spans="30:30" x14ac:dyDescent="0.3">
      <c r="AD25708" s="16"/>
    </row>
    <row r="25709" spans="30:30" x14ac:dyDescent="0.3">
      <c r="AD25709" s="16"/>
    </row>
    <row r="25710" spans="30:30" x14ac:dyDescent="0.3">
      <c r="AD25710" s="16"/>
    </row>
    <row r="25711" spans="30:30" x14ac:dyDescent="0.3">
      <c r="AD25711" s="16"/>
    </row>
    <row r="25712" spans="30:30" x14ac:dyDescent="0.3">
      <c r="AD25712" s="16"/>
    </row>
    <row r="25713" spans="30:30" x14ac:dyDescent="0.3">
      <c r="AD25713" s="16"/>
    </row>
    <row r="25714" spans="30:30" x14ac:dyDescent="0.3">
      <c r="AD25714" s="16"/>
    </row>
    <row r="25715" spans="30:30" x14ac:dyDescent="0.3">
      <c r="AD25715" s="16"/>
    </row>
    <row r="25716" spans="30:30" x14ac:dyDescent="0.3">
      <c r="AD25716" s="16"/>
    </row>
    <row r="25717" spans="30:30" x14ac:dyDescent="0.3">
      <c r="AD25717" s="16"/>
    </row>
    <row r="25718" spans="30:30" x14ac:dyDescent="0.3">
      <c r="AD25718" s="16"/>
    </row>
    <row r="25719" spans="30:30" x14ac:dyDescent="0.3">
      <c r="AD25719" s="16"/>
    </row>
    <row r="25720" spans="30:30" x14ac:dyDescent="0.3">
      <c r="AD25720" s="16"/>
    </row>
    <row r="25721" spans="30:30" x14ac:dyDescent="0.3">
      <c r="AD25721" s="16"/>
    </row>
    <row r="25722" spans="30:30" x14ac:dyDescent="0.3">
      <c r="AD25722" s="16"/>
    </row>
    <row r="25723" spans="30:30" x14ac:dyDescent="0.3">
      <c r="AD25723" s="16"/>
    </row>
    <row r="25724" spans="30:30" x14ac:dyDescent="0.3">
      <c r="AD25724" s="16"/>
    </row>
    <row r="25725" spans="30:30" x14ac:dyDescent="0.3">
      <c r="AD25725" s="16"/>
    </row>
    <row r="25726" spans="30:30" x14ac:dyDescent="0.3">
      <c r="AD25726" s="16"/>
    </row>
    <row r="25727" spans="30:30" x14ac:dyDescent="0.3">
      <c r="AD25727" s="16"/>
    </row>
    <row r="25728" spans="30:30" x14ac:dyDescent="0.3">
      <c r="AD25728" s="16"/>
    </row>
    <row r="25729" spans="30:30" x14ac:dyDescent="0.3">
      <c r="AD25729" s="16"/>
    </row>
    <row r="25730" spans="30:30" x14ac:dyDescent="0.3">
      <c r="AD25730" s="16"/>
    </row>
    <row r="25731" spans="30:30" x14ac:dyDescent="0.3">
      <c r="AD25731" s="16"/>
    </row>
    <row r="25732" spans="30:30" x14ac:dyDescent="0.3">
      <c r="AD25732" s="16"/>
    </row>
    <row r="25733" spans="30:30" x14ac:dyDescent="0.3">
      <c r="AD25733" s="16"/>
    </row>
    <row r="25734" spans="30:30" x14ac:dyDescent="0.3">
      <c r="AD25734" s="16"/>
    </row>
    <row r="25735" spans="30:30" x14ac:dyDescent="0.3">
      <c r="AD25735" s="16"/>
    </row>
    <row r="25736" spans="30:30" x14ac:dyDescent="0.3">
      <c r="AD25736" s="16"/>
    </row>
    <row r="25737" spans="30:30" x14ac:dyDescent="0.3">
      <c r="AD25737" s="16"/>
    </row>
    <row r="25738" spans="30:30" x14ac:dyDescent="0.3">
      <c r="AD25738" s="16"/>
    </row>
    <row r="25739" spans="30:30" x14ac:dyDescent="0.3">
      <c r="AD25739" s="16"/>
    </row>
    <row r="25740" spans="30:30" x14ac:dyDescent="0.3">
      <c r="AD25740" s="16"/>
    </row>
    <row r="25741" spans="30:30" x14ac:dyDescent="0.3">
      <c r="AD25741" s="16"/>
    </row>
    <row r="25742" spans="30:30" x14ac:dyDescent="0.3">
      <c r="AD25742" s="16"/>
    </row>
    <row r="25743" spans="30:30" x14ac:dyDescent="0.3">
      <c r="AD25743" s="16"/>
    </row>
    <row r="25744" spans="30:30" x14ac:dyDescent="0.3">
      <c r="AD25744" s="16"/>
    </row>
    <row r="25745" spans="30:30" x14ac:dyDescent="0.3">
      <c r="AD25745" s="16"/>
    </row>
    <row r="25746" spans="30:30" x14ac:dyDescent="0.3">
      <c r="AD25746" s="16"/>
    </row>
    <row r="25747" spans="30:30" x14ac:dyDescent="0.3">
      <c r="AD25747" s="16"/>
    </row>
    <row r="25748" spans="30:30" x14ac:dyDescent="0.3">
      <c r="AD25748" s="16"/>
    </row>
    <row r="25749" spans="30:30" x14ac:dyDescent="0.3">
      <c r="AD25749" s="16"/>
    </row>
    <row r="25750" spans="30:30" x14ac:dyDescent="0.3">
      <c r="AD25750" s="16"/>
    </row>
    <row r="25751" spans="30:30" x14ac:dyDescent="0.3">
      <c r="AD25751" s="16"/>
    </row>
    <row r="25752" spans="30:30" x14ac:dyDescent="0.3">
      <c r="AD25752" s="16"/>
    </row>
    <row r="25753" spans="30:30" x14ac:dyDescent="0.3">
      <c r="AD25753" s="16"/>
    </row>
    <row r="25754" spans="30:30" x14ac:dyDescent="0.3">
      <c r="AD25754" s="16"/>
    </row>
    <row r="25755" spans="30:30" x14ac:dyDescent="0.3">
      <c r="AD25755" s="16"/>
    </row>
    <row r="25756" spans="30:30" x14ac:dyDescent="0.3">
      <c r="AD25756" s="16"/>
    </row>
    <row r="25757" spans="30:30" x14ac:dyDescent="0.3">
      <c r="AD25757" s="16"/>
    </row>
    <row r="25758" spans="30:30" x14ac:dyDescent="0.3">
      <c r="AD25758" s="16"/>
    </row>
    <row r="25759" spans="30:30" x14ac:dyDescent="0.3">
      <c r="AD25759" s="16"/>
    </row>
    <row r="25760" spans="30:30" x14ac:dyDescent="0.3">
      <c r="AD25760" s="16"/>
    </row>
    <row r="25761" spans="30:30" x14ac:dyDescent="0.3">
      <c r="AD25761" s="16"/>
    </row>
    <row r="25762" spans="30:30" x14ac:dyDescent="0.3">
      <c r="AD25762" s="16"/>
    </row>
    <row r="25763" spans="30:30" x14ac:dyDescent="0.3">
      <c r="AD25763" s="16"/>
    </row>
    <row r="25764" spans="30:30" x14ac:dyDescent="0.3">
      <c r="AD25764" s="16"/>
    </row>
    <row r="25765" spans="30:30" x14ac:dyDescent="0.3">
      <c r="AD25765" s="16"/>
    </row>
    <row r="25766" spans="30:30" x14ac:dyDescent="0.3">
      <c r="AD25766" s="16"/>
    </row>
    <row r="25767" spans="30:30" x14ac:dyDescent="0.3">
      <c r="AD25767" s="16"/>
    </row>
    <row r="25768" spans="30:30" x14ac:dyDescent="0.3">
      <c r="AD25768" s="16"/>
    </row>
    <row r="25769" spans="30:30" x14ac:dyDescent="0.3">
      <c r="AD25769" s="16"/>
    </row>
    <row r="25770" spans="30:30" x14ac:dyDescent="0.3">
      <c r="AD25770" s="16"/>
    </row>
    <row r="25771" spans="30:30" x14ac:dyDescent="0.3">
      <c r="AD25771" s="16"/>
    </row>
    <row r="25772" spans="30:30" x14ac:dyDescent="0.3">
      <c r="AD25772" s="16"/>
    </row>
    <row r="25773" spans="30:30" x14ac:dyDescent="0.3">
      <c r="AD25773" s="16"/>
    </row>
    <row r="25774" spans="30:30" x14ac:dyDescent="0.3">
      <c r="AD25774" s="16"/>
    </row>
    <row r="25775" spans="30:30" x14ac:dyDescent="0.3">
      <c r="AD25775" s="16"/>
    </row>
    <row r="25776" spans="30:30" x14ac:dyDescent="0.3">
      <c r="AD25776" s="16"/>
    </row>
    <row r="25777" spans="30:30" x14ac:dyDescent="0.3">
      <c r="AD25777" s="16"/>
    </row>
    <row r="25778" spans="30:30" x14ac:dyDescent="0.3">
      <c r="AD25778" s="16"/>
    </row>
    <row r="25779" spans="30:30" x14ac:dyDescent="0.3">
      <c r="AD25779" s="16"/>
    </row>
    <row r="25780" spans="30:30" x14ac:dyDescent="0.3">
      <c r="AD25780" s="16"/>
    </row>
    <row r="25781" spans="30:30" x14ac:dyDescent="0.3">
      <c r="AD25781" s="16"/>
    </row>
    <row r="25782" spans="30:30" x14ac:dyDescent="0.3">
      <c r="AD25782" s="16"/>
    </row>
    <row r="25783" spans="30:30" x14ac:dyDescent="0.3">
      <c r="AD25783" s="16"/>
    </row>
    <row r="25784" spans="30:30" x14ac:dyDescent="0.3">
      <c r="AD25784" s="16"/>
    </row>
    <row r="25785" spans="30:30" x14ac:dyDescent="0.3">
      <c r="AD25785" s="16"/>
    </row>
    <row r="25786" spans="30:30" x14ac:dyDescent="0.3">
      <c r="AD25786" s="16"/>
    </row>
    <row r="25787" spans="30:30" x14ac:dyDescent="0.3">
      <c r="AD25787" s="16"/>
    </row>
    <row r="25788" spans="30:30" x14ac:dyDescent="0.3">
      <c r="AD25788" s="16"/>
    </row>
    <row r="25789" spans="30:30" x14ac:dyDescent="0.3">
      <c r="AD25789" s="16"/>
    </row>
    <row r="25790" spans="30:30" x14ac:dyDescent="0.3">
      <c r="AD25790" s="16"/>
    </row>
    <row r="25791" spans="30:30" x14ac:dyDescent="0.3">
      <c r="AD25791" s="16"/>
    </row>
    <row r="25792" spans="30:30" x14ac:dyDescent="0.3">
      <c r="AD25792" s="16"/>
    </row>
    <row r="25793" spans="30:30" x14ac:dyDescent="0.3">
      <c r="AD25793" s="16"/>
    </row>
    <row r="25794" spans="30:30" x14ac:dyDescent="0.3">
      <c r="AD25794" s="16"/>
    </row>
    <row r="25795" spans="30:30" x14ac:dyDescent="0.3">
      <c r="AD25795" s="16"/>
    </row>
    <row r="25796" spans="30:30" x14ac:dyDescent="0.3">
      <c r="AD25796" s="16"/>
    </row>
    <row r="25797" spans="30:30" x14ac:dyDescent="0.3">
      <c r="AD25797" s="16"/>
    </row>
    <row r="25798" spans="30:30" x14ac:dyDescent="0.3">
      <c r="AD25798" s="16"/>
    </row>
    <row r="25799" spans="30:30" x14ac:dyDescent="0.3">
      <c r="AD25799" s="16"/>
    </row>
    <row r="25800" spans="30:30" x14ac:dyDescent="0.3">
      <c r="AD25800" s="16"/>
    </row>
    <row r="25801" spans="30:30" x14ac:dyDescent="0.3">
      <c r="AD25801" s="16"/>
    </row>
    <row r="25802" spans="30:30" x14ac:dyDescent="0.3">
      <c r="AD25802" s="16"/>
    </row>
    <row r="25803" spans="30:30" x14ac:dyDescent="0.3">
      <c r="AD25803" s="16"/>
    </row>
    <row r="25804" spans="30:30" x14ac:dyDescent="0.3">
      <c r="AD25804" s="16"/>
    </row>
    <row r="25805" spans="30:30" x14ac:dyDescent="0.3">
      <c r="AD25805" s="16"/>
    </row>
    <row r="25806" spans="30:30" x14ac:dyDescent="0.3">
      <c r="AD25806" s="16"/>
    </row>
    <row r="25807" spans="30:30" x14ac:dyDescent="0.3">
      <c r="AD25807" s="16"/>
    </row>
    <row r="25808" spans="30:30" x14ac:dyDescent="0.3">
      <c r="AD25808" s="16"/>
    </row>
    <row r="25809" spans="30:30" x14ac:dyDescent="0.3">
      <c r="AD25809" s="16"/>
    </row>
    <row r="25810" spans="30:30" x14ac:dyDescent="0.3">
      <c r="AD25810" s="16"/>
    </row>
    <row r="25811" spans="30:30" x14ac:dyDescent="0.3">
      <c r="AD25811" s="16"/>
    </row>
    <row r="25812" spans="30:30" x14ac:dyDescent="0.3">
      <c r="AD25812" s="16"/>
    </row>
    <row r="25813" spans="30:30" x14ac:dyDescent="0.3">
      <c r="AD25813" s="16"/>
    </row>
    <row r="25814" spans="30:30" x14ac:dyDescent="0.3">
      <c r="AD25814" s="16"/>
    </row>
    <row r="25815" spans="30:30" x14ac:dyDescent="0.3">
      <c r="AD25815" s="16"/>
    </row>
    <row r="25816" spans="30:30" x14ac:dyDescent="0.3">
      <c r="AD25816" s="16"/>
    </row>
    <row r="25817" spans="30:30" x14ac:dyDescent="0.3">
      <c r="AD25817" s="16"/>
    </row>
    <row r="25818" spans="30:30" x14ac:dyDescent="0.3">
      <c r="AD25818" s="16"/>
    </row>
    <row r="25819" spans="30:30" x14ac:dyDescent="0.3">
      <c r="AD25819" s="16"/>
    </row>
    <row r="25820" spans="30:30" x14ac:dyDescent="0.3">
      <c r="AD25820" s="16"/>
    </row>
    <row r="25821" spans="30:30" x14ac:dyDescent="0.3">
      <c r="AD25821" s="16"/>
    </row>
    <row r="25822" spans="30:30" x14ac:dyDescent="0.3">
      <c r="AD25822" s="16"/>
    </row>
    <row r="25823" spans="30:30" x14ac:dyDescent="0.3">
      <c r="AD25823" s="16"/>
    </row>
    <row r="25824" spans="30:30" x14ac:dyDescent="0.3">
      <c r="AD25824" s="16"/>
    </row>
    <row r="25825" spans="30:30" x14ac:dyDescent="0.3">
      <c r="AD25825" s="16"/>
    </row>
    <row r="25826" spans="30:30" x14ac:dyDescent="0.3">
      <c r="AD25826" s="16"/>
    </row>
    <row r="25827" spans="30:30" x14ac:dyDescent="0.3">
      <c r="AD25827" s="16"/>
    </row>
    <row r="25828" spans="30:30" x14ac:dyDescent="0.3">
      <c r="AD25828" s="16"/>
    </row>
    <row r="25829" spans="30:30" x14ac:dyDescent="0.3">
      <c r="AD25829" s="16"/>
    </row>
    <row r="25830" spans="30:30" x14ac:dyDescent="0.3">
      <c r="AD25830" s="16"/>
    </row>
    <row r="25831" spans="30:30" x14ac:dyDescent="0.3">
      <c r="AD25831" s="16"/>
    </row>
    <row r="25832" spans="30:30" x14ac:dyDescent="0.3">
      <c r="AD25832" s="16"/>
    </row>
    <row r="25833" spans="30:30" x14ac:dyDescent="0.3">
      <c r="AD25833" s="16"/>
    </row>
    <row r="25834" spans="30:30" x14ac:dyDescent="0.3">
      <c r="AD25834" s="16"/>
    </row>
    <row r="25835" spans="30:30" x14ac:dyDescent="0.3">
      <c r="AD25835" s="16"/>
    </row>
    <row r="25836" spans="30:30" x14ac:dyDescent="0.3">
      <c r="AD25836" s="16"/>
    </row>
    <row r="25837" spans="30:30" x14ac:dyDescent="0.3">
      <c r="AD25837" s="16"/>
    </row>
    <row r="25838" spans="30:30" x14ac:dyDescent="0.3">
      <c r="AD25838" s="16"/>
    </row>
    <row r="25839" spans="30:30" x14ac:dyDescent="0.3">
      <c r="AD25839" s="16"/>
    </row>
    <row r="25840" spans="30:30" x14ac:dyDescent="0.3">
      <c r="AD25840" s="16"/>
    </row>
    <row r="25841" spans="30:30" x14ac:dyDescent="0.3">
      <c r="AD25841" s="16"/>
    </row>
    <row r="25842" spans="30:30" x14ac:dyDescent="0.3">
      <c r="AD25842" s="16"/>
    </row>
    <row r="25843" spans="30:30" x14ac:dyDescent="0.3">
      <c r="AD25843" s="16"/>
    </row>
    <row r="25844" spans="30:30" x14ac:dyDescent="0.3">
      <c r="AD25844" s="16"/>
    </row>
    <row r="25845" spans="30:30" x14ac:dyDescent="0.3">
      <c r="AD25845" s="16"/>
    </row>
    <row r="25846" spans="30:30" x14ac:dyDescent="0.3">
      <c r="AD25846" s="16"/>
    </row>
    <row r="25847" spans="30:30" x14ac:dyDescent="0.3">
      <c r="AD25847" s="16"/>
    </row>
    <row r="25848" spans="30:30" x14ac:dyDescent="0.3">
      <c r="AD25848" s="16"/>
    </row>
    <row r="25849" spans="30:30" x14ac:dyDescent="0.3">
      <c r="AD25849" s="16"/>
    </row>
    <row r="25850" spans="30:30" x14ac:dyDescent="0.3">
      <c r="AD25850" s="16"/>
    </row>
    <row r="25851" spans="30:30" x14ac:dyDescent="0.3">
      <c r="AD25851" s="16"/>
    </row>
    <row r="25852" spans="30:30" x14ac:dyDescent="0.3">
      <c r="AD25852" s="16"/>
    </row>
    <row r="25853" spans="30:30" x14ac:dyDescent="0.3">
      <c r="AD25853" s="16"/>
    </row>
    <row r="25854" spans="30:30" x14ac:dyDescent="0.3">
      <c r="AD25854" s="16"/>
    </row>
    <row r="25855" spans="30:30" x14ac:dyDescent="0.3">
      <c r="AD25855" s="16"/>
    </row>
    <row r="25856" spans="30:30" x14ac:dyDescent="0.3">
      <c r="AD25856" s="16"/>
    </row>
    <row r="25857" spans="30:30" x14ac:dyDescent="0.3">
      <c r="AD25857" s="16"/>
    </row>
    <row r="25858" spans="30:30" x14ac:dyDescent="0.3">
      <c r="AD25858" s="16"/>
    </row>
    <row r="25859" spans="30:30" x14ac:dyDescent="0.3">
      <c r="AD25859" s="16"/>
    </row>
    <row r="25860" spans="30:30" x14ac:dyDescent="0.3">
      <c r="AD25860" s="16"/>
    </row>
    <row r="25861" spans="30:30" x14ac:dyDescent="0.3">
      <c r="AD25861" s="16"/>
    </row>
    <row r="25862" spans="30:30" x14ac:dyDescent="0.3">
      <c r="AD25862" s="16"/>
    </row>
    <row r="25863" spans="30:30" x14ac:dyDescent="0.3">
      <c r="AD25863" s="16"/>
    </row>
    <row r="25864" spans="30:30" x14ac:dyDescent="0.3">
      <c r="AD25864" s="16"/>
    </row>
    <row r="25865" spans="30:30" x14ac:dyDescent="0.3">
      <c r="AD25865" s="16"/>
    </row>
    <row r="25866" spans="30:30" x14ac:dyDescent="0.3">
      <c r="AD25866" s="16"/>
    </row>
    <row r="25867" spans="30:30" x14ac:dyDescent="0.3">
      <c r="AD25867" s="16"/>
    </row>
    <row r="25868" spans="30:30" x14ac:dyDescent="0.3">
      <c r="AD25868" s="16"/>
    </row>
    <row r="25869" spans="30:30" x14ac:dyDescent="0.3">
      <c r="AD25869" s="16"/>
    </row>
    <row r="25870" spans="30:30" x14ac:dyDescent="0.3">
      <c r="AD25870" s="16"/>
    </row>
    <row r="25871" spans="30:30" x14ac:dyDescent="0.3">
      <c r="AD25871" s="16"/>
    </row>
    <row r="25872" spans="30:30" x14ac:dyDescent="0.3">
      <c r="AD25872" s="16"/>
    </row>
    <row r="25873" spans="30:30" x14ac:dyDescent="0.3">
      <c r="AD25873" s="16"/>
    </row>
    <row r="25874" spans="30:30" x14ac:dyDescent="0.3">
      <c r="AD25874" s="16"/>
    </row>
    <row r="25875" spans="30:30" x14ac:dyDescent="0.3">
      <c r="AD25875" s="16"/>
    </row>
    <row r="25876" spans="30:30" x14ac:dyDescent="0.3">
      <c r="AD25876" s="16"/>
    </row>
    <row r="25877" spans="30:30" x14ac:dyDescent="0.3">
      <c r="AD25877" s="16"/>
    </row>
    <row r="25878" spans="30:30" x14ac:dyDescent="0.3">
      <c r="AD25878" s="16"/>
    </row>
    <row r="25879" spans="30:30" x14ac:dyDescent="0.3">
      <c r="AD25879" s="16"/>
    </row>
    <row r="25880" spans="30:30" x14ac:dyDescent="0.3">
      <c r="AD25880" s="16"/>
    </row>
    <row r="25881" spans="30:30" x14ac:dyDescent="0.3">
      <c r="AD25881" s="16"/>
    </row>
    <row r="25882" spans="30:30" x14ac:dyDescent="0.3">
      <c r="AD25882" s="16"/>
    </row>
    <row r="25883" spans="30:30" x14ac:dyDescent="0.3">
      <c r="AD25883" s="16"/>
    </row>
    <row r="25884" spans="30:30" x14ac:dyDescent="0.3">
      <c r="AD25884" s="16"/>
    </row>
    <row r="25885" spans="30:30" x14ac:dyDescent="0.3">
      <c r="AD25885" s="16"/>
    </row>
    <row r="25886" spans="30:30" x14ac:dyDescent="0.3">
      <c r="AD25886" s="16"/>
    </row>
    <row r="25887" spans="30:30" x14ac:dyDescent="0.3">
      <c r="AD25887" s="16"/>
    </row>
    <row r="25888" spans="30:30" x14ac:dyDescent="0.3">
      <c r="AD25888" s="16"/>
    </row>
    <row r="25889" spans="30:30" x14ac:dyDescent="0.3">
      <c r="AD25889" s="16"/>
    </row>
    <row r="25890" spans="30:30" x14ac:dyDescent="0.3">
      <c r="AD25890" s="16"/>
    </row>
    <row r="25891" spans="30:30" x14ac:dyDescent="0.3">
      <c r="AD25891" s="16"/>
    </row>
    <row r="25892" spans="30:30" x14ac:dyDescent="0.3">
      <c r="AD25892" s="16"/>
    </row>
    <row r="25893" spans="30:30" x14ac:dyDescent="0.3">
      <c r="AD25893" s="16"/>
    </row>
    <row r="25894" spans="30:30" x14ac:dyDescent="0.3">
      <c r="AD25894" s="16"/>
    </row>
    <row r="25895" spans="30:30" x14ac:dyDescent="0.3">
      <c r="AD25895" s="16"/>
    </row>
    <row r="25896" spans="30:30" x14ac:dyDescent="0.3">
      <c r="AD25896" s="16"/>
    </row>
    <row r="25897" spans="30:30" x14ac:dyDescent="0.3">
      <c r="AD25897" s="16"/>
    </row>
    <row r="25898" spans="30:30" x14ac:dyDescent="0.3">
      <c r="AD25898" s="16"/>
    </row>
    <row r="25899" spans="30:30" x14ac:dyDescent="0.3">
      <c r="AD25899" s="16"/>
    </row>
    <row r="25900" spans="30:30" x14ac:dyDescent="0.3">
      <c r="AD25900" s="16"/>
    </row>
    <row r="25901" spans="30:30" x14ac:dyDescent="0.3">
      <c r="AD25901" s="16"/>
    </row>
    <row r="25902" spans="30:30" x14ac:dyDescent="0.3">
      <c r="AD25902" s="16"/>
    </row>
    <row r="25903" spans="30:30" x14ac:dyDescent="0.3">
      <c r="AD25903" s="16"/>
    </row>
    <row r="25904" spans="30:30" x14ac:dyDescent="0.3">
      <c r="AD25904" s="16"/>
    </row>
    <row r="25905" spans="30:30" x14ac:dyDescent="0.3">
      <c r="AD25905" s="16"/>
    </row>
    <row r="25906" spans="30:30" x14ac:dyDescent="0.3">
      <c r="AD25906" s="16"/>
    </row>
    <row r="25907" spans="30:30" x14ac:dyDescent="0.3">
      <c r="AD25907" s="16"/>
    </row>
    <row r="25908" spans="30:30" x14ac:dyDescent="0.3">
      <c r="AD25908" s="16"/>
    </row>
    <row r="25909" spans="30:30" x14ac:dyDescent="0.3">
      <c r="AD25909" s="16"/>
    </row>
    <row r="25910" spans="30:30" x14ac:dyDescent="0.3">
      <c r="AD25910" s="16"/>
    </row>
    <row r="25911" spans="30:30" x14ac:dyDescent="0.3">
      <c r="AD25911" s="16"/>
    </row>
    <row r="25912" spans="30:30" x14ac:dyDescent="0.3">
      <c r="AD25912" s="16"/>
    </row>
    <row r="25913" spans="30:30" x14ac:dyDescent="0.3">
      <c r="AD25913" s="16"/>
    </row>
    <row r="25914" spans="30:30" x14ac:dyDescent="0.3">
      <c r="AD25914" s="16"/>
    </row>
    <row r="25915" spans="30:30" x14ac:dyDescent="0.3">
      <c r="AD25915" s="16"/>
    </row>
    <row r="25916" spans="30:30" x14ac:dyDescent="0.3">
      <c r="AD25916" s="16"/>
    </row>
    <row r="25917" spans="30:30" x14ac:dyDescent="0.3">
      <c r="AD25917" s="16"/>
    </row>
    <row r="25918" spans="30:30" x14ac:dyDescent="0.3">
      <c r="AD25918" s="16"/>
    </row>
    <row r="25919" spans="30:30" x14ac:dyDescent="0.3">
      <c r="AD25919" s="16"/>
    </row>
    <row r="25920" spans="30:30" x14ac:dyDescent="0.3">
      <c r="AD25920" s="16"/>
    </row>
    <row r="25921" spans="30:30" x14ac:dyDescent="0.3">
      <c r="AD25921" s="16"/>
    </row>
    <row r="25922" spans="30:30" x14ac:dyDescent="0.3">
      <c r="AD25922" s="16"/>
    </row>
    <row r="25923" spans="30:30" x14ac:dyDescent="0.3">
      <c r="AD25923" s="16"/>
    </row>
    <row r="25924" spans="30:30" x14ac:dyDescent="0.3">
      <c r="AD25924" s="16"/>
    </row>
    <row r="25925" spans="30:30" x14ac:dyDescent="0.3">
      <c r="AD25925" s="16"/>
    </row>
    <row r="25926" spans="30:30" x14ac:dyDescent="0.3">
      <c r="AD25926" s="16"/>
    </row>
    <row r="25927" spans="30:30" x14ac:dyDescent="0.3">
      <c r="AD25927" s="16"/>
    </row>
    <row r="25928" spans="30:30" x14ac:dyDescent="0.3">
      <c r="AD25928" s="16"/>
    </row>
    <row r="25929" spans="30:30" x14ac:dyDescent="0.3">
      <c r="AD25929" s="16"/>
    </row>
    <row r="25930" spans="30:30" x14ac:dyDescent="0.3">
      <c r="AD25930" s="16"/>
    </row>
    <row r="25931" spans="30:30" x14ac:dyDescent="0.3">
      <c r="AD25931" s="16"/>
    </row>
    <row r="25932" spans="30:30" x14ac:dyDescent="0.3">
      <c r="AD25932" s="16"/>
    </row>
    <row r="25933" spans="30:30" x14ac:dyDescent="0.3">
      <c r="AD25933" s="16"/>
    </row>
    <row r="25934" spans="30:30" x14ac:dyDescent="0.3">
      <c r="AD25934" s="16"/>
    </row>
    <row r="25935" spans="30:30" x14ac:dyDescent="0.3">
      <c r="AD25935" s="16"/>
    </row>
    <row r="25936" spans="30:30" x14ac:dyDescent="0.3">
      <c r="AD25936" s="16"/>
    </row>
    <row r="25937" spans="30:30" x14ac:dyDescent="0.3">
      <c r="AD25937" s="16"/>
    </row>
    <row r="25938" spans="30:30" x14ac:dyDescent="0.3">
      <c r="AD25938" s="16"/>
    </row>
    <row r="25939" spans="30:30" x14ac:dyDescent="0.3">
      <c r="AD25939" s="16"/>
    </row>
    <row r="25940" spans="30:30" x14ac:dyDescent="0.3">
      <c r="AD25940" s="16"/>
    </row>
    <row r="25941" spans="30:30" x14ac:dyDescent="0.3">
      <c r="AD25941" s="16"/>
    </row>
    <row r="25942" spans="30:30" x14ac:dyDescent="0.3">
      <c r="AD25942" s="16"/>
    </row>
    <row r="25943" spans="30:30" x14ac:dyDescent="0.3">
      <c r="AD25943" s="16"/>
    </row>
    <row r="25944" spans="30:30" x14ac:dyDescent="0.3">
      <c r="AD25944" s="16"/>
    </row>
    <row r="25945" spans="30:30" x14ac:dyDescent="0.3">
      <c r="AD25945" s="16"/>
    </row>
    <row r="25946" spans="30:30" x14ac:dyDescent="0.3">
      <c r="AD25946" s="16"/>
    </row>
    <row r="25947" spans="30:30" x14ac:dyDescent="0.3">
      <c r="AD25947" s="16"/>
    </row>
    <row r="25948" spans="30:30" x14ac:dyDescent="0.3">
      <c r="AD25948" s="16"/>
    </row>
    <row r="25949" spans="30:30" x14ac:dyDescent="0.3">
      <c r="AD25949" s="16"/>
    </row>
    <row r="25950" spans="30:30" x14ac:dyDescent="0.3">
      <c r="AD25950" s="16"/>
    </row>
    <row r="25951" spans="30:30" x14ac:dyDescent="0.3">
      <c r="AD25951" s="16"/>
    </row>
    <row r="25952" spans="30:30" x14ac:dyDescent="0.3">
      <c r="AD25952" s="16"/>
    </row>
    <row r="25953" spans="30:30" x14ac:dyDescent="0.3">
      <c r="AD25953" s="16"/>
    </row>
    <row r="25954" spans="30:30" x14ac:dyDescent="0.3">
      <c r="AD25954" s="16"/>
    </row>
    <row r="25955" spans="30:30" x14ac:dyDescent="0.3">
      <c r="AD25955" s="16"/>
    </row>
    <row r="25956" spans="30:30" x14ac:dyDescent="0.3">
      <c r="AD25956" s="16"/>
    </row>
    <row r="25957" spans="30:30" x14ac:dyDescent="0.3">
      <c r="AD25957" s="16"/>
    </row>
    <row r="25958" spans="30:30" x14ac:dyDescent="0.3">
      <c r="AD25958" s="16"/>
    </row>
    <row r="25959" spans="30:30" x14ac:dyDescent="0.3">
      <c r="AD25959" s="16"/>
    </row>
    <row r="25960" spans="30:30" x14ac:dyDescent="0.3">
      <c r="AD25960" s="16"/>
    </row>
    <row r="25961" spans="30:30" x14ac:dyDescent="0.3">
      <c r="AD25961" s="16"/>
    </row>
    <row r="25962" spans="30:30" x14ac:dyDescent="0.3">
      <c r="AD25962" s="16"/>
    </row>
    <row r="25963" spans="30:30" x14ac:dyDescent="0.3">
      <c r="AD25963" s="16"/>
    </row>
    <row r="25964" spans="30:30" x14ac:dyDescent="0.3">
      <c r="AD25964" s="16"/>
    </row>
    <row r="25965" spans="30:30" x14ac:dyDescent="0.3">
      <c r="AD25965" s="16"/>
    </row>
    <row r="25966" spans="30:30" x14ac:dyDescent="0.3">
      <c r="AD25966" s="16"/>
    </row>
    <row r="25967" spans="30:30" x14ac:dyDescent="0.3">
      <c r="AD25967" s="16"/>
    </row>
    <row r="25968" spans="30:30" x14ac:dyDescent="0.3">
      <c r="AD25968" s="16"/>
    </row>
    <row r="25969" spans="30:30" x14ac:dyDescent="0.3">
      <c r="AD25969" s="16"/>
    </row>
    <row r="25970" spans="30:30" x14ac:dyDescent="0.3">
      <c r="AD25970" s="16"/>
    </row>
    <row r="25971" spans="30:30" x14ac:dyDescent="0.3">
      <c r="AD25971" s="16"/>
    </row>
    <row r="25972" spans="30:30" x14ac:dyDescent="0.3">
      <c r="AD25972" s="16"/>
    </row>
    <row r="25973" spans="30:30" x14ac:dyDescent="0.3">
      <c r="AD25973" s="16"/>
    </row>
    <row r="25974" spans="30:30" x14ac:dyDescent="0.3">
      <c r="AD25974" s="16"/>
    </row>
    <row r="25975" spans="30:30" x14ac:dyDescent="0.3">
      <c r="AD25975" s="16"/>
    </row>
    <row r="25976" spans="30:30" x14ac:dyDescent="0.3">
      <c r="AD25976" s="16"/>
    </row>
    <row r="25977" spans="30:30" x14ac:dyDescent="0.3">
      <c r="AD25977" s="16"/>
    </row>
    <row r="25978" spans="30:30" x14ac:dyDescent="0.3">
      <c r="AD25978" s="16"/>
    </row>
    <row r="25979" spans="30:30" x14ac:dyDescent="0.3">
      <c r="AD25979" s="16"/>
    </row>
    <row r="25980" spans="30:30" x14ac:dyDescent="0.3">
      <c r="AD25980" s="16"/>
    </row>
    <row r="25981" spans="30:30" x14ac:dyDescent="0.3">
      <c r="AD25981" s="16"/>
    </row>
    <row r="25982" spans="30:30" x14ac:dyDescent="0.3">
      <c r="AD25982" s="16"/>
    </row>
    <row r="25983" spans="30:30" x14ac:dyDescent="0.3">
      <c r="AD25983" s="16"/>
    </row>
    <row r="25984" spans="30:30" x14ac:dyDescent="0.3">
      <c r="AD25984" s="16"/>
    </row>
    <row r="25985" spans="30:30" x14ac:dyDescent="0.3">
      <c r="AD25985" s="16"/>
    </row>
    <row r="25986" spans="30:30" x14ac:dyDescent="0.3">
      <c r="AD25986" s="16"/>
    </row>
    <row r="25987" spans="30:30" x14ac:dyDescent="0.3">
      <c r="AD25987" s="16"/>
    </row>
    <row r="25988" spans="30:30" x14ac:dyDescent="0.3">
      <c r="AD25988" s="16"/>
    </row>
    <row r="25989" spans="30:30" x14ac:dyDescent="0.3">
      <c r="AD25989" s="16"/>
    </row>
    <row r="25990" spans="30:30" x14ac:dyDescent="0.3">
      <c r="AD25990" s="16"/>
    </row>
    <row r="25991" spans="30:30" x14ac:dyDescent="0.3">
      <c r="AD25991" s="16"/>
    </row>
    <row r="25992" spans="30:30" x14ac:dyDescent="0.3">
      <c r="AD25992" s="16"/>
    </row>
    <row r="25993" spans="30:30" x14ac:dyDescent="0.3">
      <c r="AD25993" s="16"/>
    </row>
    <row r="25994" spans="30:30" x14ac:dyDescent="0.3">
      <c r="AD25994" s="16"/>
    </row>
    <row r="25995" spans="30:30" x14ac:dyDescent="0.3">
      <c r="AD25995" s="16"/>
    </row>
    <row r="25996" spans="30:30" x14ac:dyDescent="0.3">
      <c r="AD25996" s="16"/>
    </row>
    <row r="25997" spans="30:30" x14ac:dyDescent="0.3">
      <c r="AD25997" s="16"/>
    </row>
    <row r="25998" spans="30:30" x14ac:dyDescent="0.3">
      <c r="AD25998" s="16"/>
    </row>
    <row r="25999" spans="30:30" x14ac:dyDescent="0.3">
      <c r="AD25999" s="16"/>
    </row>
    <row r="26000" spans="30:30" x14ac:dyDescent="0.3">
      <c r="AD26000" s="16"/>
    </row>
    <row r="26001" spans="30:30" x14ac:dyDescent="0.3">
      <c r="AD26001" s="16"/>
    </row>
    <row r="26002" spans="30:30" x14ac:dyDescent="0.3">
      <c r="AD26002" s="16"/>
    </row>
    <row r="26003" spans="30:30" x14ac:dyDescent="0.3">
      <c r="AD26003" s="16"/>
    </row>
    <row r="26004" spans="30:30" x14ac:dyDescent="0.3">
      <c r="AD26004" s="16"/>
    </row>
    <row r="26005" spans="30:30" x14ac:dyDescent="0.3">
      <c r="AD26005" s="16"/>
    </row>
    <row r="26006" spans="30:30" x14ac:dyDescent="0.3">
      <c r="AD26006" s="16"/>
    </row>
    <row r="26007" spans="30:30" x14ac:dyDescent="0.3">
      <c r="AD26007" s="16"/>
    </row>
    <row r="26008" spans="30:30" x14ac:dyDescent="0.3">
      <c r="AD26008" s="16"/>
    </row>
    <row r="26009" spans="30:30" x14ac:dyDescent="0.3">
      <c r="AD26009" s="16"/>
    </row>
    <row r="26010" spans="30:30" x14ac:dyDescent="0.3">
      <c r="AD26010" s="16"/>
    </row>
    <row r="26011" spans="30:30" x14ac:dyDescent="0.3">
      <c r="AD26011" s="16"/>
    </row>
    <row r="26012" spans="30:30" x14ac:dyDescent="0.3">
      <c r="AD26012" s="16"/>
    </row>
    <row r="26013" spans="30:30" x14ac:dyDescent="0.3">
      <c r="AD26013" s="16"/>
    </row>
    <row r="26014" spans="30:30" x14ac:dyDescent="0.3">
      <c r="AD26014" s="16"/>
    </row>
    <row r="26015" spans="30:30" x14ac:dyDescent="0.3">
      <c r="AD26015" s="16"/>
    </row>
    <row r="26016" spans="30:30" x14ac:dyDescent="0.3">
      <c r="AD26016" s="16"/>
    </row>
    <row r="26017" spans="30:30" x14ac:dyDescent="0.3">
      <c r="AD26017" s="16"/>
    </row>
    <row r="26018" spans="30:30" x14ac:dyDescent="0.3">
      <c r="AD26018" s="16"/>
    </row>
    <row r="26019" spans="30:30" x14ac:dyDescent="0.3">
      <c r="AD26019" s="16"/>
    </row>
    <row r="26020" spans="30:30" x14ac:dyDescent="0.3">
      <c r="AD26020" s="16"/>
    </row>
    <row r="26021" spans="30:30" x14ac:dyDescent="0.3">
      <c r="AD26021" s="16"/>
    </row>
    <row r="26022" spans="30:30" x14ac:dyDescent="0.3">
      <c r="AD26022" s="16"/>
    </row>
    <row r="26023" spans="30:30" x14ac:dyDescent="0.3">
      <c r="AD26023" s="16"/>
    </row>
    <row r="26024" spans="30:30" x14ac:dyDescent="0.3">
      <c r="AD26024" s="16"/>
    </row>
    <row r="26025" spans="30:30" x14ac:dyDescent="0.3">
      <c r="AD26025" s="16"/>
    </row>
    <row r="26026" spans="30:30" x14ac:dyDescent="0.3">
      <c r="AD26026" s="16"/>
    </row>
    <row r="26027" spans="30:30" x14ac:dyDescent="0.3">
      <c r="AD26027" s="16"/>
    </row>
    <row r="26028" spans="30:30" x14ac:dyDescent="0.3">
      <c r="AD26028" s="16"/>
    </row>
    <row r="26029" spans="30:30" x14ac:dyDescent="0.3">
      <c r="AD26029" s="16"/>
    </row>
    <row r="26030" spans="30:30" x14ac:dyDescent="0.3">
      <c r="AD26030" s="16"/>
    </row>
    <row r="26031" spans="30:30" x14ac:dyDescent="0.3">
      <c r="AD26031" s="16"/>
    </row>
    <row r="26032" spans="30:30" x14ac:dyDescent="0.3">
      <c r="AD26032" s="16"/>
    </row>
    <row r="26033" spans="30:30" x14ac:dyDescent="0.3">
      <c r="AD26033" s="16"/>
    </row>
    <row r="26034" spans="30:30" x14ac:dyDescent="0.3">
      <c r="AD26034" s="16"/>
    </row>
    <row r="26035" spans="30:30" x14ac:dyDescent="0.3">
      <c r="AD26035" s="16"/>
    </row>
    <row r="26036" spans="30:30" x14ac:dyDescent="0.3">
      <c r="AD26036" s="16"/>
    </row>
    <row r="26037" spans="30:30" x14ac:dyDescent="0.3">
      <c r="AD26037" s="16"/>
    </row>
    <row r="26038" spans="30:30" x14ac:dyDescent="0.3">
      <c r="AD26038" s="16"/>
    </row>
    <row r="26039" spans="30:30" x14ac:dyDescent="0.3">
      <c r="AD26039" s="16"/>
    </row>
    <row r="26040" spans="30:30" x14ac:dyDescent="0.3">
      <c r="AD26040" s="16"/>
    </row>
    <row r="26041" spans="30:30" x14ac:dyDescent="0.3">
      <c r="AD26041" s="16"/>
    </row>
    <row r="26042" spans="30:30" x14ac:dyDescent="0.3">
      <c r="AD26042" s="16"/>
    </row>
    <row r="26043" spans="30:30" x14ac:dyDescent="0.3">
      <c r="AD26043" s="16"/>
    </row>
    <row r="26044" spans="30:30" x14ac:dyDescent="0.3">
      <c r="AD26044" s="16"/>
    </row>
    <row r="26045" spans="30:30" x14ac:dyDescent="0.3">
      <c r="AD26045" s="16"/>
    </row>
    <row r="26046" spans="30:30" x14ac:dyDescent="0.3">
      <c r="AD26046" s="16"/>
    </row>
    <row r="26047" spans="30:30" x14ac:dyDescent="0.3">
      <c r="AD26047" s="16"/>
    </row>
    <row r="26048" spans="30:30" x14ac:dyDescent="0.3">
      <c r="AD26048" s="16"/>
    </row>
    <row r="26049" spans="30:30" x14ac:dyDescent="0.3">
      <c r="AD26049" s="16"/>
    </row>
    <row r="26050" spans="30:30" x14ac:dyDescent="0.3">
      <c r="AD26050" s="16"/>
    </row>
    <row r="26051" spans="30:30" x14ac:dyDescent="0.3">
      <c r="AD26051" s="16"/>
    </row>
    <row r="26052" spans="30:30" x14ac:dyDescent="0.3">
      <c r="AD26052" s="16"/>
    </row>
    <row r="26053" spans="30:30" x14ac:dyDescent="0.3">
      <c r="AD26053" s="16"/>
    </row>
    <row r="26054" spans="30:30" x14ac:dyDescent="0.3">
      <c r="AD26054" s="16"/>
    </row>
    <row r="26055" spans="30:30" x14ac:dyDescent="0.3">
      <c r="AD26055" s="16"/>
    </row>
    <row r="26056" spans="30:30" x14ac:dyDescent="0.3">
      <c r="AD26056" s="16"/>
    </row>
    <row r="26057" spans="30:30" x14ac:dyDescent="0.3">
      <c r="AD26057" s="16"/>
    </row>
    <row r="26058" spans="30:30" x14ac:dyDescent="0.3">
      <c r="AD26058" s="16"/>
    </row>
    <row r="26059" spans="30:30" x14ac:dyDescent="0.3">
      <c r="AD26059" s="16"/>
    </row>
    <row r="26060" spans="30:30" x14ac:dyDescent="0.3">
      <c r="AD26060" s="16"/>
    </row>
    <row r="26061" spans="30:30" x14ac:dyDescent="0.3">
      <c r="AD26061" s="16"/>
    </row>
    <row r="26062" spans="30:30" x14ac:dyDescent="0.3">
      <c r="AD26062" s="16"/>
    </row>
    <row r="26063" spans="30:30" x14ac:dyDescent="0.3">
      <c r="AD26063" s="16"/>
    </row>
    <row r="26064" spans="30:30" x14ac:dyDescent="0.3">
      <c r="AD26064" s="16"/>
    </row>
    <row r="26065" spans="30:30" x14ac:dyDescent="0.3">
      <c r="AD26065" s="16"/>
    </row>
    <row r="26066" spans="30:30" x14ac:dyDescent="0.3">
      <c r="AD26066" s="16"/>
    </row>
    <row r="26067" spans="30:30" x14ac:dyDescent="0.3">
      <c r="AD26067" s="16"/>
    </row>
    <row r="26068" spans="30:30" x14ac:dyDescent="0.3">
      <c r="AD26068" s="16"/>
    </row>
    <row r="26069" spans="30:30" x14ac:dyDescent="0.3">
      <c r="AD26069" s="16"/>
    </row>
    <row r="26070" spans="30:30" x14ac:dyDescent="0.3">
      <c r="AD26070" s="16"/>
    </row>
    <row r="26071" spans="30:30" x14ac:dyDescent="0.3">
      <c r="AD26071" s="16"/>
    </row>
    <row r="26072" spans="30:30" x14ac:dyDescent="0.3">
      <c r="AD26072" s="16"/>
    </row>
    <row r="26073" spans="30:30" x14ac:dyDescent="0.3">
      <c r="AD26073" s="16"/>
    </row>
    <row r="26074" spans="30:30" x14ac:dyDescent="0.3">
      <c r="AD26074" s="16"/>
    </row>
    <row r="26075" spans="30:30" x14ac:dyDescent="0.3">
      <c r="AD26075" s="16"/>
    </row>
    <row r="26076" spans="30:30" x14ac:dyDescent="0.3">
      <c r="AD26076" s="16"/>
    </row>
    <row r="26077" spans="30:30" x14ac:dyDescent="0.3">
      <c r="AD26077" s="16"/>
    </row>
    <row r="26078" spans="30:30" x14ac:dyDescent="0.3">
      <c r="AD26078" s="16"/>
    </row>
    <row r="26079" spans="30:30" x14ac:dyDescent="0.3">
      <c r="AD26079" s="16"/>
    </row>
    <row r="26080" spans="30:30" x14ac:dyDescent="0.3">
      <c r="AD26080" s="16"/>
    </row>
    <row r="26081" spans="30:30" x14ac:dyDescent="0.3">
      <c r="AD26081" s="16"/>
    </row>
    <row r="26082" spans="30:30" x14ac:dyDescent="0.3">
      <c r="AD26082" s="16"/>
    </row>
    <row r="26083" spans="30:30" x14ac:dyDescent="0.3">
      <c r="AD26083" s="16"/>
    </row>
    <row r="26084" spans="30:30" x14ac:dyDescent="0.3">
      <c r="AD26084" s="16"/>
    </row>
    <row r="26085" spans="30:30" x14ac:dyDescent="0.3">
      <c r="AD26085" s="16"/>
    </row>
    <row r="26086" spans="30:30" x14ac:dyDescent="0.3">
      <c r="AD26086" s="16"/>
    </row>
    <row r="26087" spans="30:30" x14ac:dyDescent="0.3">
      <c r="AD26087" s="16"/>
    </row>
    <row r="26088" spans="30:30" x14ac:dyDescent="0.3">
      <c r="AD26088" s="16"/>
    </row>
    <row r="26089" spans="30:30" x14ac:dyDescent="0.3">
      <c r="AD26089" s="16"/>
    </row>
    <row r="26090" spans="30:30" x14ac:dyDescent="0.3">
      <c r="AD26090" s="16"/>
    </row>
    <row r="26091" spans="30:30" x14ac:dyDescent="0.3">
      <c r="AD26091" s="16"/>
    </row>
    <row r="26092" spans="30:30" x14ac:dyDescent="0.3">
      <c r="AD26092" s="16"/>
    </row>
    <row r="26093" spans="30:30" x14ac:dyDescent="0.3">
      <c r="AD26093" s="16"/>
    </row>
    <row r="26094" spans="30:30" x14ac:dyDescent="0.3">
      <c r="AD26094" s="16"/>
    </row>
    <row r="26095" spans="30:30" x14ac:dyDescent="0.3">
      <c r="AD26095" s="16"/>
    </row>
    <row r="26096" spans="30:30" x14ac:dyDescent="0.3">
      <c r="AD26096" s="16"/>
    </row>
    <row r="26097" spans="30:30" x14ac:dyDescent="0.3">
      <c r="AD26097" s="16"/>
    </row>
    <row r="26098" spans="30:30" x14ac:dyDescent="0.3">
      <c r="AD26098" s="16"/>
    </row>
    <row r="26099" spans="30:30" x14ac:dyDescent="0.3">
      <c r="AD26099" s="16"/>
    </row>
    <row r="26100" spans="30:30" x14ac:dyDescent="0.3">
      <c r="AD26100" s="16"/>
    </row>
    <row r="26101" spans="30:30" x14ac:dyDescent="0.3">
      <c r="AD26101" s="16"/>
    </row>
    <row r="26102" spans="30:30" x14ac:dyDescent="0.3">
      <c r="AD26102" s="16"/>
    </row>
    <row r="26103" spans="30:30" x14ac:dyDescent="0.3">
      <c r="AD26103" s="16"/>
    </row>
    <row r="26104" spans="30:30" x14ac:dyDescent="0.3">
      <c r="AD26104" s="16"/>
    </row>
    <row r="26105" spans="30:30" x14ac:dyDescent="0.3">
      <c r="AD26105" s="16"/>
    </row>
    <row r="26106" spans="30:30" x14ac:dyDescent="0.3">
      <c r="AD26106" s="16"/>
    </row>
    <row r="26107" spans="30:30" x14ac:dyDescent="0.3">
      <c r="AD26107" s="16"/>
    </row>
    <row r="26108" spans="30:30" x14ac:dyDescent="0.3">
      <c r="AD26108" s="16"/>
    </row>
    <row r="26109" spans="30:30" x14ac:dyDescent="0.3">
      <c r="AD26109" s="16"/>
    </row>
    <row r="26110" spans="30:30" x14ac:dyDescent="0.3">
      <c r="AD26110" s="16"/>
    </row>
    <row r="26111" spans="30:30" x14ac:dyDescent="0.3">
      <c r="AD26111" s="16"/>
    </row>
    <row r="26112" spans="30:30" x14ac:dyDescent="0.3">
      <c r="AD26112" s="16"/>
    </row>
    <row r="26113" spans="30:30" x14ac:dyDescent="0.3">
      <c r="AD26113" s="16"/>
    </row>
    <row r="26114" spans="30:30" x14ac:dyDescent="0.3">
      <c r="AD26114" s="16"/>
    </row>
    <row r="26115" spans="30:30" x14ac:dyDescent="0.3">
      <c r="AD26115" s="16"/>
    </row>
    <row r="26116" spans="30:30" x14ac:dyDescent="0.3">
      <c r="AD26116" s="16"/>
    </row>
    <row r="26117" spans="30:30" x14ac:dyDescent="0.3">
      <c r="AD26117" s="16"/>
    </row>
    <row r="26118" spans="30:30" x14ac:dyDescent="0.3">
      <c r="AD26118" s="16"/>
    </row>
    <row r="26119" spans="30:30" x14ac:dyDescent="0.3">
      <c r="AD26119" s="16"/>
    </row>
    <row r="26120" spans="30:30" x14ac:dyDescent="0.3">
      <c r="AD26120" s="16"/>
    </row>
    <row r="26121" spans="30:30" x14ac:dyDescent="0.3">
      <c r="AD26121" s="16"/>
    </row>
    <row r="26122" spans="30:30" x14ac:dyDescent="0.3">
      <c r="AD26122" s="16"/>
    </row>
    <row r="26123" spans="30:30" x14ac:dyDescent="0.3">
      <c r="AD26123" s="16"/>
    </row>
    <row r="26124" spans="30:30" x14ac:dyDescent="0.3">
      <c r="AD26124" s="16"/>
    </row>
    <row r="26125" spans="30:30" x14ac:dyDescent="0.3">
      <c r="AD26125" s="16"/>
    </row>
    <row r="26126" spans="30:30" x14ac:dyDescent="0.3">
      <c r="AD26126" s="16"/>
    </row>
    <row r="26127" spans="30:30" x14ac:dyDescent="0.3">
      <c r="AD26127" s="16"/>
    </row>
    <row r="26128" spans="30:30" x14ac:dyDescent="0.3">
      <c r="AD26128" s="16"/>
    </row>
    <row r="26129" spans="30:30" x14ac:dyDescent="0.3">
      <c r="AD26129" s="16"/>
    </row>
    <row r="26130" spans="30:30" x14ac:dyDescent="0.3">
      <c r="AD26130" s="16"/>
    </row>
    <row r="26131" spans="30:30" x14ac:dyDescent="0.3">
      <c r="AD26131" s="16"/>
    </row>
    <row r="26132" spans="30:30" x14ac:dyDescent="0.3">
      <c r="AD26132" s="16"/>
    </row>
    <row r="26133" spans="30:30" x14ac:dyDescent="0.3">
      <c r="AD26133" s="16"/>
    </row>
    <row r="26134" spans="30:30" x14ac:dyDescent="0.3">
      <c r="AD26134" s="16"/>
    </row>
    <row r="26135" spans="30:30" x14ac:dyDescent="0.3">
      <c r="AD26135" s="16"/>
    </row>
    <row r="26136" spans="30:30" x14ac:dyDescent="0.3">
      <c r="AD26136" s="16"/>
    </row>
    <row r="26137" spans="30:30" x14ac:dyDescent="0.3">
      <c r="AD26137" s="16"/>
    </row>
    <row r="26138" spans="30:30" x14ac:dyDescent="0.3">
      <c r="AD26138" s="16"/>
    </row>
    <row r="26139" spans="30:30" x14ac:dyDescent="0.3">
      <c r="AD26139" s="16"/>
    </row>
    <row r="26140" spans="30:30" x14ac:dyDescent="0.3">
      <c r="AD26140" s="16"/>
    </row>
    <row r="26141" spans="30:30" x14ac:dyDescent="0.3">
      <c r="AD26141" s="16"/>
    </row>
    <row r="26142" spans="30:30" x14ac:dyDescent="0.3">
      <c r="AD26142" s="16"/>
    </row>
    <row r="26143" spans="30:30" x14ac:dyDescent="0.3">
      <c r="AD26143" s="16"/>
    </row>
    <row r="26144" spans="30:30" x14ac:dyDescent="0.3">
      <c r="AD26144" s="16"/>
    </row>
    <row r="26145" spans="30:30" x14ac:dyDescent="0.3">
      <c r="AD26145" s="16"/>
    </row>
    <row r="26146" spans="30:30" x14ac:dyDescent="0.3">
      <c r="AD26146" s="16"/>
    </row>
    <row r="26147" spans="30:30" x14ac:dyDescent="0.3">
      <c r="AD26147" s="16"/>
    </row>
    <row r="26148" spans="30:30" x14ac:dyDescent="0.3">
      <c r="AD26148" s="16"/>
    </row>
    <row r="26149" spans="30:30" x14ac:dyDescent="0.3">
      <c r="AD26149" s="16"/>
    </row>
    <row r="26150" spans="30:30" x14ac:dyDescent="0.3">
      <c r="AD26150" s="16"/>
    </row>
    <row r="26151" spans="30:30" x14ac:dyDescent="0.3">
      <c r="AD26151" s="16"/>
    </row>
    <row r="26152" spans="30:30" x14ac:dyDescent="0.3">
      <c r="AD26152" s="16"/>
    </row>
    <row r="26153" spans="30:30" x14ac:dyDescent="0.3">
      <c r="AD26153" s="16"/>
    </row>
    <row r="26154" spans="30:30" x14ac:dyDescent="0.3">
      <c r="AD26154" s="16"/>
    </row>
    <row r="26155" spans="30:30" x14ac:dyDescent="0.3">
      <c r="AD26155" s="16"/>
    </row>
    <row r="26156" spans="30:30" x14ac:dyDescent="0.3">
      <c r="AD26156" s="16"/>
    </row>
    <row r="26157" spans="30:30" x14ac:dyDescent="0.3">
      <c r="AD26157" s="16"/>
    </row>
    <row r="26158" spans="30:30" x14ac:dyDescent="0.3">
      <c r="AD26158" s="16"/>
    </row>
    <row r="26159" spans="30:30" x14ac:dyDescent="0.3">
      <c r="AD26159" s="16"/>
    </row>
    <row r="26160" spans="30:30" x14ac:dyDescent="0.3">
      <c r="AD26160" s="16"/>
    </row>
    <row r="26161" spans="30:30" x14ac:dyDescent="0.3">
      <c r="AD26161" s="16"/>
    </row>
    <row r="26162" spans="30:30" x14ac:dyDescent="0.3">
      <c r="AD26162" s="16"/>
    </row>
    <row r="26163" spans="30:30" x14ac:dyDescent="0.3">
      <c r="AD26163" s="16"/>
    </row>
    <row r="26164" spans="30:30" x14ac:dyDescent="0.3">
      <c r="AD26164" s="16"/>
    </row>
    <row r="26165" spans="30:30" x14ac:dyDescent="0.3">
      <c r="AD26165" s="16"/>
    </row>
    <row r="26166" spans="30:30" x14ac:dyDescent="0.3">
      <c r="AD26166" s="16"/>
    </row>
    <row r="26167" spans="30:30" x14ac:dyDescent="0.3">
      <c r="AD26167" s="16"/>
    </row>
    <row r="26168" spans="30:30" x14ac:dyDescent="0.3">
      <c r="AD26168" s="16"/>
    </row>
    <row r="26169" spans="30:30" x14ac:dyDescent="0.3">
      <c r="AD26169" s="16"/>
    </row>
    <row r="26170" spans="30:30" x14ac:dyDescent="0.3">
      <c r="AD26170" s="16"/>
    </row>
    <row r="26171" spans="30:30" x14ac:dyDescent="0.3">
      <c r="AD26171" s="16"/>
    </row>
    <row r="26172" spans="30:30" x14ac:dyDescent="0.3">
      <c r="AD26172" s="16"/>
    </row>
    <row r="26173" spans="30:30" x14ac:dyDescent="0.3">
      <c r="AD26173" s="16"/>
    </row>
    <row r="26174" spans="30:30" x14ac:dyDescent="0.3">
      <c r="AD26174" s="16"/>
    </row>
    <row r="26175" spans="30:30" x14ac:dyDescent="0.3">
      <c r="AD26175" s="16"/>
    </row>
    <row r="26176" spans="30:30" x14ac:dyDescent="0.3">
      <c r="AD26176" s="16"/>
    </row>
    <row r="26177" spans="30:30" x14ac:dyDescent="0.3">
      <c r="AD26177" s="16"/>
    </row>
    <row r="26178" spans="30:30" x14ac:dyDescent="0.3">
      <c r="AD26178" s="16"/>
    </row>
    <row r="26179" spans="30:30" x14ac:dyDescent="0.3">
      <c r="AD26179" s="16"/>
    </row>
    <row r="26180" spans="30:30" x14ac:dyDescent="0.3">
      <c r="AD26180" s="16"/>
    </row>
    <row r="26181" spans="30:30" x14ac:dyDescent="0.3">
      <c r="AD26181" s="16"/>
    </row>
    <row r="26182" spans="30:30" x14ac:dyDescent="0.3">
      <c r="AD26182" s="16"/>
    </row>
    <row r="26183" spans="30:30" x14ac:dyDescent="0.3">
      <c r="AD26183" s="16"/>
    </row>
    <row r="26184" spans="30:30" x14ac:dyDescent="0.3">
      <c r="AD26184" s="16"/>
    </row>
    <row r="26185" spans="30:30" x14ac:dyDescent="0.3">
      <c r="AD26185" s="16"/>
    </row>
    <row r="26186" spans="30:30" x14ac:dyDescent="0.3">
      <c r="AD26186" s="16"/>
    </row>
    <row r="26187" spans="30:30" x14ac:dyDescent="0.3">
      <c r="AD26187" s="16"/>
    </row>
    <row r="26188" spans="30:30" x14ac:dyDescent="0.3">
      <c r="AD26188" s="16"/>
    </row>
    <row r="26189" spans="30:30" x14ac:dyDescent="0.3">
      <c r="AD26189" s="16"/>
    </row>
    <row r="26190" spans="30:30" x14ac:dyDescent="0.3">
      <c r="AD26190" s="16"/>
    </row>
    <row r="26191" spans="30:30" x14ac:dyDescent="0.3">
      <c r="AD26191" s="16"/>
    </row>
    <row r="26192" spans="30:30" x14ac:dyDescent="0.3">
      <c r="AD26192" s="16"/>
    </row>
    <row r="26193" spans="30:30" x14ac:dyDescent="0.3">
      <c r="AD26193" s="16"/>
    </row>
    <row r="26194" spans="30:30" x14ac:dyDescent="0.3">
      <c r="AD26194" s="16"/>
    </row>
    <row r="26195" spans="30:30" x14ac:dyDescent="0.3">
      <c r="AD26195" s="16"/>
    </row>
    <row r="26196" spans="30:30" x14ac:dyDescent="0.3">
      <c r="AD26196" s="16"/>
    </row>
    <row r="26197" spans="30:30" x14ac:dyDescent="0.3">
      <c r="AD26197" s="16"/>
    </row>
    <row r="26198" spans="30:30" x14ac:dyDescent="0.3">
      <c r="AD26198" s="16"/>
    </row>
    <row r="26199" spans="30:30" x14ac:dyDescent="0.3">
      <c r="AD26199" s="16"/>
    </row>
    <row r="26200" spans="30:30" x14ac:dyDescent="0.3">
      <c r="AD26200" s="16"/>
    </row>
    <row r="26201" spans="30:30" x14ac:dyDescent="0.3">
      <c r="AD26201" s="16"/>
    </row>
    <row r="26202" spans="30:30" x14ac:dyDescent="0.3">
      <c r="AD26202" s="16"/>
    </row>
    <row r="26203" spans="30:30" x14ac:dyDescent="0.3">
      <c r="AD26203" s="16"/>
    </row>
    <row r="26204" spans="30:30" x14ac:dyDescent="0.3">
      <c r="AD26204" s="16"/>
    </row>
    <row r="26205" spans="30:30" x14ac:dyDescent="0.3">
      <c r="AD26205" s="16"/>
    </row>
    <row r="26206" spans="30:30" x14ac:dyDescent="0.3">
      <c r="AD26206" s="16"/>
    </row>
    <row r="26207" spans="30:30" x14ac:dyDescent="0.3">
      <c r="AD26207" s="16"/>
    </row>
    <row r="26208" spans="30:30" x14ac:dyDescent="0.3">
      <c r="AD26208" s="16"/>
    </row>
    <row r="26209" spans="30:30" x14ac:dyDescent="0.3">
      <c r="AD26209" s="16"/>
    </row>
    <row r="26210" spans="30:30" x14ac:dyDescent="0.3">
      <c r="AD26210" s="16"/>
    </row>
    <row r="26211" spans="30:30" x14ac:dyDescent="0.3">
      <c r="AD26211" s="16"/>
    </row>
    <row r="26212" spans="30:30" x14ac:dyDescent="0.3">
      <c r="AD26212" s="16"/>
    </row>
    <row r="26213" spans="30:30" x14ac:dyDescent="0.3">
      <c r="AD26213" s="16"/>
    </row>
    <row r="26214" spans="30:30" x14ac:dyDescent="0.3">
      <c r="AD26214" s="16"/>
    </row>
    <row r="26215" spans="30:30" x14ac:dyDescent="0.3">
      <c r="AD26215" s="16"/>
    </row>
    <row r="26216" spans="30:30" x14ac:dyDescent="0.3">
      <c r="AD26216" s="16"/>
    </row>
    <row r="26217" spans="30:30" x14ac:dyDescent="0.3">
      <c r="AD26217" s="16"/>
    </row>
    <row r="26218" spans="30:30" x14ac:dyDescent="0.3">
      <c r="AD26218" s="16"/>
    </row>
    <row r="26219" spans="30:30" x14ac:dyDescent="0.3">
      <c r="AD26219" s="16"/>
    </row>
    <row r="26220" spans="30:30" x14ac:dyDescent="0.3">
      <c r="AD26220" s="16"/>
    </row>
    <row r="26221" spans="30:30" x14ac:dyDescent="0.3">
      <c r="AD26221" s="16"/>
    </row>
    <row r="26222" spans="30:30" x14ac:dyDescent="0.3">
      <c r="AD26222" s="16"/>
    </row>
    <row r="26223" spans="30:30" x14ac:dyDescent="0.3">
      <c r="AD26223" s="16"/>
    </row>
    <row r="26224" spans="30:30" x14ac:dyDescent="0.3">
      <c r="AD26224" s="16"/>
    </row>
    <row r="26225" spans="30:30" x14ac:dyDescent="0.3">
      <c r="AD26225" s="16"/>
    </row>
    <row r="26226" spans="30:30" x14ac:dyDescent="0.3">
      <c r="AD26226" s="16"/>
    </row>
    <row r="26227" spans="30:30" x14ac:dyDescent="0.3">
      <c r="AD26227" s="16"/>
    </row>
    <row r="26228" spans="30:30" x14ac:dyDescent="0.3">
      <c r="AD26228" s="16"/>
    </row>
    <row r="26229" spans="30:30" x14ac:dyDescent="0.3">
      <c r="AD26229" s="16"/>
    </row>
    <row r="26230" spans="30:30" x14ac:dyDescent="0.3">
      <c r="AD26230" s="16"/>
    </row>
    <row r="26231" spans="30:30" x14ac:dyDescent="0.3">
      <c r="AD26231" s="16"/>
    </row>
    <row r="26232" spans="30:30" x14ac:dyDescent="0.3">
      <c r="AD26232" s="16"/>
    </row>
    <row r="26233" spans="30:30" x14ac:dyDescent="0.3">
      <c r="AD26233" s="16"/>
    </row>
    <row r="26234" spans="30:30" x14ac:dyDescent="0.3">
      <c r="AD26234" s="16"/>
    </row>
    <row r="26235" spans="30:30" x14ac:dyDescent="0.3">
      <c r="AD26235" s="16"/>
    </row>
    <row r="26236" spans="30:30" x14ac:dyDescent="0.3">
      <c r="AD26236" s="16"/>
    </row>
    <row r="26237" spans="30:30" x14ac:dyDescent="0.3">
      <c r="AD26237" s="16"/>
    </row>
    <row r="26238" spans="30:30" x14ac:dyDescent="0.3">
      <c r="AD26238" s="16"/>
    </row>
    <row r="26239" spans="30:30" x14ac:dyDescent="0.3">
      <c r="AD26239" s="16"/>
    </row>
    <row r="26240" spans="30:30" x14ac:dyDescent="0.3">
      <c r="AD26240" s="16"/>
    </row>
    <row r="26241" spans="30:30" x14ac:dyDescent="0.3">
      <c r="AD26241" s="16"/>
    </row>
    <row r="26242" spans="30:30" x14ac:dyDescent="0.3">
      <c r="AD26242" s="16"/>
    </row>
    <row r="26243" spans="30:30" x14ac:dyDescent="0.3">
      <c r="AD26243" s="16"/>
    </row>
    <row r="26244" spans="30:30" x14ac:dyDescent="0.3">
      <c r="AD26244" s="16"/>
    </row>
    <row r="26245" spans="30:30" x14ac:dyDescent="0.3">
      <c r="AD26245" s="16"/>
    </row>
    <row r="26246" spans="30:30" x14ac:dyDescent="0.3">
      <c r="AD26246" s="16"/>
    </row>
    <row r="26247" spans="30:30" x14ac:dyDescent="0.3">
      <c r="AD26247" s="16"/>
    </row>
    <row r="26248" spans="30:30" x14ac:dyDescent="0.3">
      <c r="AD26248" s="16"/>
    </row>
    <row r="26249" spans="30:30" x14ac:dyDescent="0.3">
      <c r="AD26249" s="16"/>
    </row>
    <row r="26250" spans="30:30" x14ac:dyDescent="0.3">
      <c r="AD26250" s="16"/>
    </row>
    <row r="26251" spans="30:30" x14ac:dyDescent="0.3">
      <c r="AD26251" s="16"/>
    </row>
    <row r="26252" spans="30:30" x14ac:dyDescent="0.3">
      <c r="AD26252" s="16"/>
    </row>
    <row r="26253" spans="30:30" x14ac:dyDescent="0.3">
      <c r="AD26253" s="16"/>
    </row>
    <row r="26254" spans="30:30" x14ac:dyDescent="0.3">
      <c r="AD26254" s="16"/>
    </row>
    <row r="26255" spans="30:30" x14ac:dyDescent="0.3">
      <c r="AD26255" s="16"/>
    </row>
    <row r="26256" spans="30:30" x14ac:dyDescent="0.3">
      <c r="AD26256" s="16"/>
    </row>
    <row r="26257" spans="30:30" x14ac:dyDescent="0.3">
      <c r="AD26257" s="16"/>
    </row>
    <row r="26258" spans="30:30" x14ac:dyDescent="0.3">
      <c r="AD26258" s="16"/>
    </row>
    <row r="26259" spans="30:30" x14ac:dyDescent="0.3">
      <c r="AD26259" s="16"/>
    </row>
    <row r="26260" spans="30:30" x14ac:dyDescent="0.3">
      <c r="AD26260" s="16"/>
    </row>
    <row r="26261" spans="30:30" x14ac:dyDescent="0.3">
      <c r="AD26261" s="16"/>
    </row>
    <row r="26262" spans="30:30" x14ac:dyDescent="0.3">
      <c r="AD26262" s="16"/>
    </row>
    <row r="26263" spans="30:30" x14ac:dyDescent="0.3">
      <c r="AD26263" s="16"/>
    </row>
    <row r="26264" spans="30:30" x14ac:dyDescent="0.3">
      <c r="AD26264" s="16"/>
    </row>
    <row r="26265" spans="30:30" x14ac:dyDescent="0.3">
      <c r="AD26265" s="16"/>
    </row>
    <row r="26266" spans="30:30" x14ac:dyDescent="0.3">
      <c r="AD26266" s="16"/>
    </row>
    <row r="26267" spans="30:30" x14ac:dyDescent="0.3">
      <c r="AD26267" s="16"/>
    </row>
    <row r="26268" spans="30:30" x14ac:dyDescent="0.3">
      <c r="AD26268" s="16"/>
    </row>
    <row r="26269" spans="30:30" x14ac:dyDescent="0.3">
      <c r="AD26269" s="16"/>
    </row>
    <row r="26270" spans="30:30" x14ac:dyDescent="0.3">
      <c r="AD26270" s="16"/>
    </row>
    <row r="26271" spans="30:30" x14ac:dyDescent="0.3">
      <c r="AD26271" s="16"/>
    </row>
    <row r="26272" spans="30:30" x14ac:dyDescent="0.3">
      <c r="AD26272" s="16"/>
    </row>
    <row r="26273" spans="30:30" x14ac:dyDescent="0.3">
      <c r="AD26273" s="16"/>
    </row>
    <row r="26274" spans="30:30" x14ac:dyDescent="0.3">
      <c r="AD26274" s="16"/>
    </row>
    <row r="26275" spans="30:30" x14ac:dyDescent="0.3">
      <c r="AD26275" s="16"/>
    </row>
    <row r="26276" spans="30:30" x14ac:dyDescent="0.3">
      <c r="AD26276" s="16"/>
    </row>
    <row r="26277" spans="30:30" x14ac:dyDescent="0.3">
      <c r="AD26277" s="16"/>
    </row>
    <row r="26278" spans="30:30" x14ac:dyDescent="0.3">
      <c r="AD26278" s="16"/>
    </row>
    <row r="26279" spans="30:30" x14ac:dyDescent="0.3">
      <c r="AD26279" s="16"/>
    </row>
    <row r="26280" spans="30:30" x14ac:dyDescent="0.3">
      <c r="AD26280" s="16"/>
    </row>
    <row r="26281" spans="30:30" x14ac:dyDescent="0.3">
      <c r="AD26281" s="16"/>
    </row>
    <row r="26282" spans="30:30" x14ac:dyDescent="0.3">
      <c r="AD26282" s="16"/>
    </row>
    <row r="26283" spans="30:30" x14ac:dyDescent="0.3">
      <c r="AD26283" s="16"/>
    </row>
    <row r="26284" spans="30:30" x14ac:dyDescent="0.3">
      <c r="AD26284" s="16"/>
    </row>
    <row r="26285" spans="30:30" x14ac:dyDescent="0.3">
      <c r="AD26285" s="16"/>
    </row>
    <row r="26286" spans="30:30" x14ac:dyDescent="0.3">
      <c r="AD26286" s="16"/>
    </row>
    <row r="26287" spans="30:30" x14ac:dyDescent="0.3">
      <c r="AD26287" s="16"/>
    </row>
    <row r="26288" spans="30:30" x14ac:dyDescent="0.3">
      <c r="AD26288" s="16"/>
    </row>
    <row r="26289" spans="30:30" x14ac:dyDescent="0.3">
      <c r="AD26289" s="16"/>
    </row>
    <row r="26290" spans="30:30" x14ac:dyDescent="0.3">
      <c r="AD26290" s="16"/>
    </row>
    <row r="26291" spans="30:30" x14ac:dyDescent="0.3">
      <c r="AD26291" s="16"/>
    </row>
    <row r="26292" spans="30:30" x14ac:dyDescent="0.3">
      <c r="AD26292" s="16"/>
    </row>
    <row r="26293" spans="30:30" x14ac:dyDescent="0.3">
      <c r="AD26293" s="16"/>
    </row>
    <row r="26294" spans="30:30" x14ac:dyDescent="0.3">
      <c r="AD26294" s="16"/>
    </row>
    <row r="26295" spans="30:30" x14ac:dyDescent="0.3">
      <c r="AD26295" s="16"/>
    </row>
    <row r="26296" spans="30:30" x14ac:dyDescent="0.3">
      <c r="AD26296" s="16"/>
    </row>
    <row r="26297" spans="30:30" x14ac:dyDescent="0.3">
      <c r="AD26297" s="16"/>
    </row>
    <row r="26298" spans="30:30" x14ac:dyDescent="0.3">
      <c r="AD26298" s="16"/>
    </row>
    <row r="26299" spans="30:30" x14ac:dyDescent="0.3">
      <c r="AD26299" s="16"/>
    </row>
    <row r="26300" spans="30:30" x14ac:dyDescent="0.3">
      <c r="AD26300" s="16"/>
    </row>
    <row r="26301" spans="30:30" x14ac:dyDescent="0.3">
      <c r="AD26301" s="16"/>
    </row>
    <row r="26302" spans="30:30" x14ac:dyDescent="0.3">
      <c r="AD26302" s="16"/>
    </row>
    <row r="26303" spans="30:30" x14ac:dyDescent="0.3">
      <c r="AD26303" s="16"/>
    </row>
    <row r="26304" spans="30:30" x14ac:dyDescent="0.3">
      <c r="AD26304" s="16"/>
    </row>
    <row r="26305" spans="30:30" x14ac:dyDescent="0.3">
      <c r="AD26305" s="16"/>
    </row>
    <row r="26306" spans="30:30" x14ac:dyDescent="0.3">
      <c r="AD26306" s="16"/>
    </row>
    <row r="26307" spans="30:30" x14ac:dyDescent="0.3">
      <c r="AD26307" s="16"/>
    </row>
    <row r="26308" spans="30:30" x14ac:dyDescent="0.3">
      <c r="AD26308" s="16"/>
    </row>
    <row r="26309" spans="30:30" x14ac:dyDescent="0.3">
      <c r="AD26309" s="16"/>
    </row>
    <row r="26310" spans="30:30" x14ac:dyDescent="0.3">
      <c r="AD26310" s="16"/>
    </row>
    <row r="26311" spans="30:30" x14ac:dyDescent="0.3">
      <c r="AD26311" s="16"/>
    </row>
    <row r="26312" spans="30:30" x14ac:dyDescent="0.3">
      <c r="AD26312" s="16"/>
    </row>
    <row r="26313" spans="30:30" x14ac:dyDescent="0.3">
      <c r="AD26313" s="16"/>
    </row>
    <row r="26314" spans="30:30" x14ac:dyDescent="0.3">
      <c r="AD26314" s="16"/>
    </row>
    <row r="26315" spans="30:30" x14ac:dyDescent="0.3">
      <c r="AD26315" s="16"/>
    </row>
    <row r="26316" spans="30:30" x14ac:dyDescent="0.3">
      <c r="AD26316" s="16"/>
    </row>
    <row r="26317" spans="30:30" x14ac:dyDescent="0.3">
      <c r="AD26317" s="16"/>
    </row>
    <row r="26318" spans="30:30" x14ac:dyDescent="0.3">
      <c r="AD26318" s="16"/>
    </row>
    <row r="26319" spans="30:30" x14ac:dyDescent="0.3">
      <c r="AD26319" s="16"/>
    </row>
    <row r="26320" spans="30:30" x14ac:dyDescent="0.3">
      <c r="AD26320" s="16"/>
    </row>
    <row r="26321" spans="30:30" x14ac:dyDescent="0.3">
      <c r="AD26321" s="16"/>
    </row>
    <row r="26322" spans="30:30" x14ac:dyDescent="0.3">
      <c r="AD26322" s="16"/>
    </row>
    <row r="26323" spans="30:30" x14ac:dyDescent="0.3">
      <c r="AD26323" s="16"/>
    </row>
    <row r="26324" spans="30:30" x14ac:dyDescent="0.3">
      <c r="AD26324" s="16"/>
    </row>
    <row r="26325" spans="30:30" x14ac:dyDescent="0.3">
      <c r="AD26325" s="16"/>
    </row>
    <row r="26326" spans="30:30" x14ac:dyDescent="0.3">
      <c r="AD26326" s="16"/>
    </row>
    <row r="26327" spans="30:30" x14ac:dyDescent="0.3">
      <c r="AD26327" s="16"/>
    </row>
    <row r="26328" spans="30:30" x14ac:dyDescent="0.3">
      <c r="AD26328" s="16"/>
    </row>
    <row r="26329" spans="30:30" x14ac:dyDescent="0.3">
      <c r="AD26329" s="16"/>
    </row>
    <row r="26330" spans="30:30" x14ac:dyDescent="0.3">
      <c r="AD26330" s="16"/>
    </row>
    <row r="26331" spans="30:30" x14ac:dyDescent="0.3">
      <c r="AD26331" s="16"/>
    </row>
    <row r="26332" spans="30:30" x14ac:dyDescent="0.3">
      <c r="AD26332" s="16"/>
    </row>
    <row r="26333" spans="30:30" x14ac:dyDescent="0.3">
      <c r="AD26333" s="16"/>
    </row>
    <row r="26334" spans="30:30" x14ac:dyDescent="0.3">
      <c r="AD26334" s="16"/>
    </row>
    <row r="26335" spans="30:30" x14ac:dyDescent="0.3">
      <c r="AD26335" s="16"/>
    </row>
    <row r="26336" spans="30:30" x14ac:dyDescent="0.3">
      <c r="AD26336" s="16"/>
    </row>
    <row r="26337" spans="30:30" x14ac:dyDescent="0.3">
      <c r="AD26337" s="16"/>
    </row>
    <row r="26338" spans="30:30" x14ac:dyDescent="0.3">
      <c r="AD26338" s="16"/>
    </row>
    <row r="26339" spans="30:30" x14ac:dyDescent="0.3">
      <c r="AD26339" s="16"/>
    </row>
    <row r="26340" spans="30:30" x14ac:dyDescent="0.3">
      <c r="AD26340" s="16"/>
    </row>
    <row r="26341" spans="30:30" x14ac:dyDescent="0.3">
      <c r="AD26341" s="16"/>
    </row>
    <row r="26342" spans="30:30" x14ac:dyDescent="0.3">
      <c r="AD26342" s="16"/>
    </row>
    <row r="26343" spans="30:30" x14ac:dyDescent="0.3">
      <c r="AD26343" s="16"/>
    </row>
    <row r="26344" spans="30:30" x14ac:dyDescent="0.3">
      <c r="AD26344" s="16"/>
    </row>
    <row r="26345" spans="30:30" x14ac:dyDescent="0.3">
      <c r="AD26345" s="16"/>
    </row>
    <row r="26346" spans="30:30" x14ac:dyDescent="0.3">
      <c r="AD26346" s="16"/>
    </row>
    <row r="26347" spans="30:30" x14ac:dyDescent="0.3">
      <c r="AD26347" s="16"/>
    </row>
    <row r="26348" spans="30:30" x14ac:dyDescent="0.3">
      <c r="AD26348" s="16"/>
    </row>
    <row r="26349" spans="30:30" x14ac:dyDescent="0.3">
      <c r="AD26349" s="16"/>
    </row>
    <row r="26350" spans="30:30" x14ac:dyDescent="0.3">
      <c r="AD26350" s="16"/>
    </row>
    <row r="26351" spans="30:30" x14ac:dyDescent="0.3">
      <c r="AD26351" s="16"/>
    </row>
    <row r="26352" spans="30:30" x14ac:dyDescent="0.3">
      <c r="AD26352" s="16"/>
    </row>
    <row r="26353" spans="30:30" x14ac:dyDescent="0.3">
      <c r="AD26353" s="16"/>
    </row>
    <row r="26354" spans="30:30" x14ac:dyDescent="0.3">
      <c r="AD26354" s="16"/>
    </row>
    <row r="26355" spans="30:30" x14ac:dyDescent="0.3">
      <c r="AD26355" s="16"/>
    </row>
    <row r="26356" spans="30:30" x14ac:dyDescent="0.3">
      <c r="AD26356" s="16"/>
    </row>
    <row r="26357" spans="30:30" x14ac:dyDescent="0.3">
      <c r="AD26357" s="16"/>
    </row>
    <row r="26358" spans="30:30" x14ac:dyDescent="0.3">
      <c r="AD26358" s="16"/>
    </row>
    <row r="26359" spans="30:30" x14ac:dyDescent="0.3">
      <c r="AD26359" s="16"/>
    </row>
    <row r="26360" spans="30:30" x14ac:dyDescent="0.3">
      <c r="AD26360" s="16"/>
    </row>
    <row r="26361" spans="30:30" x14ac:dyDescent="0.3">
      <c r="AD26361" s="16"/>
    </row>
    <row r="26362" spans="30:30" x14ac:dyDescent="0.3">
      <c r="AD26362" s="16"/>
    </row>
    <row r="26363" spans="30:30" x14ac:dyDescent="0.3">
      <c r="AD26363" s="16"/>
    </row>
    <row r="26364" spans="30:30" x14ac:dyDescent="0.3">
      <c r="AD26364" s="16"/>
    </row>
    <row r="26365" spans="30:30" x14ac:dyDescent="0.3">
      <c r="AD26365" s="16"/>
    </row>
    <row r="26366" spans="30:30" x14ac:dyDescent="0.3">
      <c r="AD26366" s="16"/>
    </row>
    <row r="26367" spans="30:30" x14ac:dyDescent="0.3">
      <c r="AD26367" s="16"/>
    </row>
    <row r="26368" spans="30:30" x14ac:dyDescent="0.3">
      <c r="AD26368" s="16"/>
    </row>
    <row r="26369" spans="30:30" x14ac:dyDescent="0.3">
      <c r="AD26369" s="16"/>
    </row>
    <row r="26370" spans="30:30" x14ac:dyDescent="0.3">
      <c r="AD26370" s="16"/>
    </row>
    <row r="26371" spans="30:30" x14ac:dyDescent="0.3">
      <c r="AD26371" s="16"/>
    </row>
    <row r="26372" spans="30:30" x14ac:dyDescent="0.3">
      <c r="AD26372" s="16"/>
    </row>
    <row r="26373" spans="30:30" x14ac:dyDescent="0.3">
      <c r="AD26373" s="16"/>
    </row>
    <row r="26374" spans="30:30" x14ac:dyDescent="0.3">
      <c r="AD26374" s="16"/>
    </row>
    <row r="26375" spans="30:30" x14ac:dyDescent="0.3">
      <c r="AD26375" s="16"/>
    </row>
    <row r="26376" spans="30:30" x14ac:dyDescent="0.3">
      <c r="AD26376" s="16"/>
    </row>
    <row r="26377" spans="30:30" x14ac:dyDescent="0.3">
      <c r="AD26377" s="16"/>
    </row>
    <row r="26378" spans="30:30" x14ac:dyDescent="0.3">
      <c r="AD26378" s="16"/>
    </row>
    <row r="26379" spans="30:30" x14ac:dyDescent="0.3">
      <c r="AD26379" s="16"/>
    </row>
    <row r="26380" spans="30:30" x14ac:dyDescent="0.3">
      <c r="AD26380" s="16"/>
    </row>
    <row r="26381" spans="30:30" x14ac:dyDescent="0.3">
      <c r="AD26381" s="16"/>
    </row>
    <row r="26382" spans="30:30" x14ac:dyDescent="0.3">
      <c r="AD26382" s="16"/>
    </row>
    <row r="26383" spans="30:30" x14ac:dyDescent="0.3">
      <c r="AD26383" s="16"/>
    </row>
    <row r="26384" spans="30:30" x14ac:dyDescent="0.3">
      <c r="AD26384" s="16"/>
    </row>
    <row r="26385" spans="30:30" x14ac:dyDescent="0.3">
      <c r="AD26385" s="16"/>
    </row>
    <row r="26386" spans="30:30" x14ac:dyDescent="0.3">
      <c r="AD26386" s="16"/>
    </row>
    <row r="26387" spans="30:30" x14ac:dyDescent="0.3">
      <c r="AD26387" s="16"/>
    </row>
    <row r="26388" spans="30:30" x14ac:dyDescent="0.3">
      <c r="AD26388" s="16"/>
    </row>
    <row r="26389" spans="30:30" x14ac:dyDescent="0.3">
      <c r="AD26389" s="16"/>
    </row>
    <row r="26390" spans="30:30" x14ac:dyDescent="0.3">
      <c r="AD26390" s="16"/>
    </row>
    <row r="26391" spans="30:30" x14ac:dyDescent="0.3">
      <c r="AD26391" s="16"/>
    </row>
    <row r="26392" spans="30:30" x14ac:dyDescent="0.3">
      <c r="AD26392" s="16"/>
    </row>
    <row r="26393" spans="30:30" x14ac:dyDescent="0.3">
      <c r="AD26393" s="16"/>
    </row>
    <row r="26394" spans="30:30" x14ac:dyDescent="0.3">
      <c r="AD26394" s="16"/>
    </row>
    <row r="26395" spans="30:30" x14ac:dyDescent="0.3">
      <c r="AD26395" s="16"/>
    </row>
    <row r="26396" spans="30:30" x14ac:dyDescent="0.3">
      <c r="AD26396" s="16"/>
    </row>
    <row r="26397" spans="30:30" x14ac:dyDescent="0.3">
      <c r="AD26397" s="16"/>
    </row>
    <row r="26398" spans="30:30" x14ac:dyDescent="0.3">
      <c r="AD26398" s="16"/>
    </row>
    <row r="26399" spans="30:30" x14ac:dyDescent="0.3">
      <c r="AD26399" s="16"/>
    </row>
    <row r="26400" spans="30:30" x14ac:dyDescent="0.3">
      <c r="AD26400" s="16"/>
    </row>
    <row r="26401" spans="30:30" x14ac:dyDescent="0.3">
      <c r="AD26401" s="16"/>
    </row>
    <row r="26402" spans="30:30" x14ac:dyDescent="0.3">
      <c r="AD26402" s="16"/>
    </row>
    <row r="26403" spans="30:30" x14ac:dyDescent="0.3">
      <c r="AD26403" s="16"/>
    </row>
    <row r="26404" spans="30:30" x14ac:dyDescent="0.3">
      <c r="AD26404" s="16"/>
    </row>
    <row r="26405" spans="30:30" x14ac:dyDescent="0.3">
      <c r="AD26405" s="16"/>
    </row>
    <row r="26406" spans="30:30" x14ac:dyDescent="0.3">
      <c r="AD26406" s="16"/>
    </row>
    <row r="26407" spans="30:30" x14ac:dyDescent="0.3">
      <c r="AD26407" s="16"/>
    </row>
    <row r="26408" spans="30:30" x14ac:dyDescent="0.3">
      <c r="AD26408" s="16"/>
    </row>
    <row r="26409" spans="30:30" x14ac:dyDescent="0.3">
      <c r="AD26409" s="16"/>
    </row>
    <row r="26410" spans="30:30" x14ac:dyDescent="0.3">
      <c r="AD26410" s="16"/>
    </row>
    <row r="26411" spans="30:30" x14ac:dyDescent="0.3">
      <c r="AD26411" s="16"/>
    </row>
    <row r="26412" spans="30:30" x14ac:dyDescent="0.3">
      <c r="AD26412" s="16"/>
    </row>
    <row r="26413" spans="30:30" x14ac:dyDescent="0.3">
      <c r="AD26413" s="16"/>
    </row>
    <row r="26414" spans="30:30" x14ac:dyDescent="0.3">
      <c r="AD26414" s="16"/>
    </row>
    <row r="26415" spans="30:30" x14ac:dyDescent="0.3">
      <c r="AD26415" s="16"/>
    </row>
    <row r="26416" spans="30:30" x14ac:dyDescent="0.3">
      <c r="AD26416" s="16"/>
    </row>
    <row r="26417" spans="30:30" x14ac:dyDescent="0.3">
      <c r="AD26417" s="16"/>
    </row>
    <row r="26418" spans="30:30" x14ac:dyDescent="0.3">
      <c r="AD26418" s="16"/>
    </row>
    <row r="26419" spans="30:30" x14ac:dyDescent="0.3">
      <c r="AD26419" s="16"/>
    </row>
    <row r="26420" spans="30:30" x14ac:dyDescent="0.3">
      <c r="AD26420" s="16"/>
    </row>
    <row r="26421" spans="30:30" x14ac:dyDescent="0.3">
      <c r="AD26421" s="16"/>
    </row>
    <row r="26422" spans="30:30" x14ac:dyDescent="0.3">
      <c r="AD26422" s="16"/>
    </row>
    <row r="26423" spans="30:30" x14ac:dyDescent="0.3">
      <c r="AD26423" s="16"/>
    </row>
    <row r="26424" spans="30:30" x14ac:dyDescent="0.3">
      <c r="AD26424" s="16"/>
    </row>
    <row r="26425" spans="30:30" x14ac:dyDescent="0.3">
      <c r="AD26425" s="16"/>
    </row>
    <row r="26426" spans="30:30" x14ac:dyDescent="0.3">
      <c r="AD26426" s="16"/>
    </row>
    <row r="26427" spans="30:30" x14ac:dyDescent="0.3">
      <c r="AD26427" s="16"/>
    </row>
    <row r="26428" spans="30:30" x14ac:dyDescent="0.3">
      <c r="AD26428" s="16"/>
    </row>
    <row r="26429" spans="30:30" x14ac:dyDescent="0.3">
      <c r="AD26429" s="16"/>
    </row>
    <row r="26430" spans="30:30" x14ac:dyDescent="0.3">
      <c r="AD26430" s="16"/>
    </row>
    <row r="26431" spans="30:30" x14ac:dyDescent="0.3">
      <c r="AD26431" s="16"/>
    </row>
    <row r="26432" spans="30:30" x14ac:dyDescent="0.3">
      <c r="AD26432" s="16"/>
    </row>
    <row r="26433" spans="30:30" x14ac:dyDescent="0.3">
      <c r="AD26433" s="16"/>
    </row>
    <row r="26434" spans="30:30" x14ac:dyDescent="0.3">
      <c r="AD26434" s="16"/>
    </row>
    <row r="26435" spans="30:30" x14ac:dyDescent="0.3">
      <c r="AD26435" s="16"/>
    </row>
    <row r="26436" spans="30:30" x14ac:dyDescent="0.3">
      <c r="AD26436" s="16"/>
    </row>
    <row r="26437" spans="30:30" x14ac:dyDescent="0.3">
      <c r="AD26437" s="16"/>
    </row>
    <row r="26438" spans="30:30" x14ac:dyDescent="0.3">
      <c r="AD26438" s="16"/>
    </row>
    <row r="26439" spans="30:30" x14ac:dyDescent="0.3">
      <c r="AD26439" s="16"/>
    </row>
    <row r="26440" spans="30:30" x14ac:dyDescent="0.3">
      <c r="AD26440" s="16"/>
    </row>
    <row r="26441" spans="30:30" x14ac:dyDescent="0.3">
      <c r="AD26441" s="16"/>
    </row>
    <row r="26442" spans="30:30" x14ac:dyDescent="0.3">
      <c r="AD26442" s="16"/>
    </row>
    <row r="26443" spans="30:30" x14ac:dyDescent="0.3">
      <c r="AD26443" s="16"/>
    </row>
    <row r="26444" spans="30:30" x14ac:dyDescent="0.3">
      <c r="AD26444" s="16"/>
    </row>
    <row r="26445" spans="30:30" x14ac:dyDescent="0.3">
      <c r="AD26445" s="16"/>
    </row>
    <row r="26446" spans="30:30" x14ac:dyDescent="0.3">
      <c r="AD26446" s="16"/>
    </row>
    <row r="26447" spans="30:30" x14ac:dyDescent="0.3">
      <c r="AD26447" s="16"/>
    </row>
    <row r="26448" spans="30:30" x14ac:dyDescent="0.3">
      <c r="AD26448" s="16"/>
    </row>
    <row r="26449" spans="30:30" x14ac:dyDescent="0.3">
      <c r="AD26449" s="16"/>
    </row>
    <row r="26450" spans="30:30" x14ac:dyDescent="0.3">
      <c r="AD26450" s="16"/>
    </row>
    <row r="26451" spans="30:30" x14ac:dyDescent="0.3">
      <c r="AD26451" s="16"/>
    </row>
    <row r="26452" spans="30:30" x14ac:dyDescent="0.3">
      <c r="AD26452" s="16"/>
    </row>
    <row r="26453" spans="30:30" x14ac:dyDescent="0.3">
      <c r="AD26453" s="16"/>
    </row>
    <row r="26454" spans="30:30" x14ac:dyDescent="0.3">
      <c r="AD26454" s="16"/>
    </row>
    <row r="26455" spans="30:30" x14ac:dyDescent="0.3">
      <c r="AD26455" s="16"/>
    </row>
    <row r="26456" spans="30:30" x14ac:dyDescent="0.3">
      <c r="AD26456" s="16"/>
    </row>
    <row r="26457" spans="30:30" x14ac:dyDescent="0.3">
      <c r="AD26457" s="16"/>
    </row>
    <row r="26458" spans="30:30" x14ac:dyDescent="0.3">
      <c r="AD26458" s="16"/>
    </row>
    <row r="26459" spans="30:30" x14ac:dyDescent="0.3">
      <c r="AD26459" s="16"/>
    </row>
    <row r="26460" spans="30:30" x14ac:dyDescent="0.3">
      <c r="AD26460" s="16"/>
    </row>
    <row r="26461" spans="30:30" x14ac:dyDescent="0.3">
      <c r="AD26461" s="16"/>
    </row>
    <row r="26462" spans="30:30" x14ac:dyDescent="0.3">
      <c r="AD26462" s="16"/>
    </row>
    <row r="26463" spans="30:30" x14ac:dyDescent="0.3">
      <c r="AD26463" s="16"/>
    </row>
    <row r="26464" spans="30:30" x14ac:dyDescent="0.3">
      <c r="AD26464" s="16"/>
    </row>
    <row r="26465" spans="30:30" x14ac:dyDescent="0.3">
      <c r="AD26465" s="16"/>
    </row>
    <row r="26466" spans="30:30" x14ac:dyDescent="0.3">
      <c r="AD26466" s="16"/>
    </row>
    <row r="26467" spans="30:30" x14ac:dyDescent="0.3">
      <c r="AD26467" s="16"/>
    </row>
    <row r="26468" spans="30:30" x14ac:dyDescent="0.3">
      <c r="AD26468" s="16"/>
    </row>
    <row r="26469" spans="30:30" x14ac:dyDescent="0.3">
      <c r="AD26469" s="16"/>
    </row>
    <row r="26470" spans="30:30" x14ac:dyDescent="0.3">
      <c r="AD26470" s="16"/>
    </row>
    <row r="26471" spans="30:30" x14ac:dyDescent="0.3">
      <c r="AD26471" s="16"/>
    </row>
    <row r="26472" spans="30:30" x14ac:dyDescent="0.3">
      <c r="AD26472" s="16"/>
    </row>
    <row r="26473" spans="30:30" x14ac:dyDescent="0.3">
      <c r="AD26473" s="16"/>
    </row>
    <row r="26474" spans="30:30" x14ac:dyDescent="0.3">
      <c r="AD26474" s="16"/>
    </row>
    <row r="26475" spans="30:30" x14ac:dyDescent="0.3">
      <c r="AD26475" s="16"/>
    </row>
    <row r="26476" spans="30:30" x14ac:dyDescent="0.3">
      <c r="AD26476" s="16"/>
    </row>
    <row r="26477" spans="30:30" x14ac:dyDescent="0.3">
      <c r="AD26477" s="16"/>
    </row>
    <row r="26478" spans="30:30" x14ac:dyDescent="0.3">
      <c r="AD26478" s="16"/>
    </row>
    <row r="26479" spans="30:30" x14ac:dyDescent="0.3">
      <c r="AD26479" s="16"/>
    </row>
    <row r="26480" spans="30:30" x14ac:dyDescent="0.3">
      <c r="AD26480" s="16"/>
    </row>
    <row r="26481" spans="30:30" x14ac:dyDescent="0.3">
      <c r="AD26481" s="16"/>
    </row>
    <row r="26482" spans="30:30" x14ac:dyDescent="0.3">
      <c r="AD26482" s="16"/>
    </row>
    <row r="26483" spans="30:30" x14ac:dyDescent="0.3">
      <c r="AD26483" s="16"/>
    </row>
    <row r="26484" spans="30:30" x14ac:dyDescent="0.3">
      <c r="AD26484" s="16"/>
    </row>
    <row r="26485" spans="30:30" x14ac:dyDescent="0.3">
      <c r="AD26485" s="16"/>
    </row>
    <row r="26486" spans="30:30" x14ac:dyDescent="0.3">
      <c r="AD26486" s="16"/>
    </row>
    <row r="26487" spans="30:30" x14ac:dyDescent="0.3">
      <c r="AD26487" s="16"/>
    </row>
    <row r="26488" spans="30:30" x14ac:dyDescent="0.3">
      <c r="AD26488" s="16"/>
    </row>
    <row r="26489" spans="30:30" x14ac:dyDescent="0.3">
      <c r="AD26489" s="16"/>
    </row>
    <row r="26490" spans="30:30" x14ac:dyDescent="0.3">
      <c r="AD26490" s="16"/>
    </row>
    <row r="26491" spans="30:30" x14ac:dyDescent="0.3">
      <c r="AD26491" s="16"/>
    </row>
    <row r="26492" spans="30:30" x14ac:dyDescent="0.3">
      <c r="AD26492" s="16"/>
    </row>
    <row r="26493" spans="30:30" x14ac:dyDescent="0.3">
      <c r="AD26493" s="16"/>
    </row>
    <row r="26494" spans="30:30" x14ac:dyDescent="0.3">
      <c r="AD26494" s="16"/>
    </row>
    <row r="26495" spans="30:30" x14ac:dyDescent="0.3">
      <c r="AD26495" s="16"/>
    </row>
    <row r="26496" spans="30:30" x14ac:dyDescent="0.3">
      <c r="AD26496" s="16"/>
    </row>
    <row r="26497" spans="30:30" x14ac:dyDescent="0.3">
      <c r="AD26497" s="16"/>
    </row>
    <row r="26498" spans="30:30" x14ac:dyDescent="0.3">
      <c r="AD26498" s="16"/>
    </row>
    <row r="26499" spans="30:30" x14ac:dyDescent="0.3">
      <c r="AD26499" s="16"/>
    </row>
    <row r="26500" spans="30:30" x14ac:dyDescent="0.3">
      <c r="AD26500" s="16"/>
    </row>
    <row r="26501" spans="30:30" x14ac:dyDescent="0.3">
      <c r="AD26501" s="16"/>
    </row>
    <row r="26502" spans="30:30" x14ac:dyDescent="0.3">
      <c r="AD26502" s="16"/>
    </row>
    <row r="26503" spans="30:30" x14ac:dyDescent="0.3">
      <c r="AD26503" s="16"/>
    </row>
    <row r="26504" spans="30:30" x14ac:dyDescent="0.3">
      <c r="AD26504" s="16"/>
    </row>
    <row r="26505" spans="30:30" x14ac:dyDescent="0.3">
      <c r="AD26505" s="16"/>
    </row>
    <row r="26506" spans="30:30" x14ac:dyDescent="0.3">
      <c r="AD26506" s="16"/>
    </row>
    <row r="26507" spans="30:30" x14ac:dyDescent="0.3">
      <c r="AD26507" s="16"/>
    </row>
    <row r="26508" spans="30:30" x14ac:dyDescent="0.3">
      <c r="AD26508" s="16"/>
    </row>
    <row r="26509" spans="30:30" x14ac:dyDescent="0.3">
      <c r="AD26509" s="16"/>
    </row>
    <row r="26510" spans="30:30" x14ac:dyDescent="0.3">
      <c r="AD26510" s="16"/>
    </row>
    <row r="26511" spans="30:30" x14ac:dyDescent="0.3">
      <c r="AD26511" s="16"/>
    </row>
    <row r="26512" spans="30:30" x14ac:dyDescent="0.3">
      <c r="AD26512" s="16"/>
    </row>
    <row r="26513" spans="30:30" x14ac:dyDescent="0.3">
      <c r="AD26513" s="16"/>
    </row>
    <row r="26514" spans="30:30" x14ac:dyDescent="0.3">
      <c r="AD26514" s="16"/>
    </row>
    <row r="26515" spans="30:30" x14ac:dyDescent="0.3">
      <c r="AD26515" s="16"/>
    </row>
    <row r="26516" spans="30:30" x14ac:dyDescent="0.3">
      <c r="AD26516" s="16"/>
    </row>
    <row r="26517" spans="30:30" x14ac:dyDescent="0.3">
      <c r="AD26517" s="16"/>
    </row>
    <row r="26518" spans="30:30" x14ac:dyDescent="0.3">
      <c r="AD26518" s="16"/>
    </row>
    <row r="26519" spans="30:30" x14ac:dyDescent="0.3">
      <c r="AD26519" s="16"/>
    </row>
    <row r="26520" spans="30:30" x14ac:dyDescent="0.3">
      <c r="AD26520" s="16"/>
    </row>
    <row r="26521" spans="30:30" x14ac:dyDescent="0.3">
      <c r="AD26521" s="16"/>
    </row>
    <row r="26522" spans="30:30" x14ac:dyDescent="0.3">
      <c r="AD26522" s="16"/>
    </row>
    <row r="26523" spans="30:30" x14ac:dyDescent="0.3">
      <c r="AD26523" s="16"/>
    </row>
    <row r="26524" spans="30:30" x14ac:dyDescent="0.3">
      <c r="AD26524" s="16"/>
    </row>
    <row r="26525" spans="30:30" x14ac:dyDescent="0.3">
      <c r="AD26525" s="16"/>
    </row>
    <row r="26526" spans="30:30" x14ac:dyDescent="0.3">
      <c r="AD26526" s="16"/>
    </row>
    <row r="26527" spans="30:30" x14ac:dyDescent="0.3">
      <c r="AD26527" s="16"/>
    </row>
    <row r="26528" spans="30:30" x14ac:dyDescent="0.3">
      <c r="AD26528" s="16"/>
    </row>
    <row r="26529" spans="30:30" x14ac:dyDescent="0.3">
      <c r="AD26529" s="16"/>
    </row>
    <row r="26530" spans="30:30" x14ac:dyDescent="0.3">
      <c r="AD26530" s="16"/>
    </row>
    <row r="26531" spans="30:30" x14ac:dyDescent="0.3">
      <c r="AD26531" s="16"/>
    </row>
    <row r="26532" spans="30:30" x14ac:dyDescent="0.3">
      <c r="AD26532" s="16"/>
    </row>
    <row r="26533" spans="30:30" x14ac:dyDescent="0.3">
      <c r="AD26533" s="16"/>
    </row>
    <row r="26534" spans="30:30" x14ac:dyDescent="0.3">
      <c r="AD26534" s="16"/>
    </row>
    <row r="26535" spans="30:30" x14ac:dyDescent="0.3">
      <c r="AD26535" s="16"/>
    </row>
    <row r="26536" spans="30:30" x14ac:dyDescent="0.3">
      <c r="AD26536" s="16"/>
    </row>
    <row r="26537" spans="30:30" x14ac:dyDescent="0.3">
      <c r="AD26537" s="16"/>
    </row>
    <row r="26538" spans="30:30" x14ac:dyDescent="0.3">
      <c r="AD26538" s="16"/>
    </row>
    <row r="26539" spans="30:30" x14ac:dyDescent="0.3">
      <c r="AD26539" s="16"/>
    </row>
    <row r="26540" spans="30:30" x14ac:dyDescent="0.3">
      <c r="AD26540" s="16"/>
    </row>
    <row r="26541" spans="30:30" x14ac:dyDescent="0.3">
      <c r="AD26541" s="16"/>
    </row>
    <row r="26542" spans="30:30" x14ac:dyDescent="0.3">
      <c r="AD26542" s="16"/>
    </row>
    <row r="26543" spans="30:30" x14ac:dyDescent="0.3">
      <c r="AD26543" s="16"/>
    </row>
    <row r="26544" spans="30:30" x14ac:dyDescent="0.3">
      <c r="AD26544" s="16"/>
    </row>
    <row r="26545" spans="30:30" x14ac:dyDescent="0.3">
      <c r="AD26545" s="16"/>
    </row>
    <row r="26546" spans="30:30" x14ac:dyDescent="0.3">
      <c r="AD26546" s="16"/>
    </row>
    <row r="26547" spans="30:30" x14ac:dyDescent="0.3">
      <c r="AD26547" s="16"/>
    </row>
    <row r="26548" spans="30:30" x14ac:dyDescent="0.3">
      <c r="AD26548" s="16"/>
    </row>
    <row r="26549" spans="30:30" x14ac:dyDescent="0.3">
      <c r="AD26549" s="16"/>
    </row>
    <row r="26550" spans="30:30" x14ac:dyDescent="0.3">
      <c r="AD26550" s="16"/>
    </row>
    <row r="26551" spans="30:30" x14ac:dyDescent="0.3">
      <c r="AD26551" s="16"/>
    </row>
    <row r="26552" spans="30:30" x14ac:dyDescent="0.3">
      <c r="AD26552" s="16"/>
    </row>
    <row r="26553" spans="30:30" x14ac:dyDescent="0.3">
      <c r="AD26553" s="16"/>
    </row>
    <row r="26554" spans="30:30" x14ac:dyDescent="0.3">
      <c r="AD26554" s="16"/>
    </row>
    <row r="26555" spans="30:30" x14ac:dyDescent="0.3">
      <c r="AD26555" s="16"/>
    </row>
    <row r="26556" spans="30:30" x14ac:dyDescent="0.3">
      <c r="AD26556" s="16"/>
    </row>
    <row r="26557" spans="30:30" x14ac:dyDescent="0.3">
      <c r="AD26557" s="16"/>
    </row>
    <row r="26558" spans="30:30" x14ac:dyDescent="0.3">
      <c r="AD26558" s="16"/>
    </row>
    <row r="26559" spans="30:30" x14ac:dyDescent="0.3">
      <c r="AD26559" s="16"/>
    </row>
    <row r="26560" spans="30:30" x14ac:dyDescent="0.3">
      <c r="AD26560" s="16"/>
    </row>
    <row r="26561" spans="30:30" x14ac:dyDescent="0.3">
      <c r="AD26561" s="16"/>
    </row>
    <row r="26562" spans="30:30" x14ac:dyDescent="0.3">
      <c r="AD26562" s="16"/>
    </row>
    <row r="26563" spans="30:30" x14ac:dyDescent="0.3">
      <c r="AD26563" s="16"/>
    </row>
    <row r="26564" spans="30:30" x14ac:dyDescent="0.3">
      <c r="AD26564" s="16"/>
    </row>
    <row r="26565" spans="30:30" x14ac:dyDescent="0.3">
      <c r="AD26565" s="16"/>
    </row>
    <row r="26566" spans="30:30" x14ac:dyDescent="0.3">
      <c r="AD26566" s="16"/>
    </row>
    <row r="26567" spans="30:30" x14ac:dyDescent="0.3">
      <c r="AD26567" s="16"/>
    </row>
    <row r="26568" spans="30:30" x14ac:dyDescent="0.3">
      <c r="AD26568" s="16"/>
    </row>
    <row r="26569" spans="30:30" x14ac:dyDescent="0.3">
      <c r="AD26569" s="16"/>
    </row>
    <row r="26570" spans="30:30" x14ac:dyDescent="0.3">
      <c r="AD26570" s="16"/>
    </row>
    <row r="26571" spans="30:30" x14ac:dyDescent="0.3">
      <c r="AD26571" s="16"/>
    </row>
    <row r="26572" spans="30:30" x14ac:dyDescent="0.3">
      <c r="AD26572" s="16"/>
    </row>
    <row r="26573" spans="30:30" x14ac:dyDescent="0.3">
      <c r="AD26573" s="16"/>
    </row>
    <row r="26574" spans="30:30" x14ac:dyDescent="0.3">
      <c r="AD26574" s="16"/>
    </row>
    <row r="26575" spans="30:30" x14ac:dyDescent="0.3">
      <c r="AD26575" s="16"/>
    </row>
    <row r="26576" spans="30:30" x14ac:dyDescent="0.3">
      <c r="AD26576" s="16"/>
    </row>
    <row r="26577" spans="30:30" x14ac:dyDescent="0.3">
      <c r="AD26577" s="16"/>
    </row>
    <row r="26578" spans="30:30" x14ac:dyDescent="0.3">
      <c r="AD26578" s="16"/>
    </row>
    <row r="26579" spans="30:30" x14ac:dyDescent="0.3">
      <c r="AD26579" s="16"/>
    </row>
    <row r="26580" spans="30:30" x14ac:dyDescent="0.3">
      <c r="AD26580" s="16"/>
    </row>
    <row r="26581" spans="30:30" x14ac:dyDescent="0.3">
      <c r="AD26581" s="16"/>
    </row>
    <row r="26582" spans="30:30" x14ac:dyDescent="0.3">
      <c r="AD26582" s="16"/>
    </row>
    <row r="26583" spans="30:30" x14ac:dyDescent="0.3">
      <c r="AD26583" s="16"/>
    </row>
    <row r="26584" spans="30:30" x14ac:dyDescent="0.3">
      <c r="AD26584" s="16"/>
    </row>
    <row r="26585" spans="30:30" x14ac:dyDescent="0.3">
      <c r="AD26585" s="16"/>
    </row>
    <row r="26586" spans="30:30" x14ac:dyDescent="0.3">
      <c r="AD26586" s="16"/>
    </row>
    <row r="26587" spans="30:30" x14ac:dyDescent="0.3">
      <c r="AD26587" s="16"/>
    </row>
    <row r="26588" spans="30:30" x14ac:dyDescent="0.3">
      <c r="AD26588" s="16"/>
    </row>
    <row r="26589" spans="30:30" x14ac:dyDescent="0.3">
      <c r="AD26589" s="16"/>
    </row>
    <row r="26590" spans="30:30" x14ac:dyDescent="0.3">
      <c r="AD26590" s="16"/>
    </row>
    <row r="26591" spans="30:30" x14ac:dyDescent="0.3">
      <c r="AD26591" s="16"/>
    </row>
    <row r="26592" spans="30:30" x14ac:dyDescent="0.3">
      <c r="AD26592" s="16"/>
    </row>
    <row r="26593" spans="30:30" x14ac:dyDescent="0.3">
      <c r="AD26593" s="16"/>
    </row>
    <row r="26594" spans="30:30" x14ac:dyDescent="0.3">
      <c r="AD26594" s="16"/>
    </row>
    <row r="26595" spans="30:30" x14ac:dyDescent="0.3">
      <c r="AD26595" s="16"/>
    </row>
    <row r="26596" spans="30:30" x14ac:dyDescent="0.3">
      <c r="AD26596" s="16"/>
    </row>
    <row r="26597" spans="30:30" x14ac:dyDescent="0.3">
      <c r="AD26597" s="16"/>
    </row>
    <row r="26598" spans="30:30" x14ac:dyDescent="0.3">
      <c r="AD26598" s="16"/>
    </row>
    <row r="26599" spans="30:30" x14ac:dyDescent="0.3">
      <c r="AD26599" s="16"/>
    </row>
    <row r="26600" spans="30:30" x14ac:dyDescent="0.3">
      <c r="AD26600" s="16"/>
    </row>
    <row r="26601" spans="30:30" x14ac:dyDescent="0.3">
      <c r="AD26601" s="16"/>
    </row>
    <row r="26602" spans="30:30" x14ac:dyDescent="0.3">
      <c r="AD26602" s="16"/>
    </row>
    <row r="26603" spans="30:30" x14ac:dyDescent="0.3">
      <c r="AD26603" s="16"/>
    </row>
    <row r="26604" spans="30:30" x14ac:dyDescent="0.3">
      <c r="AD26604" s="16"/>
    </row>
    <row r="26605" spans="30:30" x14ac:dyDescent="0.3">
      <c r="AD26605" s="16"/>
    </row>
    <row r="26606" spans="30:30" x14ac:dyDescent="0.3">
      <c r="AD26606" s="16"/>
    </row>
    <row r="26607" spans="30:30" x14ac:dyDescent="0.3">
      <c r="AD26607" s="16"/>
    </row>
    <row r="26608" spans="30:30" x14ac:dyDescent="0.3">
      <c r="AD26608" s="16"/>
    </row>
    <row r="26609" spans="30:30" x14ac:dyDescent="0.3">
      <c r="AD26609" s="16"/>
    </row>
    <row r="26610" spans="30:30" x14ac:dyDescent="0.3">
      <c r="AD26610" s="16"/>
    </row>
    <row r="26611" spans="30:30" x14ac:dyDescent="0.3">
      <c r="AD26611" s="16"/>
    </row>
    <row r="26612" spans="30:30" x14ac:dyDescent="0.3">
      <c r="AD26612" s="16"/>
    </row>
    <row r="26613" spans="30:30" x14ac:dyDescent="0.3">
      <c r="AD26613" s="16"/>
    </row>
    <row r="26614" spans="30:30" x14ac:dyDescent="0.3">
      <c r="AD26614" s="16"/>
    </row>
    <row r="26615" spans="30:30" x14ac:dyDescent="0.3">
      <c r="AD26615" s="16"/>
    </row>
    <row r="26616" spans="30:30" x14ac:dyDescent="0.3">
      <c r="AD26616" s="16"/>
    </row>
    <row r="26617" spans="30:30" x14ac:dyDescent="0.3">
      <c r="AD26617" s="16"/>
    </row>
    <row r="26618" spans="30:30" x14ac:dyDescent="0.3">
      <c r="AD26618" s="16"/>
    </row>
    <row r="26619" spans="30:30" x14ac:dyDescent="0.3">
      <c r="AD26619" s="16"/>
    </row>
    <row r="26620" spans="30:30" x14ac:dyDescent="0.3">
      <c r="AD26620" s="16"/>
    </row>
    <row r="26621" spans="30:30" x14ac:dyDescent="0.3">
      <c r="AD26621" s="16"/>
    </row>
    <row r="26622" spans="30:30" x14ac:dyDescent="0.3">
      <c r="AD26622" s="16"/>
    </row>
    <row r="26623" spans="30:30" x14ac:dyDescent="0.3">
      <c r="AD26623" s="16"/>
    </row>
    <row r="26624" spans="30:30" x14ac:dyDescent="0.3">
      <c r="AD26624" s="16"/>
    </row>
    <row r="26625" spans="30:30" x14ac:dyDescent="0.3">
      <c r="AD26625" s="16"/>
    </row>
    <row r="26626" spans="30:30" x14ac:dyDescent="0.3">
      <c r="AD26626" s="16"/>
    </row>
    <row r="26627" spans="30:30" x14ac:dyDescent="0.3">
      <c r="AD26627" s="16"/>
    </row>
    <row r="26628" spans="30:30" x14ac:dyDescent="0.3">
      <c r="AD26628" s="16"/>
    </row>
    <row r="26629" spans="30:30" x14ac:dyDescent="0.3">
      <c r="AD26629" s="16"/>
    </row>
    <row r="26630" spans="30:30" x14ac:dyDescent="0.3">
      <c r="AD26630" s="16"/>
    </row>
    <row r="26631" spans="30:30" x14ac:dyDescent="0.3">
      <c r="AD26631" s="16"/>
    </row>
    <row r="26632" spans="30:30" x14ac:dyDescent="0.3">
      <c r="AD26632" s="16"/>
    </row>
    <row r="26633" spans="30:30" x14ac:dyDescent="0.3">
      <c r="AD26633" s="16"/>
    </row>
    <row r="26634" spans="30:30" x14ac:dyDescent="0.3">
      <c r="AD26634" s="16"/>
    </row>
    <row r="26635" spans="30:30" x14ac:dyDescent="0.3">
      <c r="AD26635" s="16"/>
    </row>
    <row r="26636" spans="30:30" x14ac:dyDescent="0.3">
      <c r="AD26636" s="16"/>
    </row>
    <row r="26637" spans="30:30" x14ac:dyDescent="0.3">
      <c r="AD26637" s="16"/>
    </row>
    <row r="26638" spans="30:30" x14ac:dyDescent="0.3">
      <c r="AD26638" s="16"/>
    </row>
    <row r="26639" spans="30:30" x14ac:dyDescent="0.3">
      <c r="AD26639" s="16"/>
    </row>
    <row r="26640" spans="30:30" x14ac:dyDescent="0.3">
      <c r="AD26640" s="16"/>
    </row>
    <row r="26641" spans="30:30" x14ac:dyDescent="0.3">
      <c r="AD26641" s="16"/>
    </row>
    <row r="26642" spans="30:30" x14ac:dyDescent="0.3">
      <c r="AD26642" s="16"/>
    </row>
    <row r="26643" spans="30:30" x14ac:dyDescent="0.3">
      <c r="AD26643" s="16"/>
    </row>
    <row r="26644" spans="30:30" x14ac:dyDescent="0.3">
      <c r="AD26644" s="16"/>
    </row>
    <row r="26645" spans="30:30" x14ac:dyDescent="0.3">
      <c r="AD26645" s="16"/>
    </row>
    <row r="26646" spans="30:30" x14ac:dyDescent="0.3">
      <c r="AD26646" s="16"/>
    </row>
    <row r="26647" spans="30:30" x14ac:dyDescent="0.3">
      <c r="AD26647" s="16"/>
    </row>
    <row r="26648" spans="30:30" x14ac:dyDescent="0.3">
      <c r="AD26648" s="16"/>
    </row>
    <row r="26649" spans="30:30" x14ac:dyDescent="0.3">
      <c r="AD26649" s="16"/>
    </row>
    <row r="26650" spans="30:30" x14ac:dyDescent="0.3">
      <c r="AD26650" s="16"/>
    </row>
    <row r="26651" spans="30:30" x14ac:dyDescent="0.3">
      <c r="AD26651" s="16"/>
    </row>
    <row r="26652" spans="30:30" x14ac:dyDescent="0.3">
      <c r="AD26652" s="16"/>
    </row>
    <row r="26653" spans="30:30" x14ac:dyDescent="0.3">
      <c r="AD26653" s="16"/>
    </row>
    <row r="26654" spans="30:30" x14ac:dyDescent="0.3">
      <c r="AD26654" s="16"/>
    </row>
    <row r="26655" spans="30:30" x14ac:dyDescent="0.3">
      <c r="AD26655" s="16"/>
    </row>
    <row r="26656" spans="30:30" x14ac:dyDescent="0.3">
      <c r="AD26656" s="16"/>
    </row>
    <row r="26657" spans="30:30" x14ac:dyDescent="0.3">
      <c r="AD26657" s="16"/>
    </row>
    <row r="26658" spans="30:30" x14ac:dyDescent="0.3">
      <c r="AD26658" s="16"/>
    </row>
    <row r="26659" spans="30:30" x14ac:dyDescent="0.3">
      <c r="AD26659" s="16"/>
    </row>
    <row r="26660" spans="30:30" x14ac:dyDescent="0.3">
      <c r="AD26660" s="16"/>
    </row>
    <row r="26661" spans="30:30" x14ac:dyDescent="0.3">
      <c r="AD26661" s="16"/>
    </row>
    <row r="26662" spans="30:30" x14ac:dyDescent="0.3">
      <c r="AD26662" s="16"/>
    </row>
    <row r="26663" spans="30:30" x14ac:dyDescent="0.3">
      <c r="AD26663" s="16"/>
    </row>
    <row r="26664" spans="30:30" x14ac:dyDescent="0.3">
      <c r="AD26664" s="16"/>
    </row>
    <row r="26665" spans="30:30" x14ac:dyDescent="0.3">
      <c r="AD26665" s="16"/>
    </row>
    <row r="26666" spans="30:30" x14ac:dyDescent="0.3">
      <c r="AD26666" s="16"/>
    </row>
    <row r="26667" spans="30:30" x14ac:dyDescent="0.3">
      <c r="AD26667" s="16"/>
    </row>
    <row r="26668" spans="30:30" x14ac:dyDescent="0.3">
      <c r="AD26668" s="16"/>
    </row>
    <row r="26669" spans="30:30" x14ac:dyDescent="0.3">
      <c r="AD26669" s="16"/>
    </row>
    <row r="26670" spans="30:30" x14ac:dyDescent="0.3">
      <c r="AD26670" s="16"/>
    </row>
    <row r="26671" spans="30:30" x14ac:dyDescent="0.3">
      <c r="AD26671" s="16"/>
    </row>
    <row r="26672" spans="30:30" x14ac:dyDescent="0.3">
      <c r="AD26672" s="16"/>
    </row>
    <row r="26673" spans="30:30" x14ac:dyDescent="0.3">
      <c r="AD26673" s="16"/>
    </row>
    <row r="26674" spans="30:30" x14ac:dyDescent="0.3">
      <c r="AD26674" s="16"/>
    </row>
    <row r="26675" spans="30:30" x14ac:dyDescent="0.3">
      <c r="AD26675" s="16"/>
    </row>
    <row r="26676" spans="30:30" x14ac:dyDescent="0.3">
      <c r="AD26676" s="16"/>
    </row>
    <row r="26677" spans="30:30" x14ac:dyDescent="0.3">
      <c r="AD26677" s="16"/>
    </row>
    <row r="26678" spans="30:30" x14ac:dyDescent="0.3">
      <c r="AD26678" s="16"/>
    </row>
    <row r="26679" spans="30:30" x14ac:dyDescent="0.3">
      <c r="AD26679" s="16"/>
    </row>
    <row r="26680" spans="30:30" x14ac:dyDescent="0.3">
      <c r="AD26680" s="16"/>
    </row>
    <row r="26681" spans="30:30" x14ac:dyDescent="0.3">
      <c r="AD26681" s="16"/>
    </row>
    <row r="26682" spans="30:30" x14ac:dyDescent="0.3">
      <c r="AD26682" s="16"/>
    </row>
    <row r="26683" spans="30:30" x14ac:dyDescent="0.3">
      <c r="AD26683" s="16"/>
    </row>
    <row r="26684" spans="30:30" x14ac:dyDescent="0.3">
      <c r="AD26684" s="16"/>
    </row>
    <row r="26685" spans="30:30" x14ac:dyDescent="0.3">
      <c r="AD26685" s="16"/>
    </row>
    <row r="26686" spans="30:30" x14ac:dyDescent="0.3">
      <c r="AD26686" s="16"/>
    </row>
    <row r="26687" spans="30:30" x14ac:dyDescent="0.3">
      <c r="AD26687" s="16"/>
    </row>
    <row r="26688" spans="30:30" x14ac:dyDescent="0.3">
      <c r="AD26688" s="16"/>
    </row>
    <row r="26689" spans="30:30" x14ac:dyDescent="0.3">
      <c r="AD26689" s="16"/>
    </row>
    <row r="26690" spans="30:30" x14ac:dyDescent="0.3">
      <c r="AD26690" s="16"/>
    </row>
    <row r="26691" spans="30:30" x14ac:dyDescent="0.3">
      <c r="AD26691" s="16"/>
    </row>
    <row r="26692" spans="30:30" x14ac:dyDescent="0.3">
      <c r="AD26692" s="16"/>
    </row>
    <row r="26693" spans="30:30" x14ac:dyDescent="0.3">
      <c r="AD26693" s="16"/>
    </row>
    <row r="26694" spans="30:30" x14ac:dyDescent="0.3">
      <c r="AD26694" s="16"/>
    </row>
    <row r="26695" spans="30:30" x14ac:dyDescent="0.3">
      <c r="AD26695" s="16"/>
    </row>
    <row r="26696" spans="30:30" x14ac:dyDescent="0.3">
      <c r="AD26696" s="16"/>
    </row>
    <row r="26697" spans="30:30" x14ac:dyDescent="0.3">
      <c r="AD26697" s="16"/>
    </row>
    <row r="26698" spans="30:30" x14ac:dyDescent="0.3">
      <c r="AD26698" s="16"/>
    </row>
    <row r="26699" spans="30:30" x14ac:dyDescent="0.3">
      <c r="AD26699" s="16"/>
    </row>
    <row r="26700" spans="30:30" x14ac:dyDescent="0.3">
      <c r="AD26700" s="16"/>
    </row>
    <row r="26701" spans="30:30" x14ac:dyDescent="0.3">
      <c r="AD26701" s="16"/>
    </row>
    <row r="26702" spans="30:30" x14ac:dyDescent="0.3">
      <c r="AD26702" s="16"/>
    </row>
    <row r="26703" spans="30:30" x14ac:dyDescent="0.3">
      <c r="AD26703" s="16"/>
    </row>
    <row r="26704" spans="30:30" x14ac:dyDescent="0.3">
      <c r="AD26704" s="16"/>
    </row>
    <row r="26705" spans="30:30" x14ac:dyDescent="0.3">
      <c r="AD26705" s="16"/>
    </row>
    <row r="26706" spans="30:30" x14ac:dyDescent="0.3">
      <c r="AD26706" s="16"/>
    </row>
    <row r="26707" spans="30:30" x14ac:dyDescent="0.3">
      <c r="AD26707" s="16"/>
    </row>
    <row r="26708" spans="30:30" x14ac:dyDescent="0.3">
      <c r="AD26708" s="16"/>
    </row>
    <row r="26709" spans="30:30" x14ac:dyDescent="0.3">
      <c r="AD26709" s="16"/>
    </row>
    <row r="26710" spans="30:30" x14ac:dyDescent="0.3">
      <c r="AD26710" s="16"/>
    </row>
    <row r="26711" spans="30:30" x14ac:dyDescent="0.3">
      <c r="AD26711" s="16"/>
    </row>
    <row r="26712" spans="30:30" x14ac:dyDescent="0.3">
      <c r="AD26712" s="16"/>
    </row>
    <row r="26713" spans="30:30" x14ac:dyDescent="0.3">
      <c r="AD26713" s="16"/>
    </row>
    <row r="26714" spans="30:30" x14ac:dyDescent="0.3">
      <c r="AD26714" s="16"/>
    </row>
    <row r="26715" spans="30:30" x14ac:dyDescent="0.3">
      <c r="AD26715" s="16"/>
    </row>
    <row r="26716" spans="30:30" x14ac:dyDescent="0.3">
      <c r="AD26716" s="16"/>
    </row>
    <row r="26717" spans="30:30" x14ac:dyDescent="0.3">
      <c r="AD26717" s="16"/>
    </row>
    <row r="26718" spans="30:30" x14ac:dyDescent="0.3">
      <c r="AD26718" s="16"/>
    </row>
    <row r="26719" spans="30:30" x14ac:dyDescent="0.3">
      <c r="AD26719" s="16"/>
    </row>
    <row r="26720" spans="30:30" x14ac:dyDescent="0.3">
      <c r="AD26720" s="16"/>
    </row>
    <row r="26721" spans="30:30" x14ac:dyDescent="0.3">
      <c r="AD26721" s="16"/>
    </row>
    <row r="26722" spans="30:30" x14ac:dyDescent="0.3">
      <c r="AD26722" s="16"/>
    </row>
    <row r="26723" spans="30:30" x14ac:dyDescent="0.3">
      <c r="AD26723" s="16"/>
    </row>
    <row r="26724" spans="30:30" x14ac:dyDescent="0.3">
      <c r="AD26724" s="16"/>
    </row>
    <row r="26725" spans="30:30" x14ac:dyDescent="0.3">
      <c r="AD26725" s="16"/>
    </row>
    <row r="26726" spans="30:30" x14ac:dyDescent="0.3">
      <c r="AD26726" s="16"/>
    </row>
    <row r="26727" spans="30:30" x14ac:dyDescent="0.3">
      <c r="AD26727" s="16"/>
    </row>
    <row r="26728" spans="30:30" x14ac:dyDescent="0.3">
      <c r="AD26728" s="16"/>
    </row>
    <row r="26729" spans="30:30" x14ac:dyDescent="0.3">
      <c r="AD26729" s="16"/>
    </row>
    <row r="26730" spans="30:30" x14ac:dyDescent="0.3">
      <c r="AD26730" s="16"/>
    </row>
    <row r="26731" spans="30:30" x14ac:dyDescent="0.3">
      <c r="AD26731" s="16"/>
    </row>
    <row r="26732" spans="30:30" x14ac:dyDescent="0.3">
      <c r="AD26732" s="16"/>
    </row>
    <row r="26733" spans="30:30" x14ac:dyDescent="0.3">
      <c r="AD26733" s="16"/>
    </row>
    <row r="26734" spans="30:30" x14ac:dyDescent="0.3">
      <c r="AD26734" s="16"/>
    </row>
    <row r="26735" spans="30:30" x14ac:dyDescent="0.3">
      <c r="AD26735" s="16"/>
    </row>
    <row r="26736" spans="30:30" x14ac:dyDescent="0.3">
      <c r="AD26736" s="16"/>
    </row>
    <row r="26737" spans="30:30" x14ac:dyDescent="0.3">
      <c r="AD26737" s="16"/>
    </row>
    <row r="26738" spans="30:30" x14ac:dyDescent="0.3">
      <c r="AD26738" s="16"/>
    </row>
    <row r="26739" spans="30:30" x14ac:dyDescent="0.3">
      <c r="AD26739" s="16"/>
    </row>
    <row r="26740" spans="30:30" x14ac:dyDescent="0.3">
      <c r="AD26740" s="16"/>
    </row>
    <row r="26741" spans="30:30" x14ac:dyDescent="0.3">
      <c r="AD26741" s="16"/>
    </row>
    <row r="26742" spans="30:30" x14ac:dyDescent="0.3">
      <c r="AD26742" s="16"/>
    </row>
    <row r="26743" spans="30:30" x14ac:dyDescent="0.3">
      <c r="AD26743" s="16"/>
    </row>
    <row r="26744" spans="30:30" x14ac:dyDescent="0.3">
      <c r="AD26744" s="16"/>
    </row>
    <row r="26745" spans="30:30" x14ac:dyDescent="0.3">
      <c r="AD26745" s="16"/>
    </row>
    <row r="26746" spans="30:30" x14ac:dyDescent="0.3">
      <c r="AD26746" s="16"/>
    </row>
    <row r="26747" spans="30:30" x14ac:dyDescent="0.3">
      <c r="AD26747" s="16"/>
    </row>
    <row r="26748" spans="30:30" x14ac:dyDescent="0.3">
      <c r="AD26748" s="16"/>
    </row>
    <row r="26749" spans="30:30" x14ac:dyDescent="0.3">
      <c r="AD26749" s="16"/>
    </row>
    <row r="26750" spans="30:30" x14ac:dyDescent="0.3">
      <c r="AD26750" s="16"/>
    </row>
    <row r="26751" spans="30:30" x14ac:dyDescent="0.3">
      <c r="AD26751" s="16"/>
    </row>
    <row r="26752" spans="30:30" x14ac:dyDescent="0.3">
      <c r="AD26752" s="16"/>
    </row>
    <row r="26753" spans="30:30" x14ac:dyDescent="0.3">
      <c r="AD26753" s="16"/>
    </row>
    <row r="26754" spans="30:30" x14ac:dyDescent="0.3">
      <c r="AD26754" s="16"/>
    </row>
    <row r="26755" spans="30:30" x14ac:dyDescent="0.3">
      <c r="AD26755" s="16"/>
    </row>
    <row r="26756" spans="30:30" x14ac:dyDescent="0.3">
      <c r="AD26756" s="16"/>
    </row>
    <row r="26757" spans="30:30" x14ac:dyDescent="0.3">
      <c r="AD26757" s="16"/>
    </row>
    <row r="26758" spans="30:30" x14ac:dyDescent="0.3">
      <c r="AD26758" s="16"/>
    </row>
    <row r="26759" spans="30:30" x14ac:dyDescent="0.3">
      <c r="AD26759" s="16"/>
    </row>
    <row r="26760" spans="30:30" x14ac:dyDescent="0.3">
      <c r="AD26760" s="16"/>
    </row>
    <row r="26761" spans="30:30" x14ac:dyDescent="0.3">
      <c r="AD26761" s="16"/>
    </row>
    <row r="26762" spans="30:30" x14ac:dyDescent="0.3">
      <c r="AD26762" s="16"/>
    </row>
    <row r="26763" spans="30:30" x14ac:dyDescent="0.3">
      <c r="AD26763" s="16"/>
    </row>
    <row r="26764" spans="30:30" x14ac:dyDescent="0.3">
      <c r="AD26764" s="16"/>
    </row>
    <row r="26765" spans="30:30" x14ac:dyDescent="0.3">
      <c r="AD26765" s="16"/>
    </row>
    <row r="26766" spans="30:30" x14ac:dyDescent="0.3">
      <c r="AD26766" s="16"/>
    </row>
    <row r="26767" spans="30:30" x14ac:dyDescent="0.3">
      <c r="AD26767" s="16"/>
    </row>
    <row r="26768" spans="30:30" x14ac:dyDescent="0.3">
      <c r="AD26768" s="16"/>
    </row>
    <row r="26769" spans="30:30" x14ac:dyDescent="0.3">
      <c r="AD26769" s="16"/>
    </row>
    <row r="26770" spans="30:30" x14ac:dyDescent="0.3">
      <c r="AD26770" s="16"/>
    </row>
    <row r="26771" spans="30:30" x14ac:dyDescent="0.3">
      <c r="AD26771" s="16"/>
    </row>
    <row r="26772" spans="30:30" x14ac:dyDescent="0.3">
      <c r="AD26772" s="16"/>
    </row>
    <row r="26773" spans="30:30" x14ac:dyDescent="0.3">
      <c r="AD26773" s="16"/>
    </row>
    <row r="26774" spans="30:30" x14ac:dyDescent="0.3">
      <c r="AD26774" s="16"/>
    </row>
    <row r="26775" spans="30:30" x14ac:dyDescent="0.3">
      <c r="AD26775" s="16"/>
    </row>
    <row r="26776" spans="30:30" x14ac:dyDescent="0.3">
      <c r="AD26776" s="16"/>
    </row>
    <row r="26777" spans="30:30" x14ac:dyDescent="0.3">
      <c r="AD26777" s="16"/>
    </row>
    <row r="26778" spans="30:30" x14ac:dyDescent="0.3">
      <c r="AD26778" s="16"/>
    </row>
    <row r="26779" spans="30:30" x14ac:dyDescent="0.3">
      <c r="AD26779" s="16"/>
    </row>
    <row r="26780" spans="30:30" x14ac:dyDescent="0.3">
      <c r="AD26780" s="16"/>
    </row>
    <row r="26781" spans="30:30" x14ac:dyDescent="0.3">
      <c r="AD26781" s="16"/>
    </row>
    <row r="26782" spans="30:30" x14ac:dyDescent="0.3">
      <c r="AD26782" s="16"/>
    </row>
    <row r="26783" spans="30:30" x14ac:dyDescent="0.3">
      <c r="AD26783" s="16"/>
    </row>
    <row r="26784" spans="30:30" x14ac:dyDescent="0.3">
      <c r="AD26784" s="16"/>
    </row>
    <row r="26785" spans="30:30" x14ac:dyDescent="0.3">
      <c r="AD26785" s="16"/>
    </row>
    <row r="26786" spans="30:30" x14ac:dyDescent="0.3">
      <c r="AD26786" s="16"/>
    </row>
    <row r="26787" spans="30:30" x14ac:dyDescent="0.3">
      <c r="AD26787" s="16"/>
    </row>
    <row r="26788" spans="30:30" x14ac:dyDescent="0.3">
      <c r="AD26788" s="16"/>
    </row>
    <row r="26789" spans="30:30" x14ac:dyDescent="0.3">
      <c r="AD26789" s="16"/>
    </row>
    <row r="26790" spans="30:30" x14ac:dyDescent="0.3">
      <c r="AD26790" s="16"/>
    </row>
    <row r="26791" spans="30:30" x14ac:dyDescent="0.3">
      <c r="AD26791" s="16"/>
    </row>
    <row r="26792" spans="30:30" x14ac:dyDescent="0.3">
      <c r="AD26792" s="16"/>
    </row>
    <row r="26793" spans="30:30" x14ac:dyDescent="0.3">
      <c r="AD26793" s="16"/>
    </row>
    <row r="26794" spans="30:30" x14ac:dyDescent="0.3">
      <c r="AD26794" s="16"/>
    </row>
    <row r="26795" spans="30:30" x14ac:dyDescent="0.3">
      <c r="AD26795" s="16"/>
    </row>
    <row r="26796" spans="30:30" x14ac:dyDescent="0.3">
      <c r="AD26796" s="16"/>
    </row>
    <row r="26797" spans="30:30" x14ac:dyDescent="0.3">
      <c r="AD26797" s="16"/>
    </row>
    <row r="26798" spans="30:30" x14ac:dyDescent="0.3">
      <c r="AD26798" s="16"/>
    </row>
    <row r="26799" spans="30:30" x14ac:dyDescent="0.3">
      <c r="AD26799" s="16"/>
    </row>
    <row r="26800" spans="30:30" x14ac:dyDescent="0.3">
      <c r="AD26800" s="16"/>
    </row>
    <row r="26801" spans="30:30" x14ac:dyDescent="0.3">
      <c r="AD26801" s="16"/>
    </row>
    <row r="26802" spans="30:30" x14ac:dyDescent="0.3">
      <c r="AD26802" s="16"/>
    </row>
    <row r="26803" spans="30:30" x14ac:dyDescent="0.3">
      <c r="AD26803" s="16"/>
    </row>
    <row r="26804" spans="30:30" x14ac:dyDescent="0.3">
      <c r="AD26804" s="16"/>
    </row>
    <row r="26805" spans="30:30" x14ac:dyDescent="0.3">
      <c r="AD26805" s="16"/>
    </row>
    <row r="26806" spans="30:30" x14ac:dyDescent="0.3">
      <c r="AD26806" s="16"/>
    </row>
    <row r="26807" spans="30:30" x14ac:dyDescent="0.3">
      <c r="AD26807" s="16"/>
    </row>
    <row r="26808" spans="30:30" x14ac:dyDescent="0.3">
      <c r="AD26808" s="16"/>
    </row>
    <row r="26809" spans="30:30" x14ac:dyDescent="0.3">
      <c r="AD26809" s="16"/>
    </row>
    <row r="26810" spans="30:30" x14ac:dyDescent="0.3">
      <c r="AD26810" s="16"/>
    </row>
    <row r="26811" spans="30:30" x14ac:dyDescent="0.3">
      <c r="AD26811" s="16"/>
    </row>
    <row r="26812" spans="30:30" x14ac:dyDescent="0.3">
      <c r="AD26812" s="16"/>
    </row>
    <row r="26813" spans="30:30" x14ac:dyDescent="0.3">
      <c r="AD26813" s="16"/>
    </row>
    <row r="26814" spans="30:30" x14ac:dyDescent="0.3">
      <c r="AD26814" s="16"/>
    </row>
    <row r="26815" spans="30:30" x14ac:dyDescent="0.3">
      <c r="AD26815" s="16"/>
    </row>
    <row r="26816" spans="30:30" x14ac:dyDescent="0.3">
      <c r="AD26816" s="16"/>
    </row>
    <row r="26817" spans="30:30" x14ac:dyDescent="0.3">
      <c r="AD26817" s="16"/>
    </row>
    <row r="26818" spans="30:30" x14ac:dyDescent="0.3">
      <c r="AD26818" s="16"/>
    </row>
    <row r="26819" spans="30:30" x14ac:dyDescent="0.3">
      <c r="AD26819" s="16"/>
    </row>
    <row r="26820" spans="30:30" x14ac:dyDescent="0.3">
      <c r="AD26820" s="16"/>
    </row>
    <row r="26821" spans="30:30" x14ac:dyDescent="0.3">
      <c r="AD26821" s="16"/>
    </row>
    <row r="26822" spans="30:30" x14ac:dyDescent="0.3">
      <c r="AD26822" s="16"/>
    </row>
    <row r="26823" spans="30:30" x14ac:dyDescent="0.3">
      <c r="AD26823" s="16"/>
    </row>
    <row r="26824" spans="30:30" x14ac:dyDescent="0.3">
      <c r="AD26824" s="16"/>
    </row>
    <row r="26825" spans="30:30" x14ac:dyDescent="0.3">
      <c r="AD26825" s="16"/>
    </row>
    <row r="26826" spans="30:30" x14ac:dyDescent="0.3">
      <c r="AD26826" s="16"/>
    </row>
    <row r="26827" spans="30:30" x14ac:dyDescent="0.3">
      <c r="AD26827" s="16"/>
    </row>
    <row r="26828" spans="30:30" x14ac:dyDescent="0.3">
      <c r="AD26828" s="16"/>
    </row>
    <row r="26829" spans="30:30" x14ac:dyDescent="0.3">
      <c r="AD26829" s="16"/>
    </row>
    <row r="26830" spans="30:30" x14ac:dyDescent="0.3">
      <c r="AD26830" s="16"/>
    </row>
    <row r="26831" spans="30:30" x14ac:dyDescent="0.3">
      <c r="AD26831" s="16"/>
    </row>
    <row r="26832" spans="30:30" x14ac:dyDescent="0.3">
      <c r="AD26832" s="16"/>
    </row>
    <row r="26833" spans="30:30" x14ac:dyDescent="0.3">
      <c r="AD26833" s="16"/>
    </row>
    <row r="26834" spans="30:30" x14ac:dyDescent="0.3">
      <c r="AD26834" s="16"/>
    </row>
    <row r="26835" spans="30:30" x14ac:dyDescent="0.3">
      <c r="AD26835" s="16"/>
    </row>
    <row r="26836" spans="30:30" x14ac:dyDescent="0.3">
      <c r="AD26836" s="16"/>
    </row>
    <row r="26837" spans="30:30" x14ac:dyDescent="0.3">
      <c r="AD26837" s="16"/>
    </row>
    <row r="26838" spans="30:30" x14ac:dyDescent="0.3">
      <c r="AD26838" s="16"/>
    </row>
    <row r="26839" spans="30:30" x14ac:dyDescent="0.3">
      <c r="AD26839" s="16"/>
    </row>
    <row r="26840" spans="30:30" x14ac:dyDescent="0.3">
      <c r="AD26840" s="16"/>
    </row>
    <row r="26841" spans="30:30" x14ac:dyDescent="0.3">
      <c r="AD26841" s="16"/>
    </row>
    <row r="26842" spans="30:30" x14ac:dyDescent="0.3">
      <c r="AD26842" s="16"/>
    </row>
    <row r="26843" spans="30:30" x14ac:dyDescent="0.3">
      <c r="AD26843" s="16"/>
    </row>
    <row r="26844" spans="30:30" x14ac:dyDescent="0.3">
      <c r="AD26844" s="16"/>
    </row>
    <row r="26845" spans="30:30" x14ac:dyDescent="0.3">
      <c r="AD26845" s="16"/>
    </row>
    <row r="26846" spans="30:30" x14ac:dyDescent="0.3">
      <c r="AD26846" s="16"/>
    </row>
    <row r="26847" spans="30:30" x14ac:dyDescent="0.3">
      <c r="AD26847" s="16"/>
    </row>
    <row r="26848" spans="30:30" x14ac:dyDescent="0.3">
      <c r="AD26848" s="16"/>
    </row>
    <row r="26849" spans="30:30" x14ac:dyDescent="0.3">
      <c r="AD26849" s="16"/>
    </row>
    <row r="26850" spans="30:30" x14ac:dyDescent="0.3">
      <c r="AD26850" s="16"/>
    </row>
    <row r="26851" spans="30:30" x14ac:dyDescent="0.3">
      <c r="AD26851" s="16"/>
    </row>
    <row r="26852" spans="30:30" x14ac:dyDescent="0.3">
      <c r="AD26852" s="16"/>
    </row>
    <row r="26853" spans="30:30" x14ac:dyDescent="0.3">
      <c r="AD26853" s="16"/>
    </row>
    <row r="26854" spans="30:30" x14ac:dyDescent="0.3">
      <c r="AD26854" s="16"/>
    </row>
    <row r="26855" spans="30:30" x14ac:dyDescent="0.3">
      <c r="AD26855" s="16"/>
    </row>
    <row r="26856" spans="30:30" x14ac:dyDescent="0.3">
      <c r="AD26856" s="16"/>
    </row>
    <row r="26857" spans="30:30" x14ac:dyDescent="0.3">
      <c r="AD26857" s="16"/>
    </row>
    <row r="26858" spans="30:30" x14ac:dyDescent="0.3">
      <c r="AD26858" s="16"/>
    </row>
    <row r="26859" spans="30:30" x14ac:dyDescent="0.3">
      <c r="AD26859" s="16"/>
    </row>
    <row r="26860" spans="30:30" x14ac:dyDescent="0.3">
      <c r="AD26860" s="16"/>
    </row>
    <row r="26861" spans="30:30" x14ac:dyDescent="0.3">
      <c r="AD26861" s="16"/>
    </row>
    <row r="26862" spans="30:30" x14ac:dyDescent="0.3">
      <c r="AD26862" s="16"/>
    </row>
    <row r="26863" spans="30:30" x14ac:dyDescent="0.3">
      <c r="AD26863" s="16"/>
    </row>
    <row r="26864" spans="30:30" x14ac:dyDescent="0.3">
      <c r="AD26864" s="16"/>
    </row>
    <row r="26865" spans="30:30" x14ac:dyDescent="0.3">
      <c r="AD26865" s="16"/>
    </row>
    <row r="26866" spans="30:30" x14ac:dyDescent="0.3">
      <c r="AD26866" s="16"/>
    </row>
    <row r="26867" spans="30:30" x14ac:dyDescent="0.3">
      <c r="AD26867" s="16"/>
    </row>
    <row r="26868" spans="30:30" x14ac:dyDescent="0.3">
      <c r="AD26868" s="16"/>
    </row>
    <row r="26869" spans="30:30" x14ac:dyDescent="0.3">
      <c r="AD26869" s="16"/>
    </row>
    <row r="26870" spans="30:30" x14ac:dyDescent="0.3">
      <c r="AD26870" s="16"/>
    </row>
    <row r="26871" spans="30:30" x14ac:dyDescent="0.3">
      <c r="AD26871" s="16"/>
    </row>
    <row r="26872" spans="30:30" x14ac:dyDescent="0.3">
      <c r="AD26872" s="16"/>
    </row>
    <row r="26873" spans="30:30" x14ac:dyDescent="0.3">
      <c r="AD26873" s="16"/>
    </row>
    <row r="26874" spans="30:30" x14ac:dyDescent="0.3">
      <c r="AD26874" s="16"/>
    </row>
    <row r="26875" spans="30:30" x14ac:dyDescent="0.3">
      <c r="AD26875" s="16"/>
    </row>
    <row r="26876" spans="30:30" x14ac:dyDescent="0.3">
      <c r="AD26876" s="16"/>
    </row>
    <row r="26877" spans="30:30" x14ac:dyDescent="0.3">
      <c r="AD26877" s="16"/>
    </row>
    <row r="26878" spans="30:30" x14ac:dyDescent="0.3">
      <c r="AD26878" s="16"/>
    </row>
    <row r="26879" spans="30:30" x14ac:dyDescent="0.3">
      <c r="AD26879" s="16"/>
    </row>
    <row r="26880" spans="30:30" x14ac:dyDescent="0.3">
      <c r="AD26880" s="16"/>
    </row>
    <row r="26881" spans="30:30" x14ac:dyDescent="0.3">
      <c r="AD26881" s="16"/>
    </row>
    <row r="26882" spans="30:30" x14ac:dyDescent="0.3">
      <c r="AD26882" s="16"/>
    </row>
    <row r="26883" spans="30:30" x14ac:dyDescent="0.3">
      <c r="AD26883" s="16"/>
    </row>
    <row r="26884" spans="30:30" x14ac:dyDescent="0.3">
      <c r="AD26884" s="16"/>
    </row>
    <row r="26885" spans="30:30" x14ac:dyDescent="0.3">
      <c r="AD26885" s="16"/>
    </row>
    <row r="26886" spans="30:30" x14ac:dyDescent="0.3">
      <c r="AD26886" s="16"/>
    </row>
    <row r="26887" spans="30:30" x14ac:dyDescent="0.3">
      <c r="AD26887" s="16"/>
    </row>
    <row r="26888" spans="30:30" x14ac:dyDescent="0.3">
      <c r="AD26888" s="16"/>
    </row>
    <row r="26889" spans="30:30" x14ac:dyDescent="0.3">
      <c r="AD26889" s="16"/>
    </row>
    <row r="26890" spans="30:30" x14ac:dyDescent="0.3">
      <c r="AD26890" s="16"/>
    </row>
    <row r="26891" spans="30:30" x14ac:dyDescent="0.3">
      <c r="AD26891" s="16"/>
    </row>
    <row r="26892" spans="30:30" x14ac:dyDescent="0.3">
      <c r="AD26892" s="16"/>
    </row>
    <row r="26893" spans="30:30" x14ac:dyDescent="0.3">
      <c r="AD26893" s="16"/>
    </row>
    <row r="26894" spans="30:30" x14ac:dyDescent="0.3">
      <c r="AD26894" s="16"/>
    </row>
    <row r="26895" spans="30:30" x14ac:dyDescent="0.3">
      <c r="AD26895" s="16"/>
    </row>
    <row r="26896" spans="30:30" x14ac:dyDescent="0.3">
      <c r="AD26896" s="16"/>
    </row>
    <row r="26897" spans="30:30" x14ac:dyDescent="0.3">
      <c r="AD26897" s="16"/>
    </row>
    <row r="26898" spans="30:30" x14ac:dyDescent="0.3">
      <c r="AD26898" s="16"/>
    </row>
    <row r="26899" spans="30:30" x14ac:dyDescent="0.3">
      <c r="AD26899" s="16"/>
    </row>
    <row r="26900" spans="30:30" x14ac:dyDescent="0.3">
      <c r="AD26900" s="16"/>
    </row>
    <row r="26901" spans="30:30" x14ac:dyDescent="0.3">
      <c r="AD26901" s="16"/>
    </row>
    <row r="26902" spans="30:30" x14ac:dyDescent="0.3">
      <c r="AD26902" s="16"/>
    </row>
    <row r="26903" spans="30:30" x14ac:dyDescent="0.3">
      <c r="AD26903" s="16"/>
    </row>
    <row r="26904" spans="30:30" x14ac:dyDescent="0.3">
      <c r="AD26904" s="16"/>
    </row>
    <row r="26905" spans="30:30" x14ac:dyDescent="0.3">
      <c r="AD26905" s="16"/>
    </row>
    <row r="26906" spans="30:30" x14ac:dyDescent="0.3">
      <c r="AD26906" s="16"/>
    </row>
    <row r="26907" spans="30:30" x14ac:dyDescent="0.3">
      <c r="AD26907" s="16"/>
    </row>
    <row r="26908" spans="30:30" x14ac:dyDescent="0.3">
      <c r="AD26908" s="16"/>
    </row>
    <row r="26909" spans="30:30" x14ac:dyDescent="0.3">
      <c r="AD26909" s="16"/>
    </row>
    <row r="26910" spans="30:30" x14ac:dyDescent="0.3">
      <c r="AD26910" s="16"/>
    </row>
    <row r="26911" spans="30:30" x14ac:dyDescent="0.3">
      <c r="AD26911" s="16"/>
    </row>
    <row r="26912" spans="30:30" x14ac:dyDescent="0.3">
      <c r="AD26912" s="16"/>
    </row>
    <row r="26913" spans="30:30" x14ac:dyDescent="0.3">
      <c r="AD26913" s="16"/>
    </row>
    <row r="26914" spans="30:30" x14ac:dyDescent="0.3">
      <c r="AD26914" s="16"/>
    </row>
    <row r="26915" spans="30:30" x14ac:dyDescent="0.3">
      <c r="AD26915" s="16"/>
    </row>
    <row r="26916" spans="30:30" x14ac:dyDescent="0.3">
      <c r="AD26916" s="16"/>
    </row>
    <row r="26917" spans="30:30" x14ac:dyDescent="0.3">
      <c r="AD26917" s="16"/>
    </row>
    <row r="26918" spans="30:30" x14ac:dyDescent="0.3">
      <c r="AD26918" s="16"/>
    </row>
    <row r="26919" spans="30:30" x14ac:dyDescent="0.3">
      <c r="AD26919" s="16"/>
    </row>
    <row r="26920" spans="30:30" x14ac:dyDescent="0.3">
      <c r="AD26920" s="16"/>
    </row>
    <row r="26921" spans="30:30" x14ac:dyDescent="0.3">
      <c r="AD26921" s="16"/>
    </row>
    <row r="26922" spans="30:30" x14ac:dyDescent="0.3">
      <c r="AD26922" s="16"/>
    </row>
    <row r="26923" spans="30:30" x14ac:dyDescent="0.3">
      <c r="AD26923" s="16"/>
    </row>
    <row r="26924" spans="30:30" x14ac:dyDescent="0.3">
      <c r="AD26924" s="16"/>
    </row>
    <row r="26925" spans="30:30" x14ac:dyDescent="0.3">
      <c r="AD26925" s="16"/>
    </row>
    <row r="26926" spans="30:30" x14ac:dyDescent="0.3">
      <c r="AD26926" s="16"/>
    </row>
    <row r="26927" spans="30:30" x14ac:dyDescent="0.3">
      <c r="AD26927" s="16"/>
    </row>
    <row r="26928" spans="30:30" x14ac:dyDescent="0.3">
      <c r="AD26928" s="16"/>
    </row>
    <row r="26929" spans="30:30" x14ac:dyDescent="0.3">
      <c r="AD26929" s="16"/>
    </row>
    <row r="26930" spans="30:30" x14ac:dyDescent="0.3">
      <c r="AD26930" s="16"/>
    </row>
    <row r="26931" spans="30:30" x14ac:dyDescent="0.3">
      <c r="AD26931" s="16"/>
    </row>
    <row r="26932" spans="30:30" x14ac:dyDescent="0.3">
      <c r="AD26932" s="16"/>
    </row>
    <row r="26933" spans="30:30" x14ac:dyDescent="0.3">
      <c r="AD26933" s="16"/>
    </row>
    <row r="26934" spans="30:30" x14ac:dyDescent="0.3">
      <c r="AD26934" s="16"/>
    </row>
    <row r="26935" spans="30:30" x14ac:dyDescent="0.3">
      <c r="AD26935" s="16"/>
    </row>
    <row r="26936" spans="30:30" x14ac:dyDescent="0.3">
      <c r="AD26936" s="16"/>
    </row>
    <row r="26937" spans="30:30" x14ac:dyDescent="0.3">
      <c r="AD26937" s="16"/>
    </row>
    <row r="26938" spans="30:30" x14ac:dyDescent="0.3">
      <c r="AD26938" s="16"/>
    </row>
    <row r="26939" spans="30:30" x14ac:dyDescent="0.3">
      <c r="AD26939" s="16"/>
    </row>
    <row r="26940" spans="30:30" x14ac:dyDescent="0.3">
      <c r="AD26940" s="16"/>
    </row>
    <row r="26941" spans="30:30" x14ac:dyDescent="0.3">
      <c r="AD26941" s="16"/>
    </row>
    <row r="26942" spans="30:30" x14ac:dyDescent="0.3">
      <c r="AD26942" s="16"/>
    </row>
    <row r="26943" spans="30:30" x14ac:dyDescent="0.3">
      <c r="AD26943" s="16"/>
    </row>
    <row r="26944" spans="30:30" x14ac:dyDescent="0.3">
      <c r="AD26944" s="16"/>
    </row>
    <row r="26945" spans="30:30" x14ac:dyDescent="0.3">
      <c r="AD26945" s="16"/>
    </row>
    <row r="26946" spans="30:30" x14ac:dyDescent="0.3">
      <c r="AD26946" s="16"/>
    </row>
    <row r="26947" spans="30:30" x14ac:dyDescent="0.3">
      <c r="AD26947" s="16"/>
    </row>
    <row r="26948" spans="30:30" x14ac:dyDescent="0.3">
      <c r="AD26948" s="16"/>
    </row>
    <row r="26949" spans="30:30" x14ac:dyDescent="0.3">
      <c r="AD26949" s="16"/>
    </row>
    <row r="26950" spans="30:30" x14ac:dyDescent="0.3">
      <c r="AD26950" s="16"/>
    </row>
    <row r="26951" spans="30:30" x14ac:dyDescent="0.3">
      <c r="AD26951" s="16"/>
    </row>
    <row r="26952" spans="30:30" x14ac:dyDescent="0.3">
      <c r="AD26952" s="16"/>
    </row>
    <row r="26953" spans="30:30" x14ac:dyDescent="0.3">
      <c r="AD26953" s="16"/>
    </row>
    <row r="26954" spans="30:30" x14ac:dyDescent="0.3">
      <c r="AD26954" s="16"/>
    </row>
    <row r="26955" spans="30:30" x14ac:dyDescent="0.3">
      <c r="AD26955" s="16"/>
    </row>
    <row r="26956" spans="30:30" x14ac:dyDescent="0.3">
      <c r="AD26956" s="16"/>
    </row>
    <row r="26957" spans="30:30" x14ac:dyDescent="0.3">
      <c r="AD26957" s="16"/>
    </row>
    <row r="26958" spans="30:30" x14ac:dyDescent="0.3">
      <c r="AD26958" s="16"/>
    </row>
    <row r="26959" spans="30:30" x14ac:dyDescent="0.3">
      <c r="AD26959" s="16"/>
    </row>
    <row r="26960" spans="30:30" x14ac:dyDescent="0.3">
      <c r="AD26960" s="16"/>
    </row>
    <row r="26961" spans="30:30" x14ac:dyDescent="0.3">
      <c r="AD26961" s="16"/>
    </row>
    <row r="26962" spans="30:30" x14ac:dyDescent="0.3">
      <c r="AD26962" s="16"/>
    </row>
    <row r="26963" spans="30:30" x14ac:dyDescent="0.3">
      <c r="AD26963" s="16"/>
    </row>
    <row r="26964" spans="30:30" x14ac:dyDescent="0.3">
      <c r="AD26964" s="16"/>
    </row>
    <row r="26965" spans="30:30" x14ac:dyDescent="0.3">
      <c r="AD26965" s="16"/>
    </row>
    <row r="26966" spans="30:30" x14ac:dyDescent="0.3">
      <c r="AD26966" s="16"/>
    </row>
    <row r="26967" spans="30:30" x14ac:dyDescent="0.3">
      <c r="AD26967" s="16"/>
    </row>
    <row r="26968" spans="30:30" x14ac:dyDescent="0.3">
      <c r="AD26968" s="16"/>
    </row>
    <row r="26969" spans="30:30" x14ac:dyDescent="0.3">
      <c r="AD26969" s="16"/>
    </row>
    <row r="26970" spans="30:30" x14ac:dyDescent="0.3">
      <c r="AD26970" s="16"/>
    </row>
    <row r="26971" spans="30:30" x14ac:dyDescent="0.3">
      <c r="AD26971" s="16"/>
    </row>
    <row r="26972" spans="30:30" x14ac:dyDescent="0.3">
      <c r="AD26972" s="16"/>
    </row>
    <row r="26973" spans="30:30" x14ac:dyDescent="0.3">
      <c r="AD26973" s="16"/>
    </row>
    <row r="26974" spans="30:30" x14ac:dyDescent="0.3">
      <c r="AD26974" s="16"/>
    </row>
    <row r="26975" spans="30:30" x14ac:dyDescent="0.3">
      <c r="AD26975" s="16"/>
    </row>
    <row r="26976" spans="30:30" x14ac:dyDescent="0.3">
      <c r="AD26976" s="16"/>
    </row>
    <row r="26977" spans="30:30" x14ac:dyDescent="0.3">
      <c r="AD26977" s="16"/>
    </row>
    <row r="26978" spans="30:30" x14ac:dyDescent="0.3">
      <c r="AD26978" s="16"/>
    </row>
    <row r="26979" spans="30:30" x14ac:dyDescent="0.3">
      <c r="AD26979" s="16"/>
    </row>
    <row r="26980" spans="30:30" x14ac:dyDescent="0.3">
      <c r="AD26980" s="16"/>
    </row>
    <row r="26981" spans="30:30" x14ac:dyDescent="0.3">
      <c r="AD26981" s="16"/>
    </row>
    <row r="26982" spans="30:30" x14ac:dyDescent="0.3">
      <c r="AD26982" s="16"/>
    </row>
    <row r="26983" spans="30:30" x14ac:dyDescent="0.3">
      <c r="AD26983" s="16"/>
    </row>
    <row r="26984" spans="30:30" x14ac:dyDescent="0.3">
      <c r="AD26984" s="16"/>
    </row>
    <row r="26985" spans="30:30" x14ac:dyDescent="0.3">
      <c r="AD26985" s="16"/>
    </row>
    <row r="26986" spans="30:30" x14ac:dyDescent="0.3">
      <c r="AD26986" s="16"/>
    </row>
    <row r="26987" spans="30:30" x14ac:dyDescent="0.3">
      <c r="AD26987" s="16"/>
    </row>
    <row r="26988" spans="30:30" x14ac:dyDescent="0.3">
      <c r="AD26988" s="16"/>
    </row>
    <row r="26989" spans="30:30" x14ac:dyDescent="0.3">
      <c r="AD26989" s="16"/>
    </row>
    <row r="26990" spans="30:30" x14ac:dyDescent="0.3">
      <c r="AD26990" s="16"/>
    </row>
    <row r="26991" spans="30:30" x14ac:dyDescent="0.3">
      <c r="AD26991" s="16"/>
    </row>
    <row r="26992" spans="30:30" x14ac:dyDescent="0.3">
      <c r="AD26992" s="16"/>
    </row>
    <row r="26993" spans="30:30" x14ac:dyDescent="0.3">
      <c r="AD26993" s="16"/>
    </row>
    <row r="26994" spans="30:30" x14ac:dyDescent="0.3">
      <c r="AD26994" s="16"/>
    </row>
    <row r="26995" spans="30:30" x14ac:dyDescent="0.3">
      <c r="AD26995" s="16"/>
    </row>
    <row r="26996" spans="30:30" x14ac:dyDescent="0.3">
      <c r="AD26996" s="16"/>
    </row>
    <row r="26997" spans="30:30" x14ac:dyDescent="0.3">
      <c r="AD26997" s="16"/>
    </row>
    <row r="26998" spans="30:30" x14ac:dyDescent="0.3">
      <c r="AD26998" s="16"/>
    </row>
    <row r="26999" spans="30:30" x14ac:dyDescent="0.3">
      <c r="AD26999" s="16"/>
    </row>
    <row r="27000" spans="30:30" x14ac:dyDescent="0.3">
      <c r="AD27000" s="16"/>
    </row>
    <row r="27001" spans="30:30" x14ac:dyDescent="0.3">
      <c r="AD27001" s="16"/>
    </row>
    <row r="27002" spans="30:30" x14ac:dyDescent="0.3">
      <c r="AD27002" s="16"/>
    </row>
    <row r="27003" spans="30:30" x14ac:dyDescent="0.3">
      <c r="AD27003" s="16"/>
    </row>
    <row r="27004" spans="30:30" x14ac:dyDescent="0.3">
      <c r="AD27004" s="16"/>
    </row>
    <row r="27005" spans="30:30" x14ac:dyDescent="0.3">
      <c r="AD27005" s="16"/>
    </row>
    <row r="27006" spans="30:30" x14ac:dyDescent="0.3">
      <c r="AD27006" s="16"/>
    </row>
    <row r="27007" spans="30:30" x14ac:dyDescent="0.3">
      <c r="AD27007" s="16"/>
    </row>
    <row r="27008" spans="30:30" x14ac:dyDescent="0.3">
      <c r="AD27008" s="16"/>
    </row>
    <row r="27009" spans="30:30" x14ac:dyDescent="0.3">
      <c r="AD27009" s="16"/>
    </row>
    <row r="27010" spans="30:30" x14ac:dyDescent="0.3">
      <c r="AD27010" s="16"/>
    </row>
    <row r="27011" spans="30:30" x14ac:dyDescent="0.3">
      <c r="AD27011" s="16"/>
    </row>
    <row r="27012" spans="30:30" x14ac:dyDescent="0.3">
      <c r="AD27012" s="16"/>
    </row>
    <row r="27013" spans="30:30" x14ac:dyDescent="0.3">
      <c r="AD27013" s="16"/>
    </row>
    <row r="27014" spans="30:30" x14ac:dyDescent="0.3">
      <c r="AD27014" s="16"/>
    </row>
    <row r="27015" spans="30:30" x14ac:dyDescent="0.3">
      <c r="AD27015" s="16"/>
    </row>
    <row r="27016" spans="30:30" x14ac:dyDescent="0.3">
      <c r="AD27016" s="16"/>
    </row>
    <row r="27017" spans="30:30" x14ac:dyDescent="0.3">
      <c r="AD27017" s="16"/>
    </row>
    <row r="27018" spans="30:30" x14ac:dyDescent="0.3">
      <c r="AD27018" s="16"/>
    </row>
    <row r="27019" spans="30:30" x14ac:dyDescent="0.3">
      <c r="AD27019" s="16"/>
    </row>
    <row r="27020" spans="30:30" x14ac:dyDescent="0.3">
      <c r="AD27020" s="16"/>
    </row>
    <row r="27021" spans="30:30" x14ac:dyDescent="0.3">
      <c r="AD27021" s="16"/>
    </row>
    <row r="27022" spans="30:30" x14ac:dyDescent="0.3">
      <c r="AD27022" s="16"/>
    </row>
    <row r="27023" spans="30:30" x14ac:dyDescent="0.3">
      <c r="AD27023" s="16"/>
    </row>
    <row r="27024" spans="30:30" x14ac:dyDescent="0.3">
      <c r="AD27024" s="16"/>
    </row>
    <row r="27025" spans="30:30" x14ac:dyDescent="0.3">
      <c r="AD27025" s="16"/>
    </row>
    <row r="27026" spans="30:30" x14ac:dyDescent="0.3">
      <c r="AD27026" s="16"/>
    </row>
    <row r="27027" spans="30:30" x14ac:dyDescent="0.3">
      <c r="AD27027" s="16"/>
    </row>
    <row r="27028" spans="30:30" x14ac:dyDescent="0.3">
      <c r="AD27028" s="16"/>
    </row>
    <row r="27029" spans="30:30" x14ac:dyDescent="0.3">
      <c r="AD27029" s="16"/>
    </row>
    <row r="27030" spans="30:30" x14ac:dyDescent="0.3">
      <c r="AD27030" s="16"/>
    </row>
    <row r="27031" spans="30:30" x14ac:dyDescent="0.3">
      <c r="AD27031" s="16"/>
    </row>
    <row r="27032" spans="30:30" x14ac:dyDescent="0.3">
      <c r="AD27032" s="16"/>
    </row>
    <row r="27033" spans="30:30" x14ac:dyDescent="0.3">
      <c r="AD27033" s="16"/>
    </row>
    <row r="27034" spans="30:30" x14ac:dyDescent="0.3">
      <c r="AD27034" s="16"/>
    </row>
    <row r="27035" spans="30:30" x14ac:dyDescent="0.3">
      <c r="AD27035" s="16"/>
    </row>
    <row r="27036" spans="30:30" x14ac:dyDescent="0.3">
      <c r="AD27036" s="16"/>
    </row>
    <row r="27037" spans="30:30" x14ac:dyDescent="0.3">
      <c r="AD27037" s="16"/>
    </row>
    <row r="27038" spans="30:30" x14ac:dyDescent="0.3">
      <c r="AD27038" s="16"/>
    </row>
    <row r="27039" spans="30:30" x14ac:dyDescent="0.3">
      <c r="AD27039" s="16"/>
    </row>
    <row r="27040" spans="30:30" x14ac:dyDescent="0.3">
      <c r="AD27040" s="16"/>
    </row>
    <row r="27041" spans="30:30" x14ac:dyDescent="0.3">
      <c r="AD27041" s="16"/>
    </row>
    <row r="27042" spans="30:30" x14ac:dyDescent="0.3">
      <c r="AD27042" s="16"/>
    </row>
    <row r="27043" spans="30:30" x14ac:dyDescent="0.3">
      <c r="AD27043" s="16"/>
    </row>
    <row r="27044" spans="30:30" x14ac:dyDescent="0.3">
      <c r="AD27044" s="16"/>
    </row>
    <row r="27045" spans="30:30" x14ac:dyDescent="0.3">
      <c r="AD27045" s="16"/>
    </row>
    <row r="27046" spans="30:30" x14ac:dyDescent="0.3">
      <c r="AD27046" s="16"/>
    </row>
    <row r="27047" spans="30:30" x14ac:dyDescent="0.3">
      <c r="AD27047" s="16"/>
    </row>
    <row r="27048" spans="30:30" x14ac:dyDescent="0.3">
      <c r="AD27048" s="16"/>
    </row>
    <row r="27049" spans="30:30" x14ac:dyDescent="0.3">
      <c r="AD27049" s="16"/>
    </row>
    <row r="27050" spans="30:30" x14ac:dyDescent="0.3">
      <c r="AD27050" s="16"/>
    </row>
    <row r="27051" spans="30:30" x14ac:dyDescent="0.3">
      <c r="AD27051" s="16"/>
    </row>
    <row r="27052" spans="30:30" x14ac:dyDescent="0.3">
      <c r="AD27052" s="16"/>
    </row>
    <row r="27053" spans="30:30" x14ac:dyDescent="0.3">
      <c r="AD27053" s="16"/>
    </row>
    <row r="27054" spans="30:30" x14ac:dyDescent="0.3">
      <c r="AD27054" s="16"/>
    </row>
    <row r="27055" spans="30:30" x14ac:dyDescent="0.3">
      <c r="AD27055" s="16"/>
    </row>
    <row r="27056" spans="30:30" x14ac:dyDescent="0.3">
      <c r="AD27056" s="16"/>
    </row>
    <row r="27057" spans="30:30" x14ac:dyDescent="0.3">
      <c r="AD27057" s="16"/>
    </row>
    <row r="27058" spans="30:30" x14ac:dyDescent="0.3">
      <c r="AD27058" s="16"/>
    </row>
    <row r="27059" spans="30:30" x14ac:dyDescent="0.3">
      <c r="AD27059" s="16"/>
    </row>
    <row r="27060" spans="30:30" x14ac:dyDescent="0.3">
      <c r="AD27060" s="16"/>
    </row>
    <row r="27061" spans="30:30" x14ac:dyDescent="0.3">
      <c r="AD27061" s="16"/>
    </row>
    <row r="27062" spans="30:30" x14ac:dyDescent="0.3">
      <c r="AD27062" s="16"/>
    </row>
    <row r="27063" spans="30:30" x14ac:dyDescent="0.3">
      <c r="AD27063" s="16"/>
    </row>
    <row r="27064" spans="30:30" x14ac:dyDescent="0.3">
      <c r="AD27064" s="16"/>
    </row>
    <row r="27065" spans="30:30" x14ac:dyDescent="0.3">
      <c r="AD27065" s="16"/>
    </row>
    <row r="27066" spans="30:30" x14ac:dyDescent="0.3">
      <c r="AD27066" s="16"/>
    </row>
    <row r="27067" spans="30:30" x14ac:dyDescent="0.3">
      <c r="AD27067" s="16"/>
    </row>
    <row r="27068" spans="30:30" x14ac:dyDescent="0.3">
      <c r="AD27068" s="16"/>
    </row>
    <row r="27069" spans="30:30" x14ac:dyDescent="0.3">
      <c r="AD27069" s="16"/>
    </row>
    <row r="27070" spans="30:30" x14ac:dyDescent="0.3">
      <c r="AD27070" s="16"/>
    </row>
    <row r="27071" spans="30:30" x14ac:dyDescent="0.3">
      <c r="AD27071" s="16"/>
    </row>
    <row r="27072" spans="30:30" x14ac:dyDescent="0.3">
      <c r="AD27072" s="16"/>
    </row>
    <row r="27073" spans="30:30" x14ac:dyDescent="0.3">
      <c r="AD27073" s="16"/>
    </row>
    <row r="27074" spans="30:30" x14ac:dyDescent="0.3">
      <c r="AD27074" s="16"/>
    </row>
    <row r="27075" spans="30:30" x14ac:dyDescent="0.3">
      <c r="AD27075" s="16"/>
    </row>
    <row r="27076" spans="30:30" x14ac:dyDescent="0.3">
      <c r="AD27076" s="16"/>
    </row>
    <row r="27077" spans="30:30" x14ac:dyDescent="0.3">
      <c r="AD27077" s="16"/>
    </row>
    <row r="27078" spans="30:30" x14ac:dyDescent="0.3">
      <c r="AD27078" s="16"/>
    </row>
    <row r="27079" spans="30:30" x14ac:dyDescent="0.3">
      <c r="AD27079" s="16"/>
    </row>
    <row r="27080" spans="30:30" x14ac:dyDescent="0.3">
      <c r="AD27080" s="16"/>
    </row>
    <row r="27081" spans="30:30" x14ac:dyDescent="0.3">
      <c r="AD27081" s="16"/>
    </row>
    <row r="27082" spans="30:30" x14ac:dyDescent="0.3">
      <c r="AD27082" s="16"/>
    </row>
  </sheetData>
  <autoFilter ref="A1:AE132" xr:uid="{A292BA29-1C04-4166-9AAF-BBDF6942DD99}"/>
  <sortState xmlns:xlrd2="http://schemas.microsoft.com/office/spreadsheetml/2017/richdata2" ref="A2:AE3">
    <sortCondition descending="1" ref="A1:A3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39732-C523-47CA-8F6E-B55E8412532D}">
  <sheetPr codeName="Sheet2"/>
  <dimension ref="A1:AE44"/>
  <sheetViews>
    <sheetView workbookViewId="0">
      <selection activeCell="C7" sqref="C7"/>
    </sheetView>
  </sheetViews>
  <sheetFormatPr defaultRowHeight="14.4" x14ac:dyDescent="0.3"/>
  <cols>
    <col min="1" max="1" width="9.44140625" bestFit="1" customWidth="1"/>
    <col min="2" max="2" width="11.88671875" bestFit="1" customWidth="1"/>
    <col min="3" max="3" width="17.33203125" bestFit="1" customWidth="1"/>
    <col min="4" max="4" width="20.77734375" bestFit="1" customWidth="1"/>
    <col min="5" max="5" width="14.88671875" bestFit="1" customWidth="1"/>
    <col min="6" max="6" width="23.5546875" bestFit="1" customWidth="1"/>
    <col min="7" max="7" width="21.6640625" style="9" bestFit="1" customWidth="1"/>
    <col min="8" max="8" width="15.109375" bestFit="1" customWidth="1"/>
    <col min="9" max="9" width="11" bestFit="1" customWidth="1"/>
    <col min="10" max="10" width="12" bestFit="1" customWidth="1"/>
    <col min="11" max="11" width="10.6640625" bestFit="1" customWidth="1"/>
    <col min="12" max="12" width="42" bestFit="1" customWidth="1"/>
    <col min="13" max="13" width="10.6640625" bestFit="1" customWidth="1"/>
    <col min="14" max="14" width="15" bestFit="1" customWidth="1"/>
    <col min="15" max="15" width="12.6640625" style="10" bestFit="1" customWidth="1"/>
    <col min="16" max="17" width="10.109375" style="10" bestFit="1" customWidth="1"/>
    <col min="18" max="18" width="14.77734375" style="10" bestFit="1" customWidth="1"/>
    <col min="19" max="19" width="18.109375" style="10" bestFit="1" customWidth="1"/>
    <col min="20" max="20" width="7.77734375" bestFit="1" customWidth="1"/>
    <col min="21" max="21" width="12.109375" style="12" bestFit="1" customWidth="1"/>
    <col min="22" max="22" width="19.88671875" style="10" bestFit="1" customWidth="1"/>
    <col min="23" max="23" width="11.21875" customWidth="1"/>
    <col min="24" max="24" width="32.21875" bestFit="1" customWidth="1"/>
    <col min="25" max="25" width="11.5546875" bestFit="1" customWidth="1"/>
    <col min="26" max="26" width="13.6640625" bestFit="1" customWidth="1"/>
    <col min="27" max="27" width="24.109375" customWidth="1"/>
    <col min="28" max="28" width="59.21875" customWidth="1"/>
    <col min="29" max="29" width="10.33203125" style="9" bestFit="1" customWidth="1"/>
    <col min="30" max="30" width="11" bestFit="1" customWidth="1"/>
  </cols>
  <sheetData>
    <row r="1" spans="1:31" x14ac:dyDescent="0.3">
      <c r="A1" s="1" t="s">
        <v>0</v>
      </c>
      <c r="B1" s="1" t="s">
        <v>2</v>
      </c>
      <c r="C1" s="1" t="s">
        <v>32</v>
      </c>
      <c r="D1" s="1" t="s">
        <v>15</v>
      </c>
      <c r="E1" s="1" t="s">
        <v>16</v>
      </c>
      <c r="F1" s="1" t="s">
        <v>1</v>
      </c>
      <c r="G1" s="1" t="s">
        <v>3</v>
      </c>
      <c r="H1" s="1" t="s">
        <v>4</v>
      </c>
      <c r="I1" s="2" t="s">
        <v>5</v>
      </c>
      <c r="J1" s="1" t="s">
        <v>6</v>
      </c>
      <c r="K1" s="2" t="s">
        <v>7</v>
      </c>
      <c r="L1" s="2" t="s">
        <v>8</v>
      </c>
      <c r="M1" s="2" t="s">
        <v>9</v>
      </c>
      <c r="N1" s="2" t="s">
        <v>10</v>
      </c>
      <c r="O1" s="3" t="s">
        <v>27</v>
      </c>
      <c r="P1" s="4" t="s">
        <v>28</v>
      </c>
      <c r="Q1" s="4" t="s">
        <v>29</v>
      </c>
      <c r="R1" s="3" t="s">
        <v>30</v>
      </c>
      <c r="S1" s="4" t="s">
        <v>34</v>
      </c>
      <c r="T1" s="5" t="s">
        <v>33</v>
      </c>
      <c r="U1" s="6" t="s">
        <v>11</v>
      </c>
      <c r="V1" s="7" t="s">
        <v>12</v>
      </c>
      <c r="W1" s="5" t="s">
        <v>42</v>
      </c>
      <c r="X1" s="1" t="s">
        <v>13</v>
      </c>
      <c r="Y1" s="1" t="s">
        <v>37</v>
      </c>
      <c r="Z1" s="1" t="s">
        <v>14</v>
      </c>
      <c r="AA1" s="1" t="s">
        <v>38</v>
      </c>
      <c r="AB1" s="8" t="s">
        <v>31</v>
      </c>
      <c r="AC1" s="5" t="s">
        <v>39</v>
      </c>
      <c r="AD1" s="17" t="s">
        <v>44</v>
      </c>
    </row>
    <row r="2" spans="1:31" x14ac:dyDescent="0.3">
      <c r="A2">
        <v>157</v>
      </c>
      <c r="B2">
        <v>4413413</v>
      </c>
      <c r="C2" t="s">
        <v>35</v>
      </c>
      <c r="D2">
        <v>1531094</v>
      </c>
      <c r="E2" t="s">
        <v>77</v>
      </c>
      <c r="F2" t="s">
        <v>21</v>
      </c>
      <c r="G2" t="s">
        <v>170</v>
      </c>
      <c r="H2" t="s">
        <v>171</v>
      </c>
      <c r="I2" s="9" t="s">
        <v>256</v>
      </c>
      <c r="J2" s="9">
        <v>51163192688</v>
      </c>
      <c r="K2" s="14" t="s">
        <v>357</v>
      </c>
      <c r="L2" s="13" t="s">
        <v>356</v>
      </c>
      <c r="M2" s="14">
        <v>576</v>
      </c>
      <c r="N2" s="14">
        <v>362.5</v>
      </c>
      <c r="O2" s="10">
        <f t="shared" ref="O2" si="0">M2*N2</f>
        <v>208800</v>
      </c>
      <c r="P2" s="11">
        <v>19000.8</v>
      </c>
      <c r="Q2" s="11">
        <v>0</v>
      </c>
      <c r="R2" s="10">
        <f>IF(COUNTIF($J$2:J2,J2)=1,SUMIFS($O:$O,$J:$J,J2)+SUMIFS($P:$P,$J:$J,J2)+SUMIFS($Q:$Q,$J:$J,J2),"")</f>
        <v>227800.8</v>
      </c>
      <c r="S2" s="10">
        <v>227800.8</v>
      </c>
      <c r="T2" s="11" t="str">
        <f>IFERROR(INDEX(AD:AD,MATCH(J2,J:J,0)),"")</f>
        <v>Ok</v>
      </c>
      <c r="U2" s="12">
        <v>46027</v>
      </c>
      <c r="V2" s="10">
        <v>4176</v>
      </c>
      <c r="W2" s="10" t="str">
        <f t="shared" ref="W2" si="1">IF(OR(S2="",V2=""),"N/A",IF(S2&lt;&gt;V2,"Short Paid","Not Paid"))</f>
        <v>Short Paid</v>
      </c>
      <c r="X2" t="s">
        <v>56</v>
      </c>
      <c r="Y2" t="s">
        <v>36</v>
      </c>
      <c r="Z2">
        <v>100142</v>
      </c>
      <c r="AA2" t="s">
        <v>208</v>
      </c>
      <c r="AB2" t="s">
        <v>204</v>
      </c>
      <c r="AC2" s="9">
        <f>COUNTIF(J:J,J2)</f>
        <v>1</v>
      </c>
      <c r="AD2" s="9" t="str">
        <f t="shared" ref="AD2" si="2">IF(AND(R2="",S2=""),"N/A",IF(R2=S2,"Ok","Check"))</f>
        <v>Ok</v>
      </c>
      <c r="AE2" s="11">
        <f t="shared" ref="AE2" si="3">R2-S2</f>
        <v>0</v>
      </c>
    </row>
    <row r="39" spans="12:12" x14ac:dyDescent="0.3">
      <c r="L39" s="18"/>
    </row>
    <row r="40" spans="12:12" x14ac:dyDescent="0.3">
      <c r="L40" s="18"/>
    </row>
    <row r="41" spans="12:12" x14ac:dyDescent="0.3">
      <c r="L41" s="18"/>
    </row>
    <row r="42" spans="12:12" x14ac:dyDescent="0.3">
      <c r="L42" s="18"/>
    </row>
    <row r="43" spans="12:12" x14ac:dyDescent="0.3">
      <c r="L43" s="18"/>
    </row>
    <row r="44" spans="12:12" x14ac:dyDescent="0.3">
      <c r="L44" s="18"/>
    </row>
  </sheetData>
  <autoFilter ref="A1:AD2" xr:uid="{DE039732-C523-47CA-8F6E-B55E8412532D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FD7FF-571F-49B1-839A-7FB8ECEC0EEB}">
  <sheetPr codeName="Sheet3"/>
  <dimension ref="A1:AE3"/>
  <sheetViews>
    <sheetView workbookViewId="0">
      <selection activeCell="D9" sqref="D9"/>
    </sheetView>
  </sheetViews>
  <sheetFormatPr defaultRowHeight="14.4" x14ac:dyDescent="0.3"/>
  <cols>
    <col min="1" max="1" width="11" bestFit="1" customWidth="1"/>
    <col min="2" max="2" width="11.88671875" bestFit="1" customWidth="1"/>
    <col min="3" max="3" width="17.33203125" bestFit="1" customWidth="1"/>
    <col min="4" max="4" width="20.77734375" bestFit="1" customWidth="1"/>
    <col min="5" max="5" width="14.88671875" bestFit="1" customWidth="1"/>
    <col min="6" max="6" width="23.5546875" bestFit="1" customWidth="1"/>
    <col min="7" max="7" width="19.6640625" bestFit="1" customWidth="1"/>
    <col min="8" max="8" width="15.109375" bestFit="1" customWidth="1"/>
    <col min="9" max="9" width="11" bestFit="1" customWidth="1"/>
    <col min="10" max="10" width="12" bestFit="1" customWidth="1"/>
    <col min="11" max="11" width="10.6640625" bestFit="1" customWidth="1"/>
    <col min="12" max="12" width="42" bestFit="1" customWidth="1"/>
    <col min="13" max="13" width="10.6640625" bestFit="1" customWidth="1"/>
    <col min="14" max="14" width="15" style="10" bestFit="1" customWidth="1"/>
    <col min="15" max="15" width="12.6640625" style="10" bestFit="1" customWidth="1"/>
    <col min="16" max="17" width="10.109375" style="10" bestFit="1" customWidth="1"/>
    <col min="18" max="18" width="14.77734375" style="10" bestFit="1" customWidth="1"/>
    <col min="19" max="19" width="18.109375" style="10" bestFit="1" customWidth="1"/>
    <col min="20" max="20" width="7.77734375" bestFit="1" customWidth="1"/>
    <col min="21" max="21" width="12.109375" style="12" bestFit="1" customWidth="1"/>
    <col min="22" max="22" width="19.88671875" style="10" bestFit="1" customWidth="1"/>
    <col min="23" max="23" width="14" bestFit="1" customWidth="1"/>
    <col min="24" max="24" width="32.21875" bestFit="1" customWidth="1"/>
    <col min="25" max="25" width="11.5546875" bestFit="1" customWidth="1"/>
    <col min="26" max="26" width="13.6640625" bestFit="1" customWidth="1"/>
    <col min="27" max="27" width="24.109375" customWidth="1"/>
    <col min="28" max="28" width="59.21875" customWidth="1"/>
    <col min="29" max="29" width="10.33203125" style="9" bestFit="1" customWidth="1"/>
    <col min="30" max="30" width="8.88671875" customWidth="1"/>
  </cols>
  <sheetData>
    <row r="1" spans="1:31" x14ac:dyDescent="0.3">
      <c r="A1" s="1" t="s">
        <v>0</v>
      </c>
      <c r="B1" s="1" t="s">
        <v>2</v>
      </c>
      <c r="C1" s="1" t="s">
        <v>32</v>
      </c>
      <c r="D1" s="1" t="s">
        <v>15</v>
      </c>
      <c r="E1" s="1" t="s">
        <v>16</v>
      </c>
      <c r="F1" s="1" t="s">
        <v>1</v>
      </c>
      <c r="G1" s="1" t="s">
        <v>3</v>
      </c>
      <c r="H1" s="1" t="s">
        <v>4</v>
      </c>
      <c r="I1" s="2" t="s">
        <v>5</v>
      </c>
      <c r="J1" s="1" t="s">
        <v>6</v>
      </c>
      <c r="K1" s="2" t="s">
        <v>7</v>
      </c>
      <c r="L1" s="2" t="s">
        <v>8</v>
      </c>
      <c r="M1" s="2" t="s">
        <v>9</v>
      </c>
      <c r="N1" s="4" t="s">
        <v>10</v>
      </c>
      <c r="O1" s="3" t="s">
        <v>27</v>
      </c>
      <c r="P1" s="4" t="s">
        <v>28</v>
      </c>
      <c r="Q1" s="4" t="s">
        <v>29</v>
      </c>
      <c r="R1" s="3" t="s">
        <v>30</v>
      </c>
      <c r="S1" s="4" t="s">
        <v>34</v>
      </c>
      <c r="T1" s="5" t="s">
        <v>33</v>
      </c>
      <c r="U1" s="6" t="s">
        <v>11</v>
      </c>
      <c r="V1" s="7" t="s">
        <v>12</v>
      </c>
      <c r="W1" s="5" t="s">
        <v>42</v>
      </c>
      <c r="X1" s="1" t="s">
        <v>13</v>
      </c>
      <c r="Y1" s="1" t="s">
        <v>37</v>
      </c>
      <c r="Z1" s="1" t="s">
        <v>14</v>
      </c>
      <c r="AA1" s="1" t="s">
        <v>38</v>
      </c>
      <c r="AB1" s="8" t="s">
        <v>31</v>
      </c>
      <c r="AC1" s="5" t="s">
        <v>39</v>
      </c>
      <c r="AD1" s="15" t="s">
        <v>43</v>
      </c>
      <c r="AE1" s="15" t="s">
        <v>44</v>
      </c>
    </row>
    <row r="2" spans="1:31" x14ac:dyDescent="0.3">
      <c r="A2">
        <v>85</v>
      </c>
      <c r="B2">
        <v>4607904</v>
      </c>
      <c r="C2" t="s">
        <v>35</v>
      </c>
      <c r="D2">
        <v>1963277</v>
      </c>
      <c r="E2" t="s">
        <v>50</v>
      </c>
      <c r="F2" t="s">
        <v>18</v>
      </c>
      <c r="G2" t="s">
        <v>45</v>
      </c>
      <c r="H2" t="s">
        <v>46</v>
      </c>
      <c r="I2" t="s">
        <v>233</v>
      </c>
      <c r="J2">
        <v>51137871300</v>
      </c>
      <c r="K2" t="s">
        <v>219</v>
      </c>
      <c r="L2" t="s">
        <v>454</v>
      </c>
      <c r="M2">
        <v>1500</v>
      </c>
      <c r="N2">
        <v>1.1845000000000001</v>
      </c>
      <c r="O2" s="10">
        <f t="shared" ref="O2:O3" si="0">M2*N2</f>
        <v>1776.7500000000002</v>
      </c>
      <c r="P2">
        <v>0</v>
      </c>
      <c r="Q2">
        <v>0</v>
      </c>
      <c r="R2">
        <v>4604.37</v>
      </c>
      <c r="S2">
        <v>4604.37</v>
      </c>
      <c r="T2" s="11" t="str">
        <f>IFERROR(INDEX(AD:AD,MATCH(J2,J:J,0)),"")</f>
        <v>Ok</v>
      </c>
      <c r="U2" s="12">
        <v>46015</v>
      </c>
      <c r="V2" s="10">
        <v>1147.44</v>
      </c>
      <c r="W2" s="10" t="str">
        <f t="shared" ref="W2:W3" si="1">IF(OR(S2="",V2=""),"N/A",IF(S2&lt;&gt;V2,"Short Paid","Not Paid"))</f>
        <v>Short Paid</v>
      </c>
      <c r="X2" t="s">
        <v>53</v>
      </c>
      <c r="Y2" t="s">
        <v>25</v>
      </c>
      <c r="Z2">
        <v>100289</v>
      </c>
      <c r="AA2" t="s">
        <v>54</v>
      </c>
      <c r="AB2" t="s">
        <v>71</v>
      </c>
      <c r="AC2">
        <v>2</v>
      </c>
      <c r="AD2" s="9" t="str">
        <f t="shared" ref="AD2:AD3" si="2">IF(AND(R2="",S2=""),"N/A",IF(R2=S2,"Ok","Check"))</f>
        <v>Ok</v>
      </c>
      <c r="AE2" s="11">
        <f t="shared" ref="AE2:AE3" si="3">R2-S2</f>
        <v>0</v>
      </c>
    </row>
    <row r="3" spans="1:31" x14ac:dyDescent="0.3">
      <c r="A3">
        <v>85</v>
      </c>
      <c r="B3">
        <v>4607904</v>
      </c>
      <c r="C3" t="s">
        <v>35</v>
      </c>
      <c r="D3">
        <v>1963277</v>
      </c>
      <c r="E3" t="s">
        <v>50</v>
      </c>
      <c r="F3" t="s">
        <v>18</v>
      </c>
      <c r="G3" t="s">
        <v>45</v>
      </c>
      <c r="H3" t="s">
        <v>46</v>
      </c>
      <c r="I3" t="s">
        <v>332</v>
      </c>
      <c r="J3">
        <v>51137871300</v>
      </c>
      <c r="K3" t="s">
        <v>219</v>
      </c>
      <c r="L3" t="s">
        <v>455</v>
      </c>
      <c r="M3">
        <v>4098</v>
      </c>
      <c r="N3">
        <v>0.69</v>
      </c>
      <c r="O3" s="10">
        <f t="shared" si="0"/>
        <v>2827.62</v>
      </c>
      <c r="P3" t="s">
        <v>458</v>
      </c>
      <c r="Q3" t="s">
        <v>458</v>
      </c>
      <c r="R3" t="s">
        <v>458</v>
      </c>
      <c r="S3" t="s">
        <v>458</v>
      </c>
      <c r="T3" s="11" t="str">
        <f>IFERROR(INDEX(AD:AD,MATCH(J3,J:J,0)),"")</f>
        <v>Ok</v>
      </c>
      <c r="U3" s="12">
        <v>46015</v>
      </c>
      <c r="V3" s="10">
        <v>1147.44</v>
      </c>
      <c r="W3" s="10" t="str">
        <f t="shared" si="1"/>
        <v>N/A</v>
      </c>
      <c r="X3" t="s">
        <v>53</v>
      </c>
      <c r="Y3" t="s">
        <v>25</v>
      </c>
      <c r="Z3">
        <v>100289</v>
      </c>
      <c r="AA3" t="s">
        <v>54</v>
      </c>
      <c r="AB3" t="s">
        <v>71</v>
      </c>
      <c r="AC3">
        <v>2</v>
      </c>
      <c r="AD3" s="9" t="str">
        <f t="shared" si="2"/>
        <v>N/A</v>
      </c>
      <c r="AE3" s="11" t="e">
        <f t="shared" si="3"/>
        <v>#VALUE!</v>
      </c>
    </row>
  </sheetData>
  <autoFilter ref="A1:AE2" xr:uid="{801FD7FF-571F-49B1-839A-7FB8ECEC0EEB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A3564-EC3E-4477-92C3-1D29003ED3DC}">
  <sheetPr codeName="Sheet4"/>
  <dimension ref="A1:AD1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9.44140625" bestFit="1" customWidth="1"/>
    <col min="2" max="2" width="11.88671875" bestFit="1" customWidth="1"/>
    <col min="3" max="3" width="17.33203125" bestFit="1" customWidth="1"/>
    <col min="4" max="4" width="20.77734375" bestFit="1" customWidth="1"/>
    <col min="5" max="5" width="19.33203125" bestFit="1" customWidth="1"/>
    <col min="6" max="6" width="23.5546875" bestFit="1" customWidth="1"/>
    <col min="7" max="7" width="14.109375" bestFit="1" customWidth="1"/>
    <col min="8" max="8" width="15.109375" bestFit="1" customWidth="1"/>
    <col min="9" max="9" width="11" bestFit="1" customWidth="1"/>
    <col min="10" max="10" width="14.6640625" customWidth="1"/>
    <col min="11" max="11" width="10.6640625" bestFit="1" customWidth="1"/>
    <col min="12" max="12" width="42" bestFit="1" customWidth="1"/>
    <col min="13" max="13" width="10.6640625" bestFit="1" customWidth="1"/>
    <col min="14" max="14" width="15" bestFit="1" customWidth="1"/>
    <col min="15" max="15" width="12.6640625" bestFit="1" customWidth="1"/>
    <col min="16" max="17" width="10.109375" bestFit="1" customWidth="1"/>
    <col min="18" max="18" width="14.77734375" bestFit="1" customWidth="1"/>
    <col min="19" max="19" width="18.109375" bestFit="1" customWidth="1"/>
    <col min="20" max="20" width="7.77734375" bestFit="1" customWidth="1"/>
    <col min="21" max="21" width="12.109375" bestFit="1" customWidth="1"/>
    <col min="22" max="22" width="19.88671875" style="10" bestFit="1" customWidth="1"/>
    <col min="23" max="23" width="14" bestFit="1" customWidth="1"/>
    <col min="24" max="24" width="32.21875" bestFit="1" customWidth="1"/>
    <col min="25" max="25" width="13.33203125" bestFit="1" customWidth="1"/>
    <col min="26" max="26" width="13.6640625" bestFit="1" customWidth="1"/>
    <col min="27" max="27" width="24.109375" customWidth="1"/>
    <col min="28" max="28" width="78.5546875" bestFit="1" customWidth="1"/>
    <col min="29" max="29" width="10.33203125" bestFit="1" customWidth="1"/>
    <col min="30" max="30" width="9.88671875" bestFit="1" customWidth="1"/>
  </cols>
  <sheetData>
    <row r="1" spans="1:30" x14ac:dyDescent="0.3">
      <c r="A1" s="1" t="s">
        <v>0</v>
      </c>
      <c r="B1" s="1" t="s">
        <v>2</v>
      </c>
      <c r="C1" s="1" t="s">
        <v>32</v>
      </c>
      <c r="D1" s="1" t="s">
        <v>15</v>
      </c>
      <c r="E1" s="1" t="s">
        <v>16</v>
      </c>
      <c r="F1" s="1" t="s">
        <v>1</v>
      </c>
      <c r="G1" s="1" t="s">
        <v>3</v>
      </c>
      <c r="H1" s="1" t="s">
        <v>4</v>
      </c>
      <c r="I1" s="2" t="s">
        <v>5</v>
      </c>
      <c r="J1" s="1" t="s">
        <v>6</v>
      </c>
      <c r="K1" s="2" t="s">
        <v>7</v>
      </c>
      <c r="L1" s="2" t="s">
        <v>8</v>
      </c>
      <c r="M1" s="2" t="s">
        <v>9</v>
      </c>
      <c r="N1" s="2" t="s">
        <v>10</v>
      </c>
      <c r="O1" s="3" t="s">
        <v>27</v>
      </c>
      <c r="P1" s="4" t="s">
        <v>28</v>
      </c>
      <c r="Q1" s="4" t="s">
        <v>29</v>
      </c>
      <c r="R1" s="3" t="s">
        <v>30</v>
      </c>
      <c r="S1" s="4" t="s">
        <v>34</v>
      </c>
      <c r="T1" s="5" t="s">
        <v>33</v>
      </c>
      <c r="U1" s="6" t="s">
        <v>11</v>
      </c>
      <c r="V1" s="7" t="s">
        <v>12</v>
      </c>
      <c r="W1" s="5" t="s">
        <v>42</v>
      </c>
      <c r="X1" s="1" t="s">
        <v>13</v>
      </c>
      <c r="Y1" s="1" t="s">
        <v>37</v>
      </c>
      <c r="Z1" s="1" t="s">
        <v>14</v>
      </c>
      <c r="AA1" s="1" t="s">
        <v>38</v>
      </c>
      <c r="AB1" s="8" t="s">
        <v>31</v>
      </c>
      <c r="AC1" s="5" t="s">
        <v>39</v>
      </c>
      <c r="AD1" s="5" t="s">
        <v>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One Line</vt:lpstr>
      <vt:lpstr>Mult Line</vt:lpstr>
      <vt:lpstr>TLA</vt:lpstr>
    </vt:vector>
  </TitlesOfParts>
  <Company>Avnet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Gudino, Alan</dc:creator>
  <cp:lastModifiedBy>Alan Gu</cp:lastModifiedBy>
  <dcterms:created xsi:type="dcterms:W3CDTF">2026-05-25T21:47:56Z</dcterms:created>
  <dcterms:modified xsi:type="dcterms:W3CDTF">2026-07-02T13:21:01Z</dcterms:modified>
</cp:coreProperties>
</file>