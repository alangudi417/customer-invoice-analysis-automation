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Asia\"/>
    </mc:Choice>
  </mc:AlternateContent>
  <xr:revisionPtr revIDLastSave="0" documentId="13_ncr:1_{9050886A-8E44-45F8-8BD7-857000E6D898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Sheet1!$A$1:$AE$191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5" l="1"/>
  <c r="R3" i="5"/>
  <c r="AE3" i="5" s="1"/>
  <c r="O3" i="5"/>
  <c r="W2" i="5"/>
  <c r="O2" i="5"/>
  <c r="R2" i="5" s="1"/>
  <c r="AC2" i="4"/>
  <c r="W2" i="4"/>
  <c r="O2" i="4"/>
  <c r="R2" i="4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R95" i="3" s="1"/>
  <c r="AD95" i="3" s="1"/>
  <c r="O97" i="3"/>
  <c r="O98" i="3"/>
  <c r="O99" i="3"/>
  <c r="O100" i="3"/>
  <c r="O101" i="3"/>
  <c r="O102" i="3"/>
  <c r="O103" i="3"/>
  <c r="O104" i="3"/>
  <c r="O105" i="3"/>
  <c r="O106" i="3"/>
  <c r="O107" i="3"/>
  <c r="O108" i="3"/>
  <c r="R107" i="3" s="1"/>
  <c r="AD107" i="3" s="1"/>
  <c r="O109" i="3"/>
  <c r="O110" i="3"/>
  <c r="O111" i="3"/>
  <c r="O112" i="3"/>
  <c r="O113" i="3"/>
  <c r="O114" i="3"/>
  <c r="O115" i="3"/>
  <c r="O116" i="3"/>
  <c r="O117" i="3"/>
  <c r="O118" i="3"/>
  <c r="O119" i="3"/>
  <c r="O120" i="3"/>
  <c r="R119" i="3" s="1"/>
  <c r="AD119" i="3" s="1"/>
  <c r="T120" i="3" s="1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R168" i="3" s="1"/>
  <c r="AD168" i="3" s="1"/>
  <c r="T168" i="3" s="1"/>
  <c r="O169" i="3"/>
  <c r="O170" i="3"/>
  <c r="O171" i="3"/>
  <c r="R170" i="3" s="1"/>
  <c r="AD170" i="3" s="1"/>
  <c r="T170" i="3" s="1"/>
  <c r="O172" i="3"/>
  <c r="O173" i="3"/>
  <c r="O174" i="3"/>
  <c r="O175" i="3"/>
  <c r="O176" i="3"/>
  <c r="R174" i="3" s="1"/>
  <c r="AE174" i="3" s="1"/>
  <c r="O177" i="3"/>
  <c r="O178" i="3"/>
  <c r="O179" i="3"/>
  <c r="O180" i="3"/>
  <c r="O181" i="3"/>
  <c r="O182" i="3"/>
  <c r="O183" i="3"/>
  <c r="R182" i="3" s="1"/>
  <c r="AD182" i="3" s="1"/>
  <c r="T182" i="3" s="1"/>
  <c r="O184" i="3"/>
  <c r="O185" i="3"/>
  <c r="O186" i="3"/>
  <c r="O187" i="3"/>
  <c r="O188" i="3"/>
  <c r="O189" i="3"/>
  <c r="O190" i="3"/>
  <c r="O191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R191" i="3"/>
  <c r="AD191" i="3" s="1"/>
  <c r="R190" i="3"/>
  <c r="AE190" i="3" s="1"/>
  <c r="R189" i="3"/>
  <c r="AE189" i="3" s="1"/>
  <c r="R187" i="3"/>
  <c r="AE187" i="3" s="1"/>
  <c r="R186" i="3"/>
  <c r="AE186" i="3" s="1"/>
  <c r="R185" i="3"/>
  <c r="R183" i="3"/>
  <c r="AE183" i="3" s="1"/>
  <c r="R181" i="3"/>
  <c r="AD181" i="3" s="1"/>
  <c r="R180" i="3"/>
  <c r="AD180" i="3" s="1"/>
  <c r="R179" i="3"/>
  <c r="AE179" i="3" s="1"/>
  <c r="R178" i="3"/>
  <c r="AD178" i="3" s="1"/>
  <c r="R176" i="3"/>
  <c r="AE176" i="3" s="1"/>
  <c r="R175" i="3"/>
  <c r="AD175" i="3" s="1"/>
  <c r="R173" i="3"/>
  <c r="AE173" i="3" s="1"/>
  <c r="R172" i="3"/>
  <c r="AE172" i="3" s="1"/>
  <c r="R171" i="3"/>
  <c r="AE171" i="3" s="1"/>
  <c r="R169" i="3"/>
  <c r="R167" i="3"/>
  <c r="AD167" i="3" s="1"/>
  <c r="R165" i="3"/>
  <c r="AD165" i="3" s="1"/>
  <c r="R164" i="3"/>
  <c r="AD164" i="3" s="1"/>
  <c r="R163" i="3"/>
  <c r="AE163" i="3" s="1"/>
  <c r="R162" i="3"/>
  <c r="AE162" i="3" s="1"/>
  <c r="R161" i="3"/>
  <c r="AE161" i="3" s="1"/>
  <c r="R159" i="3"/>
  <c r="AD159" i="3" s="1"/>
  <c r="R157" i="3"/>
  <c r="AE157" i="3" s="1"/>
  <c r="R156" i="3"/>
  <c r="AD156" i="3" s="1"/>
  <c r="T156" i="3" s="1"/>
  <c r="R155" i="3"/>
  <c r="R154" i="3"/>
  <c r="R153" i="3"/>
  <c r="AD153" i="3" s="1"/>
  <c r="R151" i="3"/>
  <c r="AD151" i="3" s="1"/>
  <c r="R150" i="3"/>
  <c r="AD150" i="3" s="1"/>
  <c r="R149" i="3"/>
  <c r="AD149" i="3" s="1"/>
  <c r="T151" i="3" s="1"/>
  <c r="R148" i="3"/>
  <c r="AD148" i="3" s="1"/>
  <c r="R147" i="3"/>
  <c r="AD147" i="3" s="1"/>
  <c r="R146" i="3"/>
  <c r="R145" i="3"/>
  <c r="AD145" i="3" s="1"/>
  <c r="T145" i="3" s="1"/>
  <c r="R144" i="3"/>
  <c r="AD144" i="3" s="1"/>
  <c r="R143" i="3"/>
  <c r="R142" i="3"/>
  <c r="AE142" i="3" s="1"/>
  <c r="R141" i="3"/>
  <c r="AE141" i="3" s="1"/>
  <c r="R140" i="3"/>
  <c r="AD140" i="3" s="1"/>
  <c r="R138" i="3"/>
  <c r="AD138" i="3" s="1"/>
  <c r="R137" i="3"/>
  <c r="AD137" i="3" s="1"/>
  <c r="R136" i="3"/>
  <c r="AD136" i="3" s="1"/>
  <c r="R134" i="3"/>
  <c r="AD134" i="3" s="1"/>
  <c r="R133" i="3"/>
  <c r="AD133" i="3" s="1"/>
  <c r="R132" i="3"/>
  <c r="AD132" i="3" s="1"/>
  <c r="R130" i="3"/>
  <c r="R129" i="3"/>
  <c r="R128" i="3"/>
  <c r="AD128" i="3" s="1"/>
  <c r="R127" i="3"/>
  <c r="AD127" i="3" s="1"/>
  <c r="R126" i="3"/>
  <c r="AD126" i="3" s="1"/>
  <c r="R125" i="3"/>
  <c r="AD125" i="3" s="1"/>
  <c r="R124" i="3"/>
  <c r="AD124" i="3" s="1"/>
  <c r="R123" i="3"/>
  <c r="AD123" i="3" s="1"/>
  <c r="R122" i="3"/>
  <c r="AD122" i="3" s="1"/>
  <c r="R121" i="3"/>
  <c r="AD121" i="3" s="1"/>
  <c r="R120" i="3"/>
  <c r="AD120" i="3" s="1"/>
  <c r="R118" i="3"/>
  <c r="AD118" i="3" s="1"/>
  <c r="R117" i="3"/>
  <c r="AD117" i="3" s="1"/>
  <c r="R116" i="3"/>
  <c r="AD116" i="3" s="1"/>
  <c r="R115" i="3"/>
  <c r="AD115" i="3" s="1"/>
  <c r="R114" i="3"/>
  <c r="AD114" i="3" s="1"/>
  <c r="R112" i="3"/>
  <c r="AD112" i="3" s="1"/>
  <c r="R110" i="3"/>
  <c r="AD110" i="3" s="1"/>
  <c r="R109" i="3"/>
  <c r="AD109" i="3" s="1"/>
  <c r="T110" i="3" s="1"/>
  <c r="R108" i="3"/>
  <c r="AD108" i="3" s="1"/>
  <c r="R106" i="3"/>
  <c r="R105" i="3"/>
  <c r="AD105" i="3" s="1"/>
  <c r="R104" i="3"/>
  <c r="AD104" i="3" s="1"/>
  <c r="R103" i="3"/>
  <c r="AD103" i="3" s="1"/>
  <c r="R102" i="3"/>
  <c r="AD102" i="3" s="1"/>
  <c r="R101" i="3"/>
  <c r="R100" i="3"/>
  <c r="AD100" i="3" s="1"/>
  <c r="R99" i="3"/>
  <c r="R98" i="3"/>
  <c r="AD98" i="3" s="1"/>
  <c r="R97" i="3"/>
  <c r="AD97" i="3" s="1"/>
  <c r="R96" i="3"/>
  <c r="AD96" i="3" s="1"/>
  <c r="R94" i="3"/>
  <c r="AD94" i="3" s="1"/>
  <c r="R93" i="3"/>
  <c r="AD93" i="3" s="1"/>
  <c r="R92" i="3"/>
  <c r="R90" i="3"/>
  <c r="AD90" i="3" s="1"/>
  <c r="R89" i="3"/>
  <c r="AD89" i="3" s="1"/>
  <c r="R88" i="3"/>
  <c r="R86" i="3"/>
  <c r="R85" i="3"/>
  <c r="AD85" i="3" s="1"/>
  <c r="R84" i="3"/>
  <c r="R83" i="3"/>
  <c r="AD83" i="3" s="1"/>
  <c r="R82" i="3"/>
  <c r="AD82" i="3" s="1"/>
  <c r="R81" i="3"/>
  <c r="AD81" i="3" s="1"/>
  <c r="R80" i="3"/>
  <c r="R78" i="3"/>
  <c r="AD78" i="3" s="1"/>
  <c r="R77" i="3"/>
  <c r="R75" i="3"/>
  <c r="R74" i="3"/>
  <c r="AD74" i="3" s="1"/>
  <c r="R73" i="3"/>
  <c r="AD73" i="3" s="1"/>
  <c r="R72" i="3"/>
  <c r="AD72" i="3" s="1"/>
  <c r="R71" i="3"/>
  <c r="AD71" i="3" s="1"/>
  <c r="R69" i="3"/>
  <c r="AD69" i="3" s="1"/>
  <c r="R68" i="3"/>
  <c r="AD68" i="3" s="1"/>
  <c r="R67" i="3"/>
  <c r="AD67" i="3" s="1"/>
  <c r="R66" i="3"/>
  <c r="AD66" i="3" s="1"/>
  <c r="R65" i="3"/>
  <c r="AD65" i="3" s="1"/>
  <c r="R64" i="3"/>
  <c r="AD64" i="3" s="1"/>
  <c r="R63" i="3"/>
  <c r="AD63" i="3" s="1"/>
  <c r="R62" i="3"/>
  <c r="R61" i="3"/>
  <c r="AD61" i="3" s="1"/>
  <c r="R60" i="3"/>
  <c r="AD60" i="3" s="1"/>
  <c r="R59" i="3"/>
  <c r="AD59" i="3" s="1"/>
  <c r="R58" i="3"/>
  <c r="AD58" i="3" s="1"/>
  <c r="R57" i="3"/>
  <c r="AD57" i="3" s="1"/>
  <c r="R56" i="3"/>
  <c r="R55" i="3"/>
  <c r="R54" i="3"/>
  <c r="R52" i="3"/>
  <c r="AD52" i="3" s="1"/>
  <c r="R51" i="3"/>
  <c r="AD51" i="3" s="1"/>
  <c r="R50" i="3"/>
  <c r="AD50" i="3" s="1"/>
  <c r="R49" i="3"/>
  <c r="AD49" i="3" s="1"/>
  <c r="R48" i="3"/>
  <c r="R47" i="3"/>
  <c r="AD47" i="3" s="1"/>
  <c r="R46" i="3"/>
  <c r="AD46" i="3" s="1"/>
  <c r="R45" i="3"/>
  <c r="R44" i="3"/>
  <c r="AD44" i="3" s="1"/>
  <c r="R43" i="3"/>
  <c r="AD43" i="3" s="1"/>
  <c r="R42" i="3"/>
  <c r="R41" i="3"/>
  <c r="AD41" i="3" s="1"/>
  <c r="R40" i="3"/>
  <c r="AD40" i="3" s="1"/>
  <c r="R39" i="3"/>
  <c r="AD39" i="3" s="1"/>
  <c r="T39" i="3" s="1"/>
  <c r="R38" i="3"/>
  <c r="R37" i="3"/>
  <c r="R36" i="3"/>
  <c r="AD36" i="3" s="1"/>
  <c r="R35" i="3"/>
  <c r="R34" i="3"/>
  <c r="AD34" i="3" s="1"/>
  <c r="R33" i="3"/>
  <c r="AD33" i="3" s="1"/>
  <c r="R32" i="3"/>
  <c r="AD32" i="3" s="1"/>
  <c r="R31" i="3"/>
  <c r="R30" i="3"/>
  <c r="R29" i="3"/>
  <c r="AD29" i="3" s="1"/>
  <c r="R28" i="3"/>
  <c r="AD28" i="3" s="1"/>
  <c r="R27" i="3"/>
  <c r="AD27" i="3" s="1"/>
  <c r="R26" i="3"/>
  <c r="R25" i="3"/>
  <c r="AD25" i="3" s="1"/>
  <c r="R24" i="3"/>
  <c r="AD24" i="3" s="1"/>
  <c r="R23" i="3"/>
  <c r="AD23" i="3" s="1"/>
  <c r="T23" i="3" s="1"/>
  <c r="R22" i="3"/>
  <c r="AD22" i="3" s="1"/>
  <c r="R20" i="3"/>
  <c r="AD20" i="3" s="1"/>
  <c r="R19" i="3"/>
  <c r="AD19" i="3" s="1"/>
  <c r="R18" i="3"/>
  <c r="R16" i="3"/>
  <c r="R15" i="3"/>
  <c r="AD15" i="3" s="1"/>
  <c r="R14" i="3"/>
  <c r="AD14" i="3" s="1"/>
  <c r="R13" i="3"/>
  <c r="R12" i="3"/>
  <c r="R11" i="3"/>
  <c r="AD11" i="3" s="1"/>
  <c r="R10" i="3"/>
  <c r="AD10" i="3" s="1"/>
  <c r="R9" i="3"/>
  <c r="AD9" i="3" s="1"/>
  <c r="R8" i="3"/>
  <c r="R7" i="3"/>
  <c r="AD7" i="3" s="1"/>
  <c r="R6" i="3"/>
  <c r="AD6" i="3" s="1"/>
  <c r="R5" i="3"/>
  <c r="AD5" i="3" s="1"/>
  <c r="T6" i="3" s="1"/>
  <c r="AC4" i="3"/>
  <c r="AC3" i="3"/>
  <c r="AC2" i="3"/>
  <c r="AE2" i="5" l="1"/>
  <c r="AD2" i="5"/>
  <c r="AD3" i="5"/>
  <c r="AE2" i="4"/>
  <c r="AD2" i="4"/>
  <c r="T2" i="4" s="1"/>
  <c r="R160" i="3"/>
  <c r="AE160" i="3" s="1"/>
  <c r="AE178" i="3"/>
  <c r="AD171" i="3"/>
  <c r="AD190" i="3"/>
  <c r="AD189" i="3"/>
  <c r="AD179" i="3"/>
  <c r="AD161" i="3"/>
  <c r="AD187" i="3"/>
  <c r="AE35" i="3"/>
  <c r="AD35" i="3"/>
  <c r="T35" i="3" s="1"/>
  <c r="AE45" i="3"/>
  <c r="AD45" i="3"/>
  <c r="T46" i="3" s="1"/>
  <c r="AE77" i="3"/>
  <c r="AD77" i="3"/>
  <c r="AE16" i="3"/>
  <c r="AD16" i="3"/>
  <c r="AE54" i="3"/>
  <c r="AD54" i="3"/>
  <c r="AE26" i="3"/>
  <c r="AD26" i="3"/>
  <c r="AE38" i="3"/>
  <c r="AD38" i="3"/>
  <c r="AE48" i="3"/>
  <c r="AD48" i="3"/>
  <c r="AE56" i="3"/>
  <c r="AD56" i="3"/>
  <c r="AE80" i="3"/>
  <c r="AD80" i="3"/>
  <c r="AE88" i="3"/>
  <c r="AD88" i="3"/>
  <c r="AE84" i="3"/>
  <c r="AD84" i="3"/>
  <c r="AE92" i="3"/>
  <c r="AD92" i="3"/>
  <c r="AE106" i="3"/>
  <c r="AD106" i="3"/>
  <c r="AE8" i="3"/>
  <c r="AD8" i="3"/>
  <c r="AE30" i="3"/>
  <c r="AD30" i="3"/>
  <c r="AE42" i="3"/>
  <c r="AD42" i="3"/>
  <c r="AE12" i="3"/>
  <c r="AD12" i="3"/>
  <c r="AE31" i="3"/>
  <c r="AD31" i="3"/>
  <c r="AE62" i="3"/>
  <c r="AD62" i="3"/>
  <c r="AE13" i="3"/>
  <c r="AD13" i="3"/>
  <c r="T14" i="3" s="1"/>
  <c r="AE18" i="3"/>
  <c r="AD18" i="3"/>
  <c r="AE101" i="3"/>
  <c r="AD101" i="3"/>
  <c r="T102" i="3" s="1"/>
  <c r="AE86" i="3"/>
  <c r="AD86" i="3"/>
  <c r="AE99" i="3"/>
  <c r="AD99" i="3"/>
  <c r="T100" i="3" s="1"/>
  <c r="AE170" i="3"/>
  <c r="AD162" i="3"/>
  <c r="AE154" i="3"/>
  <c r="AD154" i="3"/>
  <c r="T154" i="3" s="1"/>
  <c r="AE182" i="3"/>
  <c r="AD157" i="3"/>
  <c r="AD155" i="3"/>
  <c r="AE155" i="3"/>
  <c r="AD173" i="3"/>
  <c r="AE143" i="3"/>
  <c r="AD143" i="3"/>
  <c r="T143" i="3" s="1"/>
  <c r="AE185" i="3"/>
  <c r="AD185" i="3"/>
  <c r="AD186" i="3"/>
  <c r="AD172" i="3"/>
  <c r="T117" i="3"/>
  <c r="T118" i="3"/>
  <c r="AE129" i="3"/>
  <c r="AD129" i="3"/>
  <c r="T129" i="3" s="1"/>
  <c r="AE130" i="3"/>
  <c r="AD130" i="3"/>
  <c r="AE168" i="3"/>
  <c r="AD183" i="3"/>
  <c r="AE37" i="3"/>
  <c r="AD37" i="3"/>
  <c r="T37" i="3" s="1"/>
  <c r="AE55" i="3"/>
  <c r="AD55" i="3"/>
  <c r="AE75" i="3"/>
  <c r="AD75" i="3"/>
  <c r="AE175" i="3"/>
  <c r="AE191" i="3"/>
  <c r="AE165" i="3"/>
  <c r="AD142" i="3"/>
  <c r="AE146" i="3"/>
  <c r="AD146" i="3"/>
  <c r="AD169" i="3"/>
  <c r="AE169" i="3"/>
  <c r="AE167" i="3"/>
  <c r="AE164" i="3"/>
  <c r="AD176" i="3"/>
  <c r="AD141" i="3"/>
  <c r="T141" i="3" s="1"/>
  <c r="AE181" i="3"/>
  <c r="AD174" i="3"/>
  <c r="T176" i="3" s="1"/>
  <c r="AE180" i="3"/>
  <c r="AE159" i="3"/>
  <c r="AD163" i="3"/>
  <c r="T85" i="3"/>
  <c r="T86" i="3"/>
  <c r="T83" i="3"/>
  <c r="T84" i="3"/>
  <c r="T74" i="3"/>
  <c r="T75" i="3"/>
  <c r="T32" i="3"/>
  <c r="T34" i="3"/>
  <c r="T33" i="3"/>
  <c r="T9" i="3"/>
  <c r="T10" i="3"/>
  <c r="T119" i="3"/>
  <c r="T106" i="3"/>
  <c r="T105" i="3"/>
  <c r="T59" i="3"/>
  <c r="T58" i="3"/>
  <c r="T42" i="3"/>
  <c r="T41" i="3"/>
  <c r="T157" i="3"/>
  <c r="T61" i="3"/>
  <c r="T60" i="3"/>
  <c r="T149" i="3"/>
  <c r="T150" i="3"/>
  <c r="T81" i="3"/>
  <c r="T82" i="3"/>
  <c r="T67" i="3"/>
  <c r="T66" i="3"/>
  <c r="T30" i="3"/>
  <c r="T31" i="3"/>
  <c r="T29" i="3"/>
  <c r="T20" i="3"/>
  <c r="T19" i="3"/>
  <c r="T126" i="3"/>
  <c r="T125" i="3"/>
  <c r="T116" i="3"/>
  <c r="T115" i="3"/>
  <c r="T90" i="3"/>
  <c r="T89" i="3"/>
  <c r="T73" i="3"/>
  <c r="T72" i="3"/>
  <c r="T96" i="3"/>
  <c r="T95" i="3"/>
  <c r="T47" i="3"/>
  <c r="T48" i="3"/>
  <c r="T25" i="3"/>
  <c r="T26" i="3"/>
  <c r="T16" i="3"/>
  <c r="T15" i="3"/>
  <c r="T169" i="3"/>
  <c r="T101" i="3"/>
  <c r="T123" i="3"/>
  <c r="T124" i="3"/>
  <c r="T44" i="3"/>
  <c r="T43" i="3"/>
  <c r="T7" i="3"/>
  <c r="T8" i="3"/>
  <c r="T69" i="3"/>
  <c r="T68" i="3"/>
  <c r="T155" i="3"/>
  <c r="T137" i="3"/>
  <c r="T138" i="3"/>
  <c r="T171" i="3"/>
  <c r="T147" i="3"/>
  <c r="T148" i="3"/>
  <c r="T108" i="3"/>
  <c r="T107" i="3"/>
  <c r="T94" i="3"/>
  <c r="T93" i="3"/>
  <c r="T63" i="3"/>
  <c r="T62" i="3"/>
  <c r="T45" i="3"/>
  <c r="T146" i="3"/>
  <c r="T127" i="3"/>
  <c r="T128" i="3"/>
  <c r="T121" i="3"/>
  <c r="T122" i="3"/>
  <c r="T183" i="3"/>
  <c r="T134" i="3"/>
  <c r="T133" i="3"/>
  <c r="T104" i="3"/>
  <c r="T103" i="3"/>
  <c r="T56" i="3"/>
  <c r="T57" i="3"/>
  <c r="T49" i="3"/>
  <c r="T50" i="3"/>
  <c r="T27" i="3"/>
  <c r="T28" i="3"/>
  <c r="T40" i="3"/>
  <c r="T109" i="3"/>
  <c r="T5" i="3"/>
  <c r="T64" i="3"/>
  <c r="T65" i="3"/>
  <c r="T36" i="3"/>
  <c r="T24" i="3"/>
  <c r="T98" i="3"/>
  <c r="T97" i="3"/>
  <c r="T52" i="3"/>
  <c r="T51" i="3"/>
  <c r="T12" i="3"/>
  <c r="T11" i="3"/>
  <c r="AE11" i="3"/>
  <c r="AE43" i="3"/>
  <c r="AE51" i="3"/>
  <c r="AE39" i="3"/>
  <c r="AE60" i="3"/>
  <c r="AE15" i="3"/>
  <c r="AE23" i="3"/>
  <c r="AE32" i="3"/>
  <c r="AE7" i="3"/>
  <c r="AE27" i="3"/>
  <c r="AE9" i="3"/>
  <c r="AE19" i="3"/>
  <c r="AE49" i="3"/>
  <c r="AE58" i="3"/>
  <c r="AE25" i="3"/>
  <c r="AE47" i="3"/>
  <c r="AE74" i="3"/>
  <c r="AE41" i="3"/>
  <c r="AE5" i="3"/>
  <c r="AE71" i="3"/>
  <c r="R17" i="3"/>
  <c r="AD17" i="3" s="1"/>
  <c r="T17" i="3" s="1"/>
  <c r="R21" i="3"/>
  <c r="AD21" i="3" s="1"/>
  <c r="T21" i="3" s="1"/>
  <c r="AE34" i="3"/>
  <c r="AE61" i="3"/>
  <c r="AE63" i="3"/>
  <c r="AE72" i="3"/>
  <c r="R53" i="3"/>
  <c r="AD53" i="3" s="1"/>
  <c r="T54" i="3" s="1"/>
  <c r="AE59" i="3"/>
  <c r="AE44" i="3"/>
  <c r="AE46" i="3"/>
  <c r="R76" i="3"/>
  <c r="AD76" i="3" s="1"/>
  <c r="T78" i="3" s="1"/>
  <c r="R70" i="3"/>
  <c r="AD70" i="3" s="1"/>
  <c r="T71" i="3" s="1"/>
  <c r="AE29" i="3"/>
  <c r="AE64" i="3"/>
  <c r="AE66" i="3"/>
  <c r="AE6" i="3"/>
  <c r="AE14" i="3"/>
  <c r="AE20" i="3"/>
  <c r="AE22" i="3"/>
  <c r="AE52" i="3"/>
  <c r="AE83" i="3"/>
  <c r="AE93" i="3"/>
  <c r="AE68" i="3"/>
  <c r="AE97" i="3"/>
  <c r="AE81" i="3"/>
  <c r="AE24" i="3"/>
  <c r="AE36" i="3"/>
  <c r="AE65" i="3"/>
  <c r="R87" i="3"/>
  <c r="AD87" i="3" s="1"/>
  <c r="T87" i="3" s="1"/>
  <c r="AE85" i="3"/>
  <c r="AE10" i="3"/>
  <c r="AE33" i="3"/>
  <c r="AE28" i="3"/>
  <c r="AE40" i="3"/>
  <c r="AE50" i="3"/>
  <c r="AE57" i="3"/>
  <c r="AE67" i="3"/>
  <c r="AE69" i="3"/>
  <c r="R79" i="3"/>
  <c r="AD79" i="3" s="1"/>
  <c r="T80" i="3" s="1"/>
  <c r="AE95" i="3"/>
  <c r="AE123" i="3"/>
  <c r="AE89" i="3"/>
  <c r="AE94" i="3"/>
  <c r="AE107" i="3"/>
  <c r="AE73" i="3"/>
  <c r="AE78" i="3"/>
  <c r="AE117" i="3"/>
  <c r="AE127" i="3"/>
  <c r="AE100" i="3"/>
  <c r="AE125" i="3"/>
  <c r="R91" i="3"/>
  <c r="AD91" i="3" s="1"/>
  <c r="T91" i="3" s="1"/>
  <c r="AE103" i="3"/>
  <c r="AE115" i="3"/>
  <c r="AE119" i="3"/>
  <c r="AE102" i="3"/>
  <c r="R113" i="3"/>
  <c r="AD113" i="3" s="1"/>
  <c r="T113" i="3" s="1"/>
  <c r="AE105" i="3"/>
  <c r="AE109" i="3"/>
  <c r="AE96" i="3"/>
  <c r="R139" i="3"/>
  <c r="AD139" i="3" s="1"/>
  <c r="T140" i="3" s="1"/>
  <c r="AE128" i="3"/>
  <c r="AE145" i="3"/>
  <c r="AE132" i="3"/>
  <c r="R135" i="3"/>
  <c r="AD135" i="3" s="1"/>
  <c r="AE82" i="3"/>
  <c r="AE104" i="3"/>
  <c r="AE108" i="3"/>
  <c r="AE110" i="3"/>
  <c r="AE112" i="3"/>
  <c r="AE121" i="3"/>
  <c r="AE133" i="3"/>
  <c r="AE118" i="3"/>
  <c r="AE90" i="3"/>
  <c r="R131" i="3"/>
  <c r="AD131" i="3" s="1"/>
  <c r="T131" i="3" s="1"/>
  <c r="AE137" i="3"/>
  <c r="AE149" i="3"/>
  <c r="R111" i="3"/>
  <c r="AD111" i="3" s="1"/>
  <c r="T112" i="3" s="1"/>
  <c r="AE98" i="3"/>
  <c r="AE122" i="3"/>
  <c r="AE116" i="3"/>
  <c r="AE126" i="3"/>
  <c r="AE136" i="3"/>
  <c r="AE140" i="3"/>
  <c r="AE147" i="3"/>
  <c r="AE134" i="3"/>
  <c r="AE114" i="3"/>
  <c r="AE120" i="3"/>
  <c r="AE124" i="3"/>
  <c r="AE138" i="3"/>
  <c r="AE153" i="3"/>
  <c r="AE144" i="3"/>
  <c r="AE150" i="3"/>
  <c r="R152" i="3"/>
  <c r="AD152" i="3" s="1"/>
  <c r="T152" i="3" s="1"/>
  <c r="AE156" i="3"/>
  <c r="AE148" i="3"/>
  <c r="AE151" i="3"/>
  <c r="R158" i="3"/>
  <c r="AD158" i="3" s="1"/>
  <c r="T158" i="3" s="1"/>
  <c r="R166" i="3"/>
  <c r="AD166" i="3" s="1"/>
  <c r="T166" i="3" s="1"/>
  <c r="R177" i="3"/>
  <c r="AD177" i="3" s="1"/>
  <c r="T180" i="3" s="1"/>
  <c r="R188" i="3"/>
  <c r="AD188" i="3" s="1"/>
  <c r="T191" i="3" s="1"/>
  <c r="R184" i="3"/>
  <c r="AD184" i="3" s="1"/>
  <c r="T3" i="5" l="1"/>
  <c r="T2" i="5"/>
  <c r="AD160" i="3"/>
  <c r="T38" i="3"/>
  <c r="T142" i="3"/>
  <c r="T164" i="3"/>
  <c r="T160" i="3"/>
  <c r="T99" i="3"/>
  <c r="T13" i="3"/>
  <c r="T18" i="3"/>
  <c r="T159" i="3"/>
  <c r="T53" i="3"/>
  <c r="T132" i="3"/>
  <c r="T22" i="3"/>
  <c r="T55" i="3"/>
  <c r="T139" i="3"/>
  <c r="T177" i="3"/>
  <c r="T178" i="3"/>
  <c r="T92" i="3"/>
  <c r="T173" i="3"/>
  <c r="T172" i="3"/>
  <c r="T175" i="3"/>
  <c r="T174" i="3"/>
  <c r="T111" i="3"/>
  <c r="T185" i="3"/>
  <c r="T184" i="3"/>
  <c r="T77" i="3"/>
  <c r="T167" i="3"/>
  <c r="T135" i="3"/>
  <c r="T136" i="3"/>
  <c r="T76" i="3"/>
  <c r="T179" i="3"/>
  <c r="T70" i="3"/>
  <c r="T114" i="3"/>
  <c r="T153" i="3"/>
  <c r="T79" i="3"/>
  <c r="T88" i="3"/>
  <c r="T144" i="3"/>
  <c r="T188" i="3"/>
  <c r="T187" i="3"/>
  <c r="T130" i="3"/>
  <c r="T189" i="3"/>
  <c r="T190" i="3"/>
  <c r="T186" i="3"/>
  <c r="T181" i="3"/>
  <c r="AE184" i="3"/>
  <c r="AE111" i="3"/>
  <c r="AE76" i="3"/>
  <c r="AE91" i="3"/>
  <c r="AE79" i="3"/>
  <c r="AE21" i="3"/>
  <c r="AE131" i="3"/>
  <c r="AE113" i="3"/>
  <c r="AE135" i="3"/>
  <c r="AE53" i="3"/>
  <c r="AE87" i="3"/>
  <c r="AE177" i="3"/>
  <c r="AE152" i="3"/>
  <c r="AE17" i="3"/>
  <c r="AE188" i="3"/>
  <c r="AE70" i="3"/>
  <c r="AE139" i="3"/>
  <c r="AE158" i="3"/>
  <c r="AE166" i="3"/>
  <c r="R4" i="3"/>
  <c r="AD4" i="3" s="1"/>
  <c r="T4" i="3" s="1"/>
  <c r="R3" i="3"/>
  <c r="AD3" i="3" s="1"/>
  <c r="T3" i="3" s="1"/>
  <c r="R2" i="3"/>
  <c r="AD2" i="3" s="1"/>
  <c r="T2" i="3" s="1"/>
  <c r="T161" i="3" l="1"/>
  <c r="T165" i="3"/>
  <c r="T162" i="3"/>
  <c r="T163" i="3"/>
  <c r="AE3" i="3"/>
  <c r="AE4" i="3"/>
  <c r="AE2" i="3"/>
</calcChain>
</file>

<file path=xl/sharedStrings.xml><?xml version="1.0" encoding="utf-8"?>
<sst xmlns="http://schemas.openxmlformats.org/spreadsheetml/2006/main" count="2746" uniqueCount="563">
  <si>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</si>
  <si>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</si>
  <si>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</si>
  <si>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</si>
  <si>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</si>
  <si>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</si>
  <si>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</si>
  <si>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</si>
  <si>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</si>
  <si>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</si>
  <si>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</si>
  <si>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</si>
  <si>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</si>
  <si>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</si>
  <si>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</si>
  <si>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</si>
  <si>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</si>
  <si>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</si>
  <si>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</si>
  <si>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</si>
  <si>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</si>
  <si>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Discount</t>
  </si>
  <si>
    <t>Unknown Deduction</t>
  </si>
  <si>
    <t>Overshipped PO</t>
  </si>
  <si>
    <t>Sales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</si>
  <si>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</si>
  <si>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</si>
  <si>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</si>
  <si>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</si>
  <si>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</si>
  <si>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</si>
  <si>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</si>
  <si>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</si>
  <si>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</si>
  <si>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</si>
  <si>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</si>
  <si>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</si>
  <si>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Billing Wrong Customer</t>
  </si>
  <si>
    <t>Freight</t>
  </si>
  <si>
    <t>Paid?</t>
  </si>
  <si>
    <t>Filter</t>
  </si>
  <si>
    <t>Dif Inv</t>
  </si>
  <si>
    <t>Asia</t>
  </si>
  <si>
    <t>ECMM 8891</t>
  </si>
  <si>
    <t>FLEX 0248</t>
  </si>
  <si>
    <t>GE A 7694</t>
  </si>
  <si>
    <t>Materials Team</t>
  </si>
  <si>
    <t>Rupert Thiem</t>
  </si>
  <si>
    <t>Hannah Brooks</t>
  </si>
  <si>
    <t>Andrew Clayton</t>
  </si>
  <si>
    <t>Adrian Cruz</t>
  </si>
  <si>
    <t>Tyler Ramirez</t>
  </si>
  <si>
    <t>Cassandra Miles</t>
  </si>
  <si>
    <t>Noah Harrison</t>
  </si>
  <si>
    <t>Lucy Matthews</t>
  </si>
  <si>
    <t>Isabella Griffin</t>
  </si>
  <si>
    <t>Jason Whitman</t>
  </si>
  <si>
    <t>Joshua Reed</t>
  </si>
  <si>
    <t>Alejandra Tamez</t>
  </si>
  <si>
    <t>Lucas Stone</t>
  </si>
  <si>
    <t>Madison Brooks</t>
  </si>
  <si>
    <t>Jessica Bonus</t>
  </si>
  <si>
    <t>Jeremy Rhodes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</si>
  <si>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</si>
  <si>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</si>
  <si>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</si>
  <si>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</si>
  <si>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Materials Team and this is related to RMA Number Needed</t>
  </si>
  <si>
    <t>RIVI 0746</t>
  </si>
  <si>
    <t>SANM 0489</t>
  </si>
  <si>
    <t>L3 C 5622</t>
  </si>
  <si>
    <t>DUCO 3963</t>
  </si>
  <si>
    <t>UNIG 5239</t>
  </si>
  <si>
    <t>GENE 1594</t>
  </si>
  <si>
    <t>NOKI 6681</t>
  </si>
  <si>
    <t>AMPE 4099</t>
  </si>
  <si>
    <t>FINA 5641</t>
  </si>
  <si>
    <t>PO4000072523</t>
  </si>
  <si>
    <t>SO91121172523</t>
  </si>
  <si>
    <t>PO2376790065</t>
  </si>
  <si>
    <t>SO91119890065</t>
  </si>
  <si>
    <t>PO4000096210</t>
  </si>
  <si>
    <t>SO91121296210</t>
  </si>
  <si>
    <t>PO4000037439</t>
  </si>
  <si>
    <t>SO91121037439</t>
  </si>
  <si>
    <t>PO8000078668</t>
  </si>
  <si>
    <t>SO91121878668</t>
  </si>
  <si>
    <t>PO2880019897</t>
  </si>
  <si>
    <t>SO90113219897</t>
  </si>
  <si>
    <t>PO3967802355</t>
  </si>
  <si>
    <t>SO90113302355</t>
  </si>
  <si>
    <t>PO4000067271</t>
  </si>
  <si>
    <t>SO91123867271</t>
  </si>
  <si>
    <t>PO3008826042</t>
  </si>
  <si>
    <t>SO91123726042</t>
  </si>
  <si>
    <t>PO3010608500</t>
  </si>
  <si>
    <t>SO91124008500</t>
  </si>
  <si>
    <t>PO2376749729</t>
  </si>
  <si>
    <t>SO91124249729</t>
  </si>
  <si>
    <t>PO4000090958</t>
  </si>
  <si>
    <t>SO91125290958</t>
  </si>
  <si>
    <t>PO4000032187</t>
  </si>
  <si>
    <t>SO91125232187</t>
  </si>
  <si>
    <t>PO4000073416</t>
  </si>
  <si>
    <t>SO91125373416</t>
  </si>
  <si>
    <t>PO4000055874</t>
  </si>
  <si>
    <t>SO91125455874</t>
  </si>
  <si>
    <t>PO3006014645</t>
  </si>
  <si>
    <t>SO91125514645</t>
  </si>
  <si>
    <t>PO4000097103</t>
  </si>
  <si>
    <t>SO91126097103</t>
  </si>
  <si>
    <t>PO4417638332</t>
  </si>
  <si>
    <t>SO91122738332</t>
  </si>
  <si>
    <t>PO3020379561</t>
  </si>
  <si>
    <t>SO91126979561</t>
  </si>
  <si>
    <t>PO3014903248</t>
  </si>
  <si>
    <t>SO91127403248</t>
  </si>
  <si>
    <t>PO9697144477</t>
  </si>
  <si>
    <t>SO90113944477</t>
  </si>
  <si>
    <t>PO4000068164</t>
  </si>
  <si>
    <t>SO91128768164</t>
  </si>
  <si>
    <t>PO3008869057</t>
  </si>
  <si>
    <t>SO91133869057</t>
  </si>
  <si>
    <t>POC221183133</t>
  </si>
  <si>
    <t>SO91134383133</t>
  </si>
  <si>
    <t>POC221124362</t>
  </si>
  <si>
    <t>SO91134024362</t>
  </si>
  <si>
    <t>PO4418254300</t>
  </si>
  <si>
    <t>SO91139354300</t>
  </si>
  <si>
    <t>PO4419308712</t>
  </si>
  <si>
    <t>SO91141108712</t>
  </si>
  <si>
    <t>SO91147086024</t>
  </si>
  <si>
    <t>PO4418075520</t>
  </si>
  <si>
    <t>SO91143575520</t>
  </si>
  <si>
    <t>PO4419416749</t>
  </si>
  <si>
    <t>SO91143416749</t>
  </si>
  <si>
    <t>PO4418881665</t>
  </si>
  <si>
    <t>SO91144281665</t>
  </si>
  <si>
    <t>PO4419622894</t>
  </si>
  <si>
    <t>SO91145422894</t>
  </si>
  <si>
    <t>PO4419405352</t>
  </si>
  <si>
    <t>SO91143805352</t>
  </si>
  <si>
    <t>PO4419446581</t>
  </si>
  <si>
    <t>SO91144746581</t>
  </si>
  <si>
    <t>PO4419551939</t>
  </si>
  <si>
    <t>SO91146551939</t>
  </si>
  <si>
    <t>PO4416793168</t>
  </si>
  <si>
    <t>SO91146393168</t>
  </si>
  <si>
    <t>PO4418334397</t>
  </si>
  <si>
    <t>SO91147034397</t>
  </si>
  <si>
    <t>PO4417936183</t>
  </si>
  <si>
    <t>SO91143136183</t>
  </si>
  <si>
    <t>PO4419223000</t>
  </si>
  <si>
    <t>SO91147223000</t>
  </si>
  <si>
    <t>SO91146664229</t>
  </si>
  <si>
    <t>PO4416987916</t>
  </si>
  <si>
    <t>SO91148087916</t>
  </si>
  <si>
    <t>PO4419529145</t>
  </si>
  <si>
    <t>SO91147929145</t>
  </si>
  <si>
    <t>PO4419470374</t>
  </si>
  <si>
    <t>SO91148070374</t>
  </si>
  <si>
    <t>PO4416911603</t>
  </si>
  <si>
    <t>SO91148011603</t>
  </si>
  <si>
    <t>PO4419352832</t>
  </si>
  <si>
    <t>SO91147452832</t>
  </si>
  <si>
    <t>PO5500094061</t>
  </si>
  <si>
    <t>SO91149894061</t>
  </si>
  <si>
    <t>PO4418635290</t>
  </si>
  <si>
    <t>SO91147435290</t>
  </si>
  <si>
    <t>PO4419876519</t>
  </si>
  <si>
    <t>SO91147476519</t>
  </si>
  <si>
    <t>PO4419417748</t>
  </si>
  <si>
    <t>SO91147817748</t>
  </si>
  <si>
    <t>PO4419758977</t>
  </si>
  <si>
    <t>SO91147758977</t>
  </si>
  <si>
    <t>PO4420100206</t>
  </si>
  <si>
    <t>SO91148600206</t>
  </si>
  <si>
    <t>PO4418841435</t>
  </si>
  <si>
    <t>SO91148041435</t>
  </si>
  <si>
    <t>PO4418694954</t>
  </si>
  <si>
    <t>SO91137094954</t>
  </si>
  <si>
    <t>PO4418677412</t>
  </si>
  <si>
    <t>SO91143777412</t>
  </si>
  <si>
    <t>PO4934618641</t>
  </si>
  <si>
    <t>SO90116418641</t>
  </si>
  <si>
    <t>SO91150159870</t>
  </si>
  <si>
    <t>POC240218747</t>
  </si>
  <si>
    <t>SO91149918747</t>
  </si>
  <si>
    <t>SO91151661762</t>
  </si>
  <si>
    <t>PO4420596952</t>
  </si>
  <si>
    <t>SO91152096952</t>
  </si>
  <si>
    <t>PO4420082195</t>
  </si>
  <si>
    <t>SO91154282195</t>
  </si>
  <si>
    <t>PO4419305882</t>
  </si>
  <si>
    <t>SO91154305882</t>
  </si>
  <si>
    <t>PO4420288340</t>
  </si>
  <si>
    <t>SO91154388340</t>
  </si>
  <si>
    <t>PO4420986660</t>
  </si>
  <si>
    <t>SO91155886660</t>
  </si>
  <si>
    <t>PO4420676156</t>
  </si>
  <si>
    <t>SO91155876156</t>
  </si>
  <si>
    <t>PO4420758614</t>
  </si>
  <si>
    <t>SO91155958614</t>
  </si>
  <si>
    <t>PO4417503415</t>
  </si>
  <si>
    <t>SO91138303415</t>
  </si>
  <si>
    <t>SO91158654361</t>
  </si>
  <si>
    <t>PO4500095590</t>
  </si>
  <si>
    <t>SO91153995590</t>
  </si>
  <si>
    <t>SO91159242177</t>
  </si>
  <si>
    <t>SO91159183406</t>
  </si>
  <si>
    <t>PO4420939604</t>
  </si>
  <si>
    <t>SO91158539604</t>
  </si>
  <si>
    <t>PO4421357146</t>
  </si>
  <si>
    <t>SO91158657146</t>
  </si>
  <si>
    <t>SO91161002840</t>
  </si>
  <si>
    <t>PO7570129206</t>
  </si>
  <si>
    <t>SO90117729206</t>
  </si>
  <si>
    <t>PO7570111664</t>
  </si>
  <si>
    <t>SO90117711664</t>
  </si>
  <si>
    <t>POKLN0197694</t>
  </si>
  <si>
    <t>SO91163597694</t>
  </si>
  <si>
    <t>PO0472652106</t>
  </si>
  <si>
    <t>SO91162052106</t>
  </si>
  <si>
    <t>PO4710030205</t>
  </si>
  <si>
    <t>SO91162930205</t>
  </si>
  <si>
    <t>PO0590241920</t>
  </si>
  <si>
    <t>SO94108041920</t>
  </si>
  <si>
    <t>POHNP0283149</t>
  </si>
  <si>
    <t>SO91164683149</t>
  </si>
  <si>
    <t>PO3006031294</t>
  </si>
  <si>
    <t>SO91119931294</t>
  </si>
  <si>
    <t>PO1634913752</t>
  </si>
  <si>
    <t>SO90113113752</t>
  </si>
  <si>
    <t>PO9532305927</t>
  </si>
  <si>
    <t>SO90114905927</t>
  </si>
  <si>
    <t>PO3053129614</t>
  </si>
  <si>
    <t>SO90114947156</t>
  </si>
  <si>
    <t>PO3008886025</t>
  </si>
  <si>
    <t>PO4417964123</t>
  </si>
  <si>
    <t>SO91140964123</t>
  </si>
  <si>
    <t>POXAD 364230</t>
  </si>
  <si>
    <t>PO4200359871</t>
  </si>
  <si>
    <t>PO3024244220</t>
  </si>
  <si>
    <t>POPPM4283407</t>
  </si>
  <si>
    <t>PO1708491931</t>
  </si>
  <si>
    <t>PO788081998</t>
  </si>
  <si>
    <t>Description -  This Req has been handled by Materials Team and this is related to Overshipped PO</t>
  </si>
  <si>
    <t>Description -  This Req has been handled by Credit Team and this is related to Discount</t>
  </si>
  <si>
    <t>Description -  This Req has been handled by Sales Team and this is related to Billing Wrong Customer</t>
  </si>
  <si>
    <t>Description -  This Req has been handled by Materials Team and this is related to Freight</t>
  </si>
  <si>
    <t>David Brooks</t>
  </si>
  <si>
    <t>Cody Daniels</t>
  </si>
  <si>
    <t>Rebecca Simmons</t>
  </si>
  <si>
    <t>Ava Mitchell</t>
  </si>
  <si>
    <t>Jack Crawford</t>
  </si>
  <si>
    <t>AVN7</t>
  </si>
  <si>
    <t>DN77499801</t>
  </si>
  <si>
    <t>ON 9</t>
  </si>
  <si>
    <t>DN28388801</t>
  </si>
  <si>
    <t>DN28044801</t>
  </si>
  <si>
    <t>AVXS112101C225KAT2AAVX0</t>
  </si>
  <si>
    <t>AVX0</t>
  </si>
  <si>
    <t>DN30266801</t>
  </si>
  <si>
    <t>VISS1136078-L3VIS0</t>
  </si>
  <si>
    <t>VIS0</t>
  </si>
  <si>
    <t>DN29188801</t>
  </si>
  <si>
    <t>SOU4</t>
  </si>
  <si>
    <t>DN50999801</t>
  </si>
  <si>
    <t>FUJS1FTP-68EMCL161-RFUJ5</t>
  </si>
  <si>
    <t>FUJ5</t>
  </si>
  <si>
    <t>DN69699801</t>
  </si>
  <si>
    <t>MIC0</t>
  </si>
  <si>
    <t>DN01200801</t>
  </si>
  <si>
    <t>AVA2</t>
  </si>
  <si>
    <t>DN93966801</t>
  </si>
  <si>
    <t>TE 6</t>
  </si>
  <si>
    <t>DN72055801</t>
  </si>
  <si>
    <t>TAI1</t>
  </si>
  <si>
    <t>VIS7</t>
  </si>
  <si>
    <t>DN84700801</t>
  </si>
  <si>
    <t>DN08833801</t>
  </si>
  <si>
    <t>DN36077801</t>
  </si>
  <si>
    <t>DN02255801</t>
  </si>
  <si>
    <t>MICS1KSZ8081RNBIA-TRMIC4</t>
  </si>
  <si>
    <t>MIC4</t>
  </si>
  <si>
    <t>DN21688801</t>
  </si>
  <si>
    <t>KEM5</t>
  </si>
  <si>
    <t>DN98322801</t>
  </si>
  <si>
    <t>DN97522801</t>
  </si>
  <si>
    <t>DN55855801</t>
  </si>
  <si>
    <t>DN56555801</t>
  </si>
  <si>
    <t>INTS1HW8076502444202S R381INT0</t>
  </si>
  <si>
    <t>INT0</t>
  </si>
  <si>
    <t>CTS9</t>
  </si>
  <si>
    <t>DN73255801</t>
  </si>
  <si>
    <t>AVNS1TARIFF_RECOVERYAVN7</t>
  </si>
  <si>
    <t>DN89522801</t>
  </si>
  <si>
    <t>PAN4</t>
  </si>
  <si>
    <t>DN32899801</t>
  </si>
  <si>
    <t>DN29700801</t>
  </si>
  <si>
    <t>DN45699801</t>
  </si>
  <si>
    <t>DN13399801</t>
  </si>
  <si>
    <t>DN54788801</t>
  </si>
  <si>
    <t>MOL9</t>
  </si>
  <si>
    <t>DN07766801</t>
  </si>
  <si>
    <t>AMP7</t>
  </si>
  <si>
    <t>DN16233801</t>
  </si>
  <si>
    <t>DN32744801</t>
  </si>
  <si>
    <t>INF9</t>
  </si>
  <si>
    <t>AVNS1DROPSHIP_TARIFFAVN7</t>
  </si>
  <si>
    <t>DN29633801</t>
  </si>
  <si>
    <t>DN21588801</t>
  </si>
  <si>
    <t>DN40266801</t>
  </si>
  <si>
    <t>DN25155801</t>
  </si>
  <si>
    <t>DN32733801</t>
  </si>
  <si>
    <t>DN36144801</t>
  </si>
  <si>
    <t>BOU5</t>
  </si>
  <si>
    <t>DN18433801</t>
  </si>
  <si>
    <t>VISS1593D107X0010C2TE3VIS9</t>
  </si>
  <si>
    <t>VIS9</t>
  </si>
  <si>
    <t>ON S1MMSZ4690T1GON 9</t>
  </si>
  <si>
    <t>DN25955801</t>
  </si>
  <si>
    <t>EAT4</t>
  </si>
  <si>
    <t>DN66055801</t>
  </si>
  <si>
    <t>DN78400801</t>
  </si>
  <si>
    <t>DN68500801</t>
  </si>
  <si>
    <t>DN47777801</t>
  </si>
  <si>
    <t>DN19311801</t>
  </si>
  <si>
    <t>DN64199801</t>
  </si>
  <si>
    <t>DEL4</t>
  </si>
  <si>
    <t>DN32699801</t>
  </si>
  <si>
    <t>DN91155801</t>
  </si>
  <si>
    <t>ON S1BC858CLT1GON 9</t>
  </si>
  <si>
    <t>DN16933801</t>
  </si>
  <si>
    <t>DN48199801</t>
  </si>
  <si>
    <t>NXP0</t>
  </si>
  <si>
    <t>DN86099801</t>
  </si>
  <si>
    <t>DN18444801</t>
  </si>
  <si>
    <t>DN18422801</t>
  </si>
  <si>
    <t>LEN6</t>
  </si>
  <si>
    <t>DN44500801</t>
  </si>
  <si>
    <t>DN92944801</t>
  </si>
  <si>
    <t>MOLS141662-0007MOL9</t>
  </si>
  <si>
    <t>DIO1</t>
  </si>
  <si>
    <t>ALL5</t>
  </si>
  <si>
    <t>NIC6</t>
  </si>
  <si>
    <t>STM6</t>
  </si>
  <si>
    <t>DN70199801</t>
  </si>
  <si>
    <t>VIS6</t>
  </si>
  <si>
    <t>MURS1LQH44PH220MPRLMUR8</t>
  </si>
  <si>
    <t>MUR8</t>
  </si>
  <si>
    <t>DN66700801</t>
  </si>
  <si>
    <t>ON S1MM5Z5V6ST1GON 9</t>
  </si>
  <si>
    <t>DN99544801</t>
  </si>
  <si>
    <t>DN37477801</t>
  </si>
  <si>
    <t>NEX4</t>
  </si>
  <si>
    <t>DN08688801</t>
  </si>
  <si>
    <t>DN32944801</t>
  </si>
  <si>
    <t>SAM2</t>
  </si>
  <si>
    <t>DN36000801</t>
  </si>
  <si>
    <t>MOLS1144697-0001MOL9</t>
  </si>
  <si>
    <t>SCH7</t>
  </si>
  <si>
    <t>DN57766801</t>
  </si>
  <si>
    <t>KEMS1C0805C393K5RACTUKEM5</t>
  </si>
  <si>
    <t>DN65977801</t>
  </si>
  <si>
    <t>DN25799801</t>
  </si>
  <si>
    <t>DN64422801</t>
  </si>
  <si>
    <t>DN77222801</t>
  </si>
  <si>
    <t>DN45100800</t>
  </si>
  <si>
    <t>DN32711801</t>
  </si>
  <si>
    <t>DN57666801</t>
  </si>
  <si>
    <t>TE S12834167-3TE 6</t>
  </si>
  <si>
    <t>DN36411801</t>
  </si>
  <si>
    <t>DN97933801</t>
  </si>
  <si>
    <t>KEMS1C1206C105K3RACTUKEM5</t>
  </si>
  <si>
    <t>SCH0</t>
  </si>
  <si>
    <t>DN66500801</t>
  </si>
  <si>
    <t>DN44433801</t>
  </si>
  <si>
    <t>AU S1G156HTN02.0AU 4</t>
  </si>
  <si>
    <t>AU 4</t>
  </si>
  <si>
    <t>NICS1NMC0805X7R106K10TRPLP3KFNIC6</t>
  </si>
  <si>
    <t>DN84899801</t>
  </si>
  <si>
    <t>DN93744801</t>
  </si>
  <si>
    <t>CTSS1219-4LPSTRFCTS9</t>
  </si>
  <si>
    <t>DN99122801</t>
  </si>
  <si>
    <t>MICS1AT91SAM7S64C-AUMIC0</t>
  </si>
  <si>
    <t>DN39844801</t>
  </si>
  <si>
    <t>NXPS1MKL28Z512VLL7RNXP0</t>
  </si>
  <si>
    <t>DN05477801</t>
  </si>
  <si>
    <t>CTSS1219-3LPSTRFCTS9</t>
  </si>
  <si>
    <t>MURS1BLM15HG102SN1DMUR8</t>
  </si>
  <si>
    <t>DN41399801</t>
  </si>
  <si>
    <t>DN07833801</t>
  </si>
  <si>
    <t>DN84800801</t>
  </si>
  <si>
    <t>DN69344801</t>
  </si>
  <si>
    <t>LITS1LTV-217-GLIT5</t>
  </si>
  <si>
    <t>LIT5</t>
  </si>
  <si>
    <t>DN43299801</t>
  </si>
  <si>
    <t>DN36355801</t>
  </si>
  <si>
    <t>SAM0</t>
  </si>
  <si>
    <t>DN71377801</t>
  </si>
  <si>
    <t>DN28166801</t>
  </si>
  <si>
    <t>FCL7</t>
  </si>
  <si>
    <t>DN02399801</t>
  </si>
  <si>
    <t>DN57611801</t>
  </si>
  <si>
    <t>XIL5</t>
  </si>
  <si>
    <t>BOUS1CRT0603-BY-1002ELFBOU5</t>
  </si>
  <si>
    <t>MURS1GRM155R71C104KA88DMUR8</t>
  </si>
  <si>
    <t>DN76855801</t>
  </si>
  <si>
    <t>INFS1IRFZ44NPBFINF9</t>
  </si>
  <si>
    <t>INFS1IRF4905LPBFINF9</t>
  </si>
  <si>
    <t>DN32922801</t>
  </si>
  <si>
    <t>INFS1FS01MR08A8MA2CHPSA1INF9</t>
  </si>
  <si>
    <t>DN59022801</t>
  </si>
  <si>
    <t>VISS1MLV1812E39503TVIS6</t>
  </si>
  <si>
    <t>DN89222801</t>
  </si>
  <si>
    <t>FOXS1FC7ASBBMM9.216-T1FOX4</t>
  </si>
  <si>
    <t>FOX4</t>
  </si>
  <si>
    <t>DN72911801</t>
  </si>
  <si>
    <t>TDK9</t>
  </si>
  <si>
    <t>FCLS1FTP-68EMCL161-RFCL7</t>
  </si>
  <si>
    <t>ON S1NCP431AISNT1GON 9</t>
  </si>
  <si>
    <t>DN63888801</t>
  </si>
  <si>
    <t>DN88033801</t>
  </si>
  <si>
    <t>VISS1CRCW0603200RFKEAHPVIS7</t>
  </si>
  <si>
    <t>BEL7</t>
  </si>
  <si>
    <t>SUM7</t>
  </si>
  <si>
    <t>DN53866801</t>
  </si>
  <si>
    <t>COP1</t>
  </si>
  <si>
    <t>DN33566801</t>
  </si>
  <si>
    <t>MIC6</t>
  </si>
  <si>
    <t>KON9</t>
  </si>
  <si>
    <t>TE S1352275RFTTE 6</t>
  </si>
  <si>
    <t>CTSS1405I35E25M00000CTS9</t>
  </si>
  <si>
    <t>TAIS1EMK212B7225KG-TTAI1</t>
  </si>
  <si>
    <t>XILS1XC5VLX30-1FF676IXIL5</t>
  </si>
  <si>
    <t>INF0</t>
  </si>
  <si>
    <t>AVAS1HLMP-P305-F0031AVA2</t>
  </si>
  <si>
    <t>NXPS1MPF7100BMBA0ESNXP0</t>
  </si>
  <si>
    <t>BIT9</t>
  </si>
  <si>
    <t>NEXS174LVC2T45DC-Q100HNEX4</t>
  </si>
  <si>
    <t>SOUS12358145SOU4</t>
  </si>
  <si>
    <t>SOUS1YTKCON8661DRSOU4</t>
  </si>
  <si>
    <t>SOUS1AL-085UM-T311-101SOU4</t>
  </si>
  <si>
    <t>SOUS15321734PSPSOU4</t>
  </si>
  <si>
    <t>DELS13000115120721DEL4</t>
  </si>
  <si>
    <t>SEAS1STKM1000400SEA0</t>
  </si>
  <si>
    <t>SEA0</t>
  </si>
  <si>
    <t>LENS17Y37S1L100LEN6</t>
  </si>
  <si>
    <t>RENS1X9313ZSIZ-3T1REN8</t>
  </si>
  <si>
    <t>REN8</t>
  </si>
  <si>
    <t>DIOS1S8KC-13DIO1</t>
  </si>
  <si>
    <t>AVNS1MC68332GCEH25AVN7</t>
  </si>
  <si>
    <t>AMPS1GTC08SB36-5P(025)AMP4</t>
  </si>
  <si>
    <t>AMP4</t>
  </si>
  <si>
    <t>SOUS1FMATSP-S2AA1-M1TVSOU4</t>
  </si>
  <si>
    <t>ALLS1AS7C3256A-12TINTRALL5</t>
  </si>
  <si>
    <t>INFS1FS1150R08A8P3LMCHPSA1INF9</t>
  </si>
  <si>
    <t>TAIS1LBC3225T101MRTAI1</t>
  </si>
  <si>
    <t>MURS1GRM188R71E474KA12DMUR8</t>
  </si>
  <si>
    <t>AVXS104025A120FAT2AAVX0</t>
  </si>
  <si>
    <t>MOLS139523-2004MOL9</t>
  </si>
  <si>
    <t>MICS1SST25VF010A-33-4I-SAE-TMIC4</t>
  </si>
  <si>
    <t>TDKS1REPAIRTDK5</t>
  </si>
  <si>
    <t>TDK5</t>
  </si>
  <si>
    <t>SMI1</t>
  </si>
  <si>
    <t>KEMS1C1210C106K5RACTUKEM5</t>
  </si>
  <si>
    <t>VISS1SMBJ24A-E3/52VIS0</t>
  </si>
  <si>
    <t>DELS13000078798726DEL4</t>
  </si>
  <si>
    <t>SMIS144X3472SMI1</t>
  </si>
  <si>
    <t>SOUS1CHIPI-X10SOU4</t>
  </si>
  <si>
    <t>EATS1CTX01-18056-REAT4</t>
  </si>
  <si>
    <t>EATS1GMA-250-REAT4</t>
  </si>
  <si>
    <t>NECS1E243F-BKNEC3</t>
  </si>
  <si>
    <t>NEC3</t>
  </si>
  <si>
    <t>SEMS11N6172AUSJANTXVSEM5</t>
  </si>
  <si>
    <t>SEM5</t>
  </si>
  <si>
    <t>INFS1CY62157EV30LL-45ZSXITINF3</t>
  </si>
  <si>
    <t>INF3</t>
  </si>
  <si>
    <t>NICS1NMC0603X7R104K25TRPFNIC6</t>
  </si>
  <si>
    <t>SUMS1MISC FEESUM7</t>
  </si>
  <si>
    <t>MICS1PIC16F630T-I/ST052MIC4</t>
  </si>
  <si>
    <t>MICS1MT41K256M16TW-107 IT:PMIC0</t>
  </si>
  <si>
    <t>SCHS10034.6018SCH0</t>
  </si>
  <si>
    <t>FUJS1FTP-68EMP0524-RFUJ5</t>
  </si>
  <si>
    <t>MURS1GRM1555C1H102JA01DMUR8</t>
  </si>
  <si>
    <t>PO4417116537</t>
  </si>
  <si>
    <t>SO91137216537</t>
  </si>
  <si>
    <t>ON S1FSV20100VON 9</t>
  </si>
  <si>
    <t>AMPS1D38999/20FC4PNAMP7</t>
  </si>
  <si>
    <t>AMPS1D38999/20FG35SNAMP7</t>
  </si>
  <si>
    <t>AMPS1D38999/26FE35PNAMP7</t>
  </si>
  <si>
    <t>MOLS139880-0305MOL9</t>
  </si>
  <si>
    <t>NXPS1AFT05MS031GNR1NXP0</t>
  </si>
  <si>
    <t>KONS138116-0000-00-5KON9</t>
  </si>
  <si>
    <t>VIS1</t>
  </si>
  <si>
    <t>INFS1FS01MR08A8MA2LMCHPSA1INF9</t>
  </si>
  <si>
    <t>AVIS1AES-ZU7EV-1-SOM-I-GAVI7</t>
  </si>
  <si>
    <t>AVI7</t>
  </si>
  <si>
    <t>AVIS1AES-ZUEV-CC-GAVI7</t>
  </si>
  <si>
    <t>SCHS1PNET1GBSCH7</t>
  </si>
  <si>
    <t>ON S1FDV303NON 9</t>
  </si>
  <si>
    <t>XILS1DS-XPA-50KXIL5</t>
  </si>
  <si>
    <t>VISS1TR3E227K016C0100VIS9</t>
  </si>
  <si>
    <t>KONS136099-0000-99-4KON9</t>
  </si>
  <si>
    <t>XILS1EFR-DI-TEMAC-SITEXIL5</t>
  </si>
  <si>
    <t>VISS1VJ0402D1R3VXCAJVIS1</t>
  </si>
  <si>
    <t>KONS138017-0000-00-5KON9</t>
  </si>
  <si>
    <t>INFS1JANTX2N7228INF0</t>
  </si>
  <si>
    <t>SAMS1DW-12-13-G-S-750-LLSAM2</t>
  </si>
  <si>
    <t>STMS1ST-LINK/V2STM6</t>
  </si>
  <si>
    <t>AVXS11206GC102KAT1AAVX0</t>
  </si>
  <si>
    <t>MICS1MT25QU01GBBB8ESF-0AAT TRMIC0</t>
  </si>
  <si>
    <t>MICS1884-00364-100PKMIC6</t>
  </si>
  <si>
    <t>MICS1TC1232EPAMIC4</t>
  </si>
  <si>
    <t>STMS1UC3844BD1013TRSTM6</t>
  </si>
  <si>
    <t>ON S1CAT24C08TDI-GT3ON 9</t>
  </si>
  <si>
    <t>SAMS1SSM-105-L-DV-BE-K-TRSAM2</t>
  </si>
  <si>
    <t>NICS1NAZT221M16V6.3X8NLBFNIC6</t>
  </si>
  <si>
    <t>PANS1ECQ-E2155KBPAN4</t>
  </si>
  <si>
    <t>MURS1DLW5BTM102SQ2LMUR8</t>
  </si>
  <si>
    <t>MICS1MT25QL128ABA8E12-0SIT TRMIC0</t>
  </si>
  <si>
    <t>SAMS1TSM-103-01-L-SV-P-TRSAM2</t>
  </si>
  <si>
    <t>MURS1GRM188R71A225KE15DMUR8</t>
  </si>
  <si>
    <t>TDKS1C3216X5R1H106K160ABTDK9</t>
  </si>
  <si>
    <t>KEMS1R82MC1470AA50JKEM5</t>
  </si>
  <si>
    <t>COPS1CAS-220TBCOP1</t>
  </si>
  <si>
    <t>ON S1NXH006P120MNF2PTGON 9</t>
  </si>
  <si>
    <t>ON S1MMSZ4699T1GON 9</t>
  </si>
  <si>
    <t>AVXS10603YC104KAT2AAVX0</t>
  </si>
  <si>
    <t>BELS10826-1A1T-23-FBEL7</t>
  </si>
  <si>
    <t>MOLS1130143-0153MOL9</t>
  </si>
  <si>
    <t>AVNS1MISC CHARGEAVN7</t>
  </si>
  <si>
    <t>ON S1FDG6317NZON 9</t>
  </si>
  <si>
    <t>ADVS1100-000001910ADV4</t>
  </si>
  <si>
    <t>ADV4</t>
  </si>
  <si>
    <t>SENS1100% SCREENINGSEN1</t>
  </si>
  <si>
    <t>SEN1</t>
  </si>
  <si>
    <t>SENS1SEN-6372SEN1</t>
  </si>
  <si>
    <t>AVXS112101C105KAZ2AAVX0</t>
  </si>
  <si>
    <t>AMPS1D38999/26FF35PNAMP7</t>
  </si>
  <si>
    <t>AVXS108055C103KAT2AAVX0</t>
  </si>
  <si>
    <t>SAMS1CL31B105KOFNNNESAM0</t>
  </si>
  <si>
    <t>BITS1AV-870P-0001BIT9</t>
  </si>
  <si>
    <t>KEMS1C0603C471J5GACTUKEM5</t>
  </si>
  <si>
    <t>COHS1FTCE3327R1CCLCOH7</t>
  </si>
  <si>
    <t>COH7</t>
  </si>
  <si>
    <t>KEMS1T530X337M010AHE010KEM5</t>
  </si>
  <si>
    <t>MARS1DB-88Q5192-D0-1MAR0</t>
  </si>
  <si>
    <t>ON S1NXH020U90MNF2PTGON 9</t>
  </si>
  <si>
    <t>AVXS104025A101KAT2AAVX0</t>
  </si>
  <si>
    <t>PO0729274794</t>
  </si>
  <si>
    <t>SO91160174794</t>
  </si>
  <si>
    <t>PO1107565183</t>
  </si>
  <si>
    <t>SO91160765183</t>
  </si>
  <si>
    <t>MURS1GRM188R60J226MEA0DMUR8</t>
  </si>
  <si>
    <t>CONS1016160CON2</t>
  </si>
  <si>
    <t>CON2</t>
  </si>
  <si>
    <t>Evan Franklin</t>
  </si>
  <si>
    <t>HALL 0147</t>
  </si>
  <si>
    <t>D.E. 2428</t>
  </si>
  <si>
    <t>PO2100354362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</si>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</sst>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141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5" t="s">
        <v>40</v>
      </c>
      <c r="AE1" s="5" t="s">
        <v>41</v>
      </c>
    </row>
    <row r="2" spans="1:31" x14ac:dyDescent="0.3">
      <c r="A2">
        <v>177</v>
      </c>
      <c r="B2">
        <v>4407234</v>
      </c>
      <c r="C2" t="s">
        <v>42</v>
      </c>
      <c r="D2">
        <v>1143963</v>
      </c>
      <c r="E2" t="s">
        <v>71</v>
      </c>
      <c r="F2" t="s">
        <v>21</v>
      </c>
      <c r="G2" t="s">
        <v>223</v>
      </c>
      <c r="H2" t="s">
        <v>224</v>
      </c>
      <c r="I2" s="9" t="s">
        <v>324</v>
      </c>
      <c r="J2" s="9">
        <v>51162969955</v>
      </c>
      <c r="K2" s="14" t="s">
        <v>405</v>
      </c>
      <c r="L2" s="13" t="s">
        <v>435</v>
      </c>
      <c r="M2" s="14">
        <v>90</v>
      </c>
      <c r="N2" s="14">
        <v>307.83999999999997</v>
      </c>
      <c r="O2" s="10">
        <f t="shared" ref="O2" si="0">M2*N2</f>
        <v>27705.599999999999</v>
      </c>
      <c r="P2" s="11">
        <v>0</v>
      </c>
      <c r="Q2" s="11">
        <v>0</v>
      </c>
      <c r="R2" s="10">
        <f>IF(COUNTIF($J$2:J2,J2)=1,SUMIFS($O:$O,$J:$J,J2)+SUMIFS($P:$P,$J:$J,J2)+SUMIFS($Q:$Q,$J:$J,J2),"")</f>
        <v>27705.599999999999</v>
      </c>
      <c r="S2" s="10">
        <v>32323.200000000001</v>
      </c>
      <c r="T2" s="11" t="str">
        <f>IFERROR(INDEX(AD:AD,MATCH(J2,J:J,0)),"")</f>
        <v>Check</v>
      </c>
      <c r="U2" s="12">
        <v>45973</v>
      </c>
      <c r="V2" s="10">
        <v>969.7</v>
      </c>
      <c r="W2" s="10" t="str">
        <f t="shared" ref="W2" si="1">IF(OR(S2="",V2=""),"N/A",IF(S2&lt;&gt;V2,"Short Paid","Not Paid"))</f>
        <v>Short Paid</v>
      </c>
      <c r="X2" t="s">
        <v>61</v>
      </c>
      <c r="Y2" t="s">
        <v>33</v>
      </c>
      <c r="Z2">
        <v>100149</v>
      </c>
      <c r="AA2" t="s">
        <v>254</v>
      </c>
      <c r="AB2" t="s">
        <v>247</v>
      </c>
      <c r="AC2" s="9">
        <f>COUNTIF(J:J,J2)</f>
        <v>1</v>
      </c>
      <c r="AD2" s="9" t="str">
        <f t="shared" ref="AD2" si="2">IF(AND(R2="",S2=""),"N/A",IF(R2=S2,"Ok","Check"))</f>
        <v>Check</v>
      </c>
      <c r="AE2" s="11">
        <f t="shared" ref="AE2" si="3">R2-S2</f>
        <v>-4617.6000000000022</v>
      </c>
    </row>
    <row r="3" spans="1:31" x14ac:dyDescent="0.3">
      <c r="A3">
        <v>113</v>
      </c>
      <c r="B3">
        <v>4437501</v>
      </c>
      <c r="C3" t="s">
        <v>42</v>
      </c>
      <c r="D3">
        <v>1187239</v>
      </c>
      <c r="E3" t="s">
        <v>72</v>
      </c>
      <c r="F3" t="s">
        <v>19</v>
      </c>
      <c r="G3" t="s">
        <v>225</v>
      </c>
      <c r="H3" t="s">
        <v>226</v>
      </c>
      <c r="I3" s="9" t="s">
        <v>357</v>
      </c>
      <c r="J3" s="9">
        <v>54108059020</v>
      </c>
      <c r="K3" s="14" t="s">
        <v>355</v>
      </c>
      <c r="L3" s="13" t="s">
        <v>440</v>
      </c>
      <c r="M3" s="14">
        <v>3000</v>
      </c>
      <c r="N3" s="14">
        <v>0.18</v>
      </c>
      <c r="O3" s="10">
        <f t="shared" ref="O3:O4" si="4">M3*N3</f>
        <v>540</v>
      </c>
      <c r="P3" s="11">
        <v>0</v>
      </c>
      <c r="Q3" s="11">
        <v>0</v>
      </c>
      <c r="R3" s="10">
        <f>IF(COUNTIF($J$2:J3,J3)=1,SUMIFS($O:$O,$J:$J,J3)+SUMIFS($P:$P,$J:$J,J3)+SUMIFS($Q:$Q,$J:$J,J3),"")</f>
        <v>540</v>
      </c>
      <c r="S3" s="10">
        <v>540</v>
      </c>
      <c r="T3" s="11" t="str">
        <f>IFERROR(INDEX(AD:AD,MATCH(J3,J:J,0)),"")</f>
        <v>Ok</v>
      </c>
      <c r="U3" s="12">
        <v>45931</v>
      </c>
      <c r="V3" s="10">
        <v>540</v>
      </c>
      <c r="W3" s="10" t="str">
        <f t="shared" ref="W3:W4" si="5">IF(OR(S3="",V3=""),"N/A",IF(S3&lt;&gt;V3,"Short Paid","Not Paid"))</f>
        <v>Not Paid</v>
      </c>
      <c r="X3" t="s">
        <v>58</v>
      </c>
      <c r="Y3" t="s">
        <v>24</v>
      </c>
      <c r="Z3">
        <v>100234</v>
      </c>
      <c r="AA3" t="s">
        <v>62</v>
      </c>
      <c r="AB3" t="s">
        <v>66</v>
      </c>
      <c r="AC3" s="9">
        <f>COUNTIF(J:J,J3)</f>
        <v>1</v>
      </c>
      <c r="AD3" s="9" t="str">
        <f t="shared" ref="AD3:AD4" si="6">IF(AND(R3="",S3=""),"N/A",IF(R3=S3,"Ok","Check"))</f>
        <v>Ok</v>
      </c>
      <c r="AE3" s="11">
        <f t="shared" ref="AE3:AE4" si="7">R3-S3</f>
        <v>0</v>
      </c>
    </row>
    <row r="4" spans="1:31" x14ac:dyDescent="0.3">
      <c r="A4">
        <v>113</v>
      </c>
      <c r="B4">
        <v>4437121</v>
      </c>
      <c r="C4" t="s">
        <v>42</v>
      </c>
      <c r="D4">
        <v>1187239</v>
      </c>
      <c r="E4" t="s">
        <v>72</v>
      </c>
      <c r="F4" t="s">
        <v>19</v>
      </c>
      <c r="G4" t="s">
        <v>227</v>
      </c>
      <c r="H4" t="s">
        <v>228</v>
      </c>
      <c r="I4" s="9" t="s">
        <v>298</v>
      </c>
      <c r="J4" s="9">
        <v>51164692729</v>
      </c>
      <c r="K4" s="14" t="s">
        <v>335</v>
      </c>
      <c r="L4" s="13" t="s">
        <v>438</v>
      </c>
      <c r="M4" s="14">
        <v>5200</v>
      </c>
      <c r="N4" s="14">
        <v>3</v>
      </c>
      <c r="O4" s="10">
        <f t="shared" si="4"/>
        <v>15600</v>
      </c>
      <c r="P4" s="11">
        <v>0</v>
      </c>
      <c r="Q4" s="11">
        <v>0</v>
      </c>
      <c r="R4" s="10">
        <f>IF(COUNTIF($J$2:J4,J4)=1,SUMIFS($O:$O,$J:$J,J4)+SUMIFS($P:$P,$J:$J,J4)+SUMIFS($Q:$Q,$J:$J,J4),"")</f>
        <v>15600</v>
      </c>
      <c r="S4" s="10">
        <v>17940</v>
      </c>
      <c r="T4" s="11" t="str">
        <f>IFERROR(INDEX(AD:AD,MATCH(J4,J:J,0)),"")</f>
        <v>Check</v>
      </c>
      <c r="U4" s="12">
        <v>45931</v>
      </c>
      <c r="V4" s="10">
        <v>17940</v>
      </c>
      <c r="W4" s="10" t="str">
        <f t="shared" si="5"/>
        <v>Not Paid</v>
      </c>
      <c r="X4" t="s">
        <v>58</v>
      </c>
      <c r="Y4" t="s">
        <v>24</v>
      </c>
      <c r="Z4">
        <v>100244</v>
      </c>
      <c r="AA4" t="s">
        <v>60</v>
      </c>
      <c r="AB4" t="s">
        <v>66</v>
      </c>
      <c r="AC4" s="9">
        <f>COUNTIF(J:J,J4)</f>
        <v>1</v>
      </c>
      <c r="AD4" s="9" t="str">
        <f t="shared" si="6"/>
        <v>Check</v>
      </c>
      <c r="AE4" s="11">
        <f t="shared" si="7"/>
        <v>-2340</v>
      </c>
    </row>
    <row r="5" spans="1:31" x14ac:dyDescent="0.3">
      <c r="A5">
        <v>93</v>
      </c>
      <c r="B5">
        <v>4568388</v>
      </c>
      <c r="C5" t="s">
        <v>42</v>
      </c>
      <c r="D5">
        <v>1588891</v>
      </c>
      <c r="E5" t="s">
        <v>43</v>
      </c>
      <c r="F5" t="s">
        <v>19</v>
      </c>
      <c r="G5" t="s">
        <v>231</v>
      </c>
      <c r="H5" t="s">
        <v>232</v>
      </c>
      <c r="I5" t="s">
        <v>397</v>
      </c>
      <c r="J5">
        <v>50113163492</v>
      </c>
      <c r="K5" t="s">
        <v>261</v>
      </c>
      <c r="L5" t="s">
        <v>260</v>
      </c>
      <c r="M5">
        <v>3000</v>
      </c>
      <c r="N5" s="10">
        <v>6.5799999999999997E-2</v>
      </c>
      <c r="O5" s="10">
        <f t="shared" ref="O5:O16" si="8">M5*N5</f>
        <v>197.4</v>
      </c>
      <c r="P5" s="10">
        <v>0</v>
      </c>
      <c r="Q5" s="10">
        <v>0</v>
      </c>
      <c r="R5" s="10">
        <f>IF(COUNTIF($J$2:J5,J5)=1,SUMIFS($O:$O,$J:$J,J5)+SUMIFS($P:$P,$J:$J,J5)+SUMIFS($Q:$Q,$J:$J,J5),"")</f>
        <v>897.4</v>
      </c>
      <c r="S5" s="10">
        <v>1255.8</v>
      </c>
      <c r="T5" s="11" t="str">
        <f>IFERROR(INDEX(AD:AD,MATCH(J5,J:J,0)),"")</f>
        <v>Check</v>
      </c>
      <c r="U5" s="12">
        <v>45777</v>
      </c>
      <c r="V5" s="10">
        <v>394.8</v>
      </c>
      <c r="W5" s="10" t="str">
        <f t="shared" ref="W5:W16" si="9">IF(OR(S5="",V5=""),"N/A",IF(S5&lt;&gt;V5,"Short Paid","Not Paid"))</f>
        <v>Short Paid</v>
      </c>
      <c r="X5" t="s">
        <v>47</v>
      </c>
      <c r="Y5" t="s">
        <v>24</v>
      </c>
      <c r="Z5">
        <v>100243</v>
      </c>
      <c r="AA5" t="s">
        <v>54</v>
      </c>
      <c r="AB5" t="s">
        <v>66</v>
      </c>
      <c r="AC5" s="9">
        <v>2</v>
      </c>
      <c r="AD5" s="9" t="str">
        <f t="shared" ref="AD5:AD16" si="10">IF(AND(R5="",S5=""),"N/A",IF(R5=S5,"Ok","Check"))</f>
        <v>Check</v>
      </c>
      <c r="AE5" s="11">
        <f t="shared" ref="AE5:AE16" si="11">R5-S5</f>
        <v>-358.4</v>
      </c>
    </row>
    <row r="6" spans="1:31" x14ac:dyDescent="0.3">
      <c r="A6">
        <v>93</v>
      </c>
      <c r="B6">
        <v>4568388</v>
      </c>
      <c r="C6" t="s">
        <v>42</v>
      </c>
      <c r="D6">
        <v>1588891</v>
      </c>
      <c r="E6" t="s">
        <v>43</v>
      </c>
      <c r="F6" t="s">
        <v>19</v>
      </c>
      <c r="G6" t="s">
        <v>231</v>
      </c>
      <c r="H6" t="s">
        <v>232</v>
      </c>
      <c r="I6" t="s">
        <v>324</v>
      </c>
      <c r="J6">
        <v>50113163492</v>
      </c>
      <c r="K6" t="s">
        <v>266</v>
      </c>
      <c r="L6" t="s">
        <v>442</v>
      </c>
      <c r="M6">
        <v>500</v>
      </c>
      <c r="N6" s="10">
        <v>1.4</v>
      </c>
      <c r="O6" s="10">
        <f t="shared" si="8"/>
        <v>700</v>
      </c>
      <c r="P6" s="10" t="s">
        <v>562</v>
      </c>
      <c r="Q6" s="10" t="s">
        <v>562</v>
      </c>
      <c r="R6" s="10" t="str">
        <f>IF(COUNTIF($J$2:J6,J6)=1,SUMIFS($O:$O,$J:$J,J6)+SUMIFS($P:$P,$J:$J,J6)+SUMIFS($Q:$Q,$J:$J,J6),"")</f>
        <v/>
      </c>
      <c r="S6" s="10" t="s">
        <v>562</v>
      </c>
      <c r="T6" s="11" t="str">
        <f>IFERROR(INDEX(AD:AD,MATCH(J6,J:J,0)),"")</f>
        <v>Check</v>
      </c>
      <c r="U6" s="12">
        <v>45777</v>
      </c>
      <c r="V6" s="10">
        <v>394.8</v>
      </c>
      <c r="W6" s="10" t="str">
        <f t="shared" si="9"/>
        <v>N/A</v>
      </c>
      <c r="X6" t="s">
        <v>47</v>
      </c>
      <c r="Y6" t="s">
        <v>24</v>
      </c>
      <c r="Z6">
        <v>100243</v>
      </c>
      <c r="AA6" t="s">
        <v>54</v>
      </c>
      <c r="AB6" t="s">
        <v>66</v>
      </c>
      <c r="AC6" s="9">
        <v>2</v>
      </c>
      <c r="AD6" s="9" t="str">
        <f t="shared" si="10"/>
        <v>N/A</v>
      </c>
      <c r="AE6" s="11" t="e">
        <f t="shared" si="11"/>
        <v>#VALUE!</v>
      </c>
    </row>
    <row r="7" spans="1:31" x14ac:dyDescent="0.3">
      <c r="A7">
        <v>93</v>
      </c>
      <c r="B7">
        <v>4569779</v>
      </c>
      <c r="C7" t="s">
        <v>42</v>
      </c>
      <c r="D7">
        <v>1588891</v>
      </c>
      <c r="E7" t="s">
        <v>43</v>
      </c>
      <c r="F7" t="s">
        <v>19</v>
      </c>
      <c r="G7" t="s">
        <v>87</v>
      </c>
      <c r="H7" t="s">
        <v>88</v>
      </c>
      <c r="I7" t="s">
        <v>321</v>
      </c>
      <c r="J7">
        <v>50113288007</v>
      </c>
      <c r="K7" t="s">
        <v>266</v>
      </c>
      <c r="L7" t="s">
        <v>443</v>
      </c>
      <c r="M7">
        <v>16</v>
      </c>
      <c r="N7" s="10">
        <v>157.03</v>
      </c>
      <c r="O7" s="10">
        <f t="shared" si="8"/>
        <v>2512.48</v>
      </c>
      <c r="P7" s="10">
        <v>0</v>
      </c>
      <c r="Q7" s="10">
        <v>0</v>
      </c>
      <c r="R7" s="10">
        <f>IF(COUNTIF($J$2:J7,J7)=1,SUMIFS($O:$O,$J:$J,J7)+SUMIFS($P:$P,$J:$J,J7)+SUMIFS($Q:$Q,$J:$J,J7),"")</f>
        <v>2644.08</v>
      </c>
      <c r="S7" s="10">
        <v>5156.5600000000004</v>
      </c>
      <c r="T7" s="11" t="str">
        <f>IFERROR(INDEX(AD:AD,MATCH(J7,J:J,0)),"")</f>
        <v>Check</v>
      </c>
      <c r="U7" s="12">
        <v>45692</v>
      </c>
      <c r="V7" s="10">
        <v>131.6</v>
      </c>
      <c r="W7" s="10" t="str">
        <f t="shared" si="9"/>
        <v>Short Paid</v>
      </c>
      <c r="X7" t="s">
        <v>47</v>
      </c>
      <c r="Y7" t="s">
        <v>24</v>
      </c>
      <c r="Z7">
        <v>100153</v>
      </c>
      <c r="AA7" t="s">
        <v>53</v>
      </c>
      <c r="AB7" t="s">
        <v>66</v>
      </c>
      <c r="AC7" s="9">
        <v>2</v>
      </c>
      <c r="AD7" s="9" t="str">
        <f t="shared" si="10"/>
        <v>Check</v>
      </c>
      <c r="AE7" s="11">
        <f t="shared" si="11"/>
        <v>-2512.4800000000005</v>
      </c>
    </row>
    <row r="8" spans="1:31" x14ac:dyDescent="0.3">
      <c r="A8">
        <v>93</v>
      </c>
      <c r="B8">
        <v>4569779</v>
      </c>
      <c r="C8" t="s">
        <v>42</v>
      </c>
      <c r="D8">
        <v>1588891</v>
      </c>
      <c r="E8" t="s">
        <v>43</v>
      </c>
      <c r="F8" t="s">
        <v>19</v>
      </c>
      <c r="G8" t="s">
        <v>87</v>
      </c>
      <c r="H8" t="s">
        <v>88</v>
      </c>
      <c r="I8" t="s">
        <v>299</v>
      </c>
      <c r="J8">
        <v>50113288007</v>
      </c>
      <c r="K8" t="s">
        <v>261</v>
      </c>
      <c r="L8" t="s">
        <v>260</v>
      </c>
      <c r="M8">
        <v>2000</v>
      </c>
      <c r="N8" s="10">
        <v>6.5799999999999997E-2</v>
      </c>
      <c r="O8" s="10">
        <f t="shared" si="8"/>
        <v>131.6</v>
      </c>
      <c r="P8" s="10" t="s">
        <v>562</v>
      </c>
      <c r="Q8" s="10" t="s">
        <v>562</v>
      </c>
      <c r="R8" s="10" t="str">
        <f>IF(COUNTIF($J$2:J8,J8)=1,SUMIFS($O:$O,$J:$J,J8)+SUMIFS($P:$P,$J:$J,J8)+SUMIFS($Q:$Q,$J:$J,J8),"")</f>
        <v/>
      </c>
      <c r="S8" s="10" t="s">
        <v>562</v>
      </c>
      <c r="T8" s="11" t="str">
        <f>IFERROR(INDEX(AD:AD,MATCH(J8,J:J,0)),"")</f>
        <v>Check</v>
      </c>
      <c r="U8" s="12">
        <v>45692</v>
      </c>
      <c r="V8" s="10">
        <v>131.6</v>
      </c>
      <c r="W8" s="10" t="str">
        <f t="shared" si="9"/>
        <v>N/A</v>
      </c>
      <c r="X8" t="s">
        <v>47</v>
      </c>
      <c r="Y8" t="s">
        <v>24</v>
      </c>
      <c r="Z8">
        <v>100153</v>
      </c>
      <c r="AA8" t="s">
        <v>53</v>
      </c>
      <c r="AB8" t="s">
        <v>66</v>
      </c>
      <c r="AC8" s="9">
        <v>2</v>
      </c>
      <c r="AD8" s="9" t="str">
        <f t="shared" si="10"/>
        <v>N/A</v>
      </c>
      <c r="AE8" s="11" t="e">
        <f t="shared" si="11"/>
        <v>#VALUE!</v>
      </c>
    </row>
    <row r="9" spans="1:31" x14ac:dyDescent="0.3">
      <c r="A9">
        <v>93</v>
      </c>
      <c r="B9">
        <v>4570336</v>
      </c>
      <c r="C9" t="s">
        <v>42</v>
      </c>
      <c r="D9">
        <v>1588891</v>
      </c>
      <c r="E9" t="s">
        <v>43</v>
      </c>
      <c r="F9" t="s">
        <v>19</v>
      </c>
      <c r="G9" t="s">
        <v>89</v>
      </c>
      <c r="H9" t="s">
        <v>90</v>
      </c>
      <c r="I9" t="s">
        <v>334</v>
      </c>
      <c r="J9">
        <v>50113396785</v>
      </c>
      <c r="K9" t="s">
        <v>266</v>
      </c>
      <c r="L9" t="s">
        <v>444</v>
      </c>
      <c r="M9">
        <v>30</v>
      </c>
      <c r="N9" s="10">
        <v>5.3</v>
      </c>
      <c r="O9" s="10">
        <f t="shared" si="8"/>
        <v>159</v>
      </c>
      <c r="P9" s="10">
        <v>0</v>
      </c>
      <c r="Q9" s="10">
        <v>0</v>
      </c>
      <c r="R9" s="10">
        <f>IF(COUNTIF($J$2:J9,J9)=1,SUMIFS($O:$O,$J:$J,J9)+SUMIFS($P:$P,$J:$J,J9)+SUMIFS($Q:$Q,$J:$J,J9),"")</f>
        <v>553.79999999999995</v>
      </c>
      <c r="S9" s="10">
        <v>712.8</v>
      </c>
      <c r="T9" s="11" t="str">
        <f>IFERROR(INDEX(AD:AD,MATCH(J9,J:J,0)),"")</f>
        <v>Check</v>
      </c>
      <c r="U9" s="12">
        <v>45862</v>
      </c>
      <c r="V9" s="10">
        <v>394.8</v>
      </c>
      <c r="W9" s="10" t="str">
        <f t="shared" si="9"/>
        <v>Short Paid</v>
      </c>
      <c r="X9" t="s">
        <v>47</v>
      </c>
      <c r="Y9" t="s">
        <v>24</v>
      </c>
      <c r="Z9">
        <v>100193</v>
      </c>
      <c r="AA9" t="s">
        <v>50</v>
      </c>
      <c r="AB9" t="s">
        <v>66</v>
      </c>
      <c r="AC9" s="9">
        <v>2</v>
      </c>
      <c r="AD9" s="9" t="str">
        <f t="shared" si="10"/>
        <v>Check</v>
      </c>
      <c r="AE9" s="11">
        <f t="shared" si="11"/>
        <v>-159</v>
      </c>
    </row>
    <row r="10" spans="1:31" x14ac:dyDescent="0.3">
      <c r="A10">
        <v>93</v>
      </c>
      <c r="B10">
        <v>4570336</v>
      </c>
      <c r="C10" t="s">
        <v>42</v>
      </c>
      <c r="D10">
        <v>1588891</v>
      </c>
      <c r="E10" t="s">
        <v>43</v>
      </c>
      <c r="F10" t="s">
        <v>19</v>
      </c>
      <c r="G10" t="s">
        <v>89</v>
      </c>
      <c r="H10" t="s">
        <v>90</v>
      </c>
      <c r="I10" t="s">
        <v>290</v>
      </c>
      <c r="J10">
        <v>50113396785</v>
      </c>
      <c r="K10" t="s">
        <v>261</v>
      </c>
      <c r="L10" t="s">
        <v>260</v>
      </c>
      <c r="M10">
        <v>6000</v>
      </c>
      <c r="N10" s="10">
        <v>6.5799999999999997E-2</v>
      </c>
      <c r="O10" s="10">
        <f t="shared" si="8"/>
        <v>394.8</v>
      </c>
      <c r="P10" s="10" t="s">
        <v>562</v>
      </c>
      <c r="Q10" s="10" t="s">
        <v>562</v>
      </c>
      <c r="R10" s="10" t="str">
        <f>IF(COUNTIF($J$2:J10,J10)=1,SUMIFS($O:$O,$J:$J,J10)+SUMIFS($P:$P,$J:$J,J10)+SUMIFS($Q:$Q,$J:$J,J10),"")</f>
        <v/>
      </c>
      <c r="S10" s="10" t="s">
        <v>562</v>
      </c>
      <c r="T10" s="11" t="str">
        <f>IFERROR(INDEX(AD:AD,MATCH(J10,J:J,0)),"")</f>
        <v>Check</v>
      </c>
      <c r="U10" s="12">
        <v>45862</v>
      </c>
      <c r="V10" s="10">
        <v>394.8</v>
      </c>
      <c r="W10" s="10" t="str">
        <f t="shared" si="9"/>
        <v>N/A</v>
      </c>
      <c r="X10" t="s">
        <v>47</v>
      </c>
      <c r="Y10" t="s">
        <v>24</v>
      </c>
      <c r="Z10">
        <v>100193</v>
      </c>
      <c r="AA10" t="s">
        <v>50</v>
      </c>
      <c r="AB10" t="s">
        <v>66</v>
      </c>
      <c r="AC10" s="9">
        <v>2</v>
      </c>
      <c r="AD10" s="9" t="str">
        <f t="shared" si="10"/>
        <v>N/A</v>
      </c>
      <c r="AE10" s="11" t="e">
        <f t="shared" si="11"/>
        <v>#VALUE!</v>
      </c>
    </row>
    <row r="11" spans="1:31" x14ac:dyDescent="0.3">
      <c r="A11">
        <v>93</v>
      </c>
      <c r="B11">
        <v>4575345</v>
      </c>
      <c r="C11" t="s">
        <v>42</v>
      </c>
      <c r="D11">
        <v>1588891</v>
      </c>
      <c r="E11" t="s">
        <v>43</v>
      </c>
      <c r="F11" t="s">
        <v>19</v>
      </c>
      <c r="G11" t="s">
        <v>117</v>
      </c>
      <c r="H11" t="s">
        <v>118</v>
      </c>
      <c r="I11" t="s">
        <v>258</v>
      </c>
      <c r="J11">
        <v>50113969717</v>
      </c>
      <c r="K11" t="s">
        <v>329</v>
      </c>
      <c r="L11" t="s">
        <v>445</v>
      </c>
      <c r="M11">
        <v>7</v>
      </c>
      <c r="N11" s="10">
        <v>661.84</v>
      </c>
      <c r="O11" s="10">
        <f t="shared" si="8"/>
        <v>4632.88</v>
      </c>
      <c r="P11" s="10">
        <v>0</v>
      </c>
      <c r="Q11" s="10">
        <v>0</v>
      </c>
      <c r="R11" s="10">
        <f>IF(COUNTIF($J$2:J11,J11)=1,SUMIFS($O:$O,$J:$J,J11)+SUMIFS($P:$P,$J:$J,J11)+SUMIFS($Q:$Q,$J:$J,J11),"")</f>
        <v>13160.880000000001</v>
      </c>
      <c r="S11" s="10">
        <v>13160.880000000001</v>
      </c>
      <c r="T11" s="11" t="str">
        <f>IFERROR(INDEX(AD:AD,MATCH(J11,J:J,0)),"")</f>
        <v>Ok</v>
      </c>
      <c r="U11" s="12">
        <v>45813</v>
      </c>
      <c r="V11" s="10">
        <v>8528</v>
      </c>
      <c r="W11" s="10" t="str">
        <f t="shared" si="9"/>
        <v>Short Paid</v>
      </c>
      <c r="X11" t="s">
        <v>47</v>
      </c>
      <c r="Y11" t="s">
        <v>24</v>
      </c>
      <c r="Z11">
        <v>100153</v>
      </c>
      <c r="AA11" t="s">
        <v>53</v>
      </c>
      <c r="AB11" t="s">
        <v>66</v>
      </c>
      <c r="AC11" s="9">
        <v>2</v>
      </c>
      <c r="AD11" s="9" t="str">
        <f t="shared" si="10"/>
        <v>Ok</v>
      </c>
      <c r="AE11" s="11">
        <f t="shared" si="11"/>
        <v>0</v>
      </c>
    </row>
    <row r="12" spans="1:31" x14ac:dyDescent="0.3">
      <c r="A12">
        <v>93</v>
      </c>
      <c r="B12">
        <v>4575345</v>
      </c>
      <c r="C12" t="s">
        <v>42</v>
      </c>
      <c r="D12">
        <v>1588891</v>
      </c>
      <c r="E12" t="s">
        <v>43</v>
      </c>
      <c r="F12" t="s">
        <v>19</v>
      </c>
      <c r="G12" t="s">
        <v>117</v>
      </c>
      <c r="H12" t="s">
        <v>118</v>
      </c>
      <c r="I12" t="s">
        <v>315</v>
      </c>
      <c r="J12">
        <v>50113969717</v>
      </c>
      <c r="K12" t="s">
        <v>264</v>
      </c>
      <c r="L12" t="s">
        <v>263</v>
      </c>
      <c r="M12">
        <v>8000</v>
      </c>
      <c r="N12" s="10">
        <v>1.0660000000000001</v>
      </c>
      <c r="O12" s="10">
        <f t="shared" si="8"/>
        <v>8528</v>
      </c>
      <c r="P12" s="10" t="s">
        <v>562</v>
      </c>
      <c r="Q12" s="10" t="s">
        <v>562</v>
      </c>
      <c r="R12" s="10" t="str">
        <f>IF(COUNTIF($J$2:J12,J12)=1,SUMIFS($O:$O,$J:$J,J12)+SUMIFS($P:$P,$J:$J,J12)+SUMIFS($Q:$Q,$J:$J,J12),"")</f>
        <v/>
      </c>
      <c r="S12" s="10" t="s">
        <v>562</v>
      </c>
      <c r="T12" s="11" t="str">
        <f>IFERROR(INDEX(AD:AD,MATCH(J12,J:J,0)),"")</f>
        <v>Ok</v>
      </c>
      <c r="U12" s="12">
        <v>45813</v>
      </c>
      <c r="V12" s="10">
        <v>8528</v>
      </c>
      <c r="W12" s="10" t="str">
        <f t="shared" si="9"/>
        <v>N/A</v>
      </c>
      <c r="X12" t="s">
        <v>47</v>
      </c>
      <c r="Y12" t="s">
        <v>24</v>
      </c>
      <c r="Z12">
        <v>100153</v>
      </c>
      <c r="AA12" t="s">
        <v>53</v>
      </c>
      <c r="AB12" t="s">
        <v>66</v>
      </c>
      <c r="AC12" s="9">
        <v>2</v>
      </c>
      <c r="AD12" s="9" t="str">
        <f t="shared" si="10"/>
        <v>N/A</v>
      </c>
      <c r="AE12" s="11" t="e">
        <f t="shared" si="11"/>
        <v>#VALUE!</v>
      </c>
    </row>
    <row r="13" spans="1:31" x14ac:dyDescent="0.3">
      <c r="A13">
        <v>91</v>
      </c>
      <c r="B13">
        <v>4589537</v>
      </c>
      <c r="C13" t="s">
        <v>42</v>
      </c>
      <c r="D13">
        <v>1101594</v>
      </c>
      <c r="E13" t="s">
        <v>73</v>
      </c>
      <c r="F13" t="s">
        <v>38</v>
      </c>
      <c r="G13" t="s">
        <v>235</v>
      </c>
      <c r="H13" t="s">
        <v>236</v>
      </c>
      <c r="I13" t="s">
        <v>365</v>
      </c>
      <c r="J13">
        <v>50114953236</v>
      </c>
      <c r="K13" t="s">
        <v>343</v>
      </c>
      <c r="L13" t="s">
        <v>451</v>
      </c>
      <c r="M13">
        <v>3000</v>
      </c>
      <c r="N13" s="10">
        <v>0.13700000000000001</v>
      </c>
      <c r="O13" s="10">
        <f t="shared" si="8"/>
        <v>411.00000000000006</v>
      </c>
      <c r="P13" s="10">
        <v>39.409999999999997</v>
      </c>
      <c r="Q13" s="10">
        <v>0</v>
      </c>
      <c r="R13" s="10">
        <f>IF(COUNTIF($J$2:J13,J13)=1,SUMIFS($O:$O,$J:$J,J13)+SUMIFS($P:$P,$J:$J,J13)+SUMIFS($Q:$Q,$J:$J,J13),"")</f>
        <v>152647.91000000003</v>
      </c>
      <c r="S13" s="10">
        <v>232484.93</v>
      </c>
      <c r="T13" s="11" t="str">
        <f>IFERROR(INDEX(AD:AD,MATCH(J13,J:J,0)),"")</f>
        <v>Check</v>
      </c>
      <c r="U13" s="12">
        <v>46055</v>
      </c>
      <c r="V13" s="10">
        <v>114.52</v>
      </c>
      <c r="W13" s="10" t="str">
        <f t="shared" si="9"/>
        <v>Short Paid</v>
      </c>
      <c r="X13" t="s">
        <v>47</v>
      </c>
      <c r="Y13" t="s">
        <v>46</v>
      </c>
      <c r="Z13">
        <v>100213</v>
      </c>
      <c r="AA13" t="s">
        <v>251</v>
      </c>
      <c r="AB13" t="s">
        <v>249</v>
      </c>
      <c r="AC13" s="9">
        <v>2</v>
      </c>
      <c r="AD13" s="9" t="str">
        <f t="shared" si="10"/>
        <v>Check</v>
      </c>
      <c r="AE13" s="11">
        <f t="shared" si="11"/>
        <v>-79837.01999999996</v>
      </c>
    </row>
    <row r="14" spans="1:31" x14ac:dyDescent="0.3">
      <c r="A14">
        <v>91</v>
      </c>
      <c r="B14">
        <v>4589537</v>
      </c>
      <c r="C14" t="s">
        <v>42</v>
      </c>
      <c r="D14">
        <v>1101594</v>
      </c>
      <c r="E14" t="s">
        <v>73</v>
      </c>
      <c r="F14" t="s">
        <v>38</v>
      </c>
      <c r="G14" t="s">
        <v>235</v>
      </c>
      <c r="H14" t="s">
        <v>236</v>
      </c>
      <c r="I14" t="s">
        <v>324</v>
      </c>
      <c r="J14">
        <v>50114953236</v>
      </c>
      <c r="K14" t="s">
        <v>450</v>
      </c>
      <c r="L14" t="s">
        <v>449</v>
      </c>
      <c r="M14">
        <v>52500</v>
      </c>
      <c r="N14" s="10">
        <v>2.8990000000000005</v>
      </c>
      <c r="O14" s="10">
        <f t="shared" si="8"/>
        <v>152197.50000000003</v>
      </c>
      <c r="P14" s="10" t="s">
        <v>562</v>
      </c>
      <c r="Q14" s="10" t="s">
        <v>562</v>
      </c>
      <c r="R14" s="10" t="str">
        <f>IF(COUNTIF($J$2:J14,J14)=1,SUMIFS($O:$O,$J:$J,J14)+SUMIFS($P:$P,$J:$J,J14)+SUMIFS($Q:$Q,$J:$J,J14),"")</f>
        <v/>
      </c>
      <c r="S14" s="10" t="s">
        <v>562</v>
      </c>
      <c r="T14" s="11" t="str">
        <f>IFERROR(INDEX(AD:AD,MATCH(J14,J:J,0)),"")</f>
        <v>Check</v>
      </c>
      <c r="U14" s="12">
        <v>46055</v>
      </c>
      <c r="V14" s="10">
        <v>114.52</v>
      </c>
      <c r="W14" s="10" t="str">
        <f t="shared" si="9"/>
        <v>N/A</v>
      </c>
      <c r="X14" t="s">
        <v>47</v>
      </c>
      <c r="Y14" t="s">
        <v>46</v>
      </c>
      <c r="Z14">
        <v>100213</v>
      </c>
      <c r="AA14" t="s">
        <v>251</v>
      </c>
      <c r="AB14" t="s">
        <v>249</v>
      </c>
      <c r="AC14" s="9">
        <v>2</v>
      </c>
      <c r="AD14" s="9" t="str">
        <f t="shared" si="10"/>
        <v>N/A</v>
      </c>
      <c r="AE14" s="11" t="e">
        <f t="shared" si="11"/>
        <v>#VALUE!</v>
      </c>
    </row>
    <row r="15" spans="1:31" x14ac:dyDescent="0.3">
      <c r="A15">
        <v>91</v>
      </c>
      <c r="B15">
        <v>4589259</v>
      </c>
      <c r="C15" t="s">
        <v>42</v>
      </c>
      <c r="D15">
        <v>1101594</v>
      </c>
      <c r="E15" t="s">
        <v>73</v>
      </c>
      <c r="F15" t="s">
        <v>38</v>
      </c>
      <c r="G15" t="s">
        <v>233</v>
      </c>
      <c r="H15" t="s">
        <v>234</v>
      </c>
      <c r="I15" t="s">
        <v>304</v>
      </c>
      <c r="J15">
        <v>50114953237</v>
      </c>
      <c r="K15" t="s">
        <v>255</v>
      </c>
      <c r="L15" t="s">
        <v>452</v>
      </c>
      <c r="M15">
        <v>250</v>
      </c>
      <c r="N15" s="10">
        <v>16.371839999999999</v>
      </c>
      <c r="O15" s="10">
        <f t="shared" si="8"/>
        <v>4092.9599999999996</v>
      </c>
      <c r="P15" s="10">
        <v>0</v>
      </c>
      <c r="Q15" s="10">
        <v>0</v>
      </c>
      <c r="R15" s="10">
        <f>IF(COUNTIF($J$2:J15,J15)=1,SUMIFS($O:$O,$J:$J,J15)+SUMIFS($P:$P,$J:$J,J15)+SUMIFS($Q:$Q,$J:$J,J15),"")</f>
        <v>6622.66</v>
      </c>
      <c r="S15" s="10">
        <v>6633.58</v>
      </c>
      <c r="T15" s="11" t="str">
        <f>IFERROR(INDEX(AD:AD,MATCH(J15,J:J,0)),"")</f>
        <v>Check</v>
      </c>
      <c r="U15" s="12">
        <v>46052</v>
      </c>
      <c r="V15" s="10">
        <v>10.92</v>
      </c>
      <c r="W15" s="10" t="str">
        <f t="shared" si="9"/>
        <v>Short Paid</v>
      </c>
      <c r="X15" t="s">
        <v>47</v>
      </c>
      <c r="Y15" t="s">
        <v>46</v>
      </c>
      <c r="Z15">
        <v>100173</v>
      </c>
      <c r="AA15" t="s">
        <v>253</v>
      </c>
      <c r="AB15" t="s">
        <v>249</v>
      </c>
      <c r="AC15" s="9">
        <v>2</v>
      </c>
      <c r="AD15" s="9" t="str">
        <f t="shared" si="10"/>
        <v>Check</v>
      </c>
      <c r="AE15" s="11">
        <f t="shared" si="11"/>
        <v>-10.920000000000073</v>
      </c>
    </row>
    <row r="16" spans="1:31" x14ac:dyDescent="0.3">
      <c r="A16">
        <v>91</v>
      </c>
      <c r="B16">
        <v>4589259</v>
      </c>
      <c r="C16" t="s">
        <v>42</v>
      </c>
      <c r="D16">
        <v>1101594</v>
      </c>
      <c r="E16" t="s">
        <v>73</v>
      </c>
      <c r="F16" t="s">
        <v>38</v>
      </c>
      <c r="G16" t="s">
        <v>233</v>
      </c>
      <c r="H16" t="s">
        <v>234</v>
      </c>
      <c r="I16" t="s">
        <v>366</v>
      </c>
      <c r="J16">
        <v>50114953237</v>
      </c>
      <c r="K16" t="s">
        <v>454</v>
      </c>
      <c r="L16" t="s">
        <v>453</v>
      </c>
      <c r="M16">
        <v>10</v>
      </c>
      <c r="N16" s="10">
        <v>252.97</v>
      </c>
      <c r="O16" s="10">
        <f t="shared" si="8"/>
        <v>2529.6999999999998</v>
      </c>
      <c r="P16" s="10" t="s">
        <v>562</v>
      </c>
      <c r="Q16" s="10" t="s">
        <v>562</v>
      </c>
      <c r="R16" s="10" t="str">
        <f>IF(COUNTIF($J$2:J16,J16)=1,SUMIFS($O:$O,$J:$J,J16)+SUMIFS($P:$P,$J:$J,J16)+SUMIFS($Q:$Q,$J:$J,J16),"")</f>
        <v/>
      </c>
      <c r="S16" s="10" t="s">
        <v>562</v>
      </c>
      <c r="T16" s="11" t="str">
        <f>IFERROR(INDEX(AD:AD,MATCH(J16,J:J,0)),"")</f>
        <v>Check</v>
      </c>
      <c r="U16" s="12">
        <v>46052</v>
      </c>
      <c r="V16" s="10">
        <v>10.92</v>
      </c>
      <c r="W16" s="10" t="str">
        <f t="shared" si="9"/>
        <v>N/A</v>
      </c>
      <c r="X16" t="s">
        <v>47</v>
      </c>
      <c r="Y16" t="s">
        <v>46</v>
      </c>
      <c r="Z16">
        <v>100173</v>
      </c>
      <c r="AA16" t="s">
        <v>253</v>
      </c>
      <c r="AB16" t="s">
        <v>249</v>
      </c>
      <c r="AC16" s="9">
        <v>2</v>
      </c>
      <c r="AD16" s="9" t="str">
        <f t="shared" si="10"/>
        <v>N/A</v>
      </c>
      <c r="AE16" s="11" t="e">
        <f t="shared" si="11"/>
        <v>#VALUE!</v>
      </c>
    </row>
    <row r="17" spans="1:31" x14ac:dyDescent="0.3">
      <c r="A17">
        <v>39</v>
      </c>
      <c r="B17">
        <v>4718940</v>
      </c>
      <c r="C17" t="s">
        <v>42</v>
      </c>
      <c r="D17">
        <v>1130746</v>
      </c>
      <c r="E17" t="s">
        <v>68</v>
      </c>
      <c r="F17" t="s">
        <v>20</v>
      </c>
      <c r="G17" t="s">
        <v>183</v>
      </c>
      <c r="H17" t="s">
        <v>184</v>
      </c>
      <c r="I17" t="s">
        <v>262</v>
      </c>
      <c r="J17">
        <v>50116493461</v>
      </c>
      <c r="K17" t="s">
        <v>344</v>
      </c>
      <c r="L17" t="s">
        <v>456</v>
      </c>
      <c r="M17">
        <v>1000</v>
      </c>
      <c r="N17" s="10">
        <v>2.778</v>
      </c>
      <c r="O17" s="10">
        <f t="shared" ref="O17:O18" si="12">M17*N17</f>
        <v>2778</v>
      </c>
      <c r="P17" s="10">
        <v>0</v>
      </c>
      <c r="Q17" s="10">
        <v>0</v>
      </c>
      <c r="R17" s="10">
        <f>IF(COUNTIF($J$2:J17,J17)=1,SUMIFS($O:$O,$J:$J,J17)+SUMIFS($P:$P,$J:$J,J17)+SUMIFS($Q:$Q,$J:$J,J17),"")</f>
        <v>90807.239999999991</v>
      </c>
      <c r="S17" s="10">
        <v>90807.24</v>
      </c>
      <c r="T17" s="11" t="str">
        <f>IFERROR(INDEX(AD:AD,MATCH(J17,J:J,0)),"")</f>
        <v>Ok</v>
      </c>
      <c r="U17" s="12">
        <v>46094</v>
      </c>
      <c r="V17" s="10">
        <v>88029.24</v>
      </c>
      <c r="W17" s="10" t="str">
        <f t="shared" ref="W17:W18" si="13">IF(OR(S17="",V17=""),"N/A",IF(S17&lt;&gt;V17,"Short Paid","Not Paid"))</f>
        <v>Short Paid</v>
      </c>
      <c r="X17" t="s">
        <v>47</v>
      </c>
      <c r="Y17" t="s">
        <v>24</v>
      </c>
      <c r="Z17">
        <v>100273</v>
      </c>
      <c r="AA17" t="s">
        <v>52</v>
      </c>
      <c r="AB17" t="s">
        <v>63</v>
      </c>
      <c r="AC17" s="9">
        <v>2</v>
      </c>
      <c r="AD17" s="9" t="str">
        <f t="shared" ref="AD17:AD18" si="14">IF(AND(R17="",S17=""),"N/A",IF(R17=S17,"Ok","Check"))</f>
        <v>Ok</v>
      </c>
      <c r="AE17" s="11">
        <f t="shared" ref="AE17:AE18" si="15">R17-S17</f>
        <v>0</v>
      </c>
    </row>
    <row r="18" spans="1:31" x14ac:dyDescent="0.3">
      <c r="A18">
        <v>39</v>
      </c>
      <c r="B18">
        <v>4718940</v>
      </c>
      <c r="C18" t="s">
        <v>42</v>
      </c>
      <c r="D18">
        <v>1130746</v>
      </c>
      <c r="E18" t="s">
        <v>68</v>
      </c>
      <c r="F18" t="s">
        <v>20</v>
      </c>
      <c r="G18" t="s">
        <v>183</v>
      </c>
      <c r="H18" t="s">
        <v>184</v>
      </c>
      <c r="I18" t="s">
        <v>391</v>
      </c>
      <c r="J18">
        <v>50116493461</v>
      </c>
      <c r="K18" t="s">
        <v>308</v>
      </c>
      <c r="L18" t="s">
        <v>457</v>
      </c>
      <c r="M18">
        <v>312</v>
      </c>
      <c r="N18" s="10">
        <v>282.14499999999998</v>
      </c>
      <c r="O18" s="10">
        <f t="shared" si="12"/>
        <v>88029.239999999991</v>
      </c>
      <c r="P18" s="10" t="s">
        <v>562</v>
      </c>
      <c r="Q18" s="10" t="s">
        <v>562</v>
      </c>
      <c r="R18" s="10" t="str">
        <f>IF(COUNTIF($J$2:J18,J18)=1,SUMIFS($O:$O,$J:$J,J18)+SUMIFS($P:$P,$J:$J,J18)+SUMIFS($Q:$Q,$J:$J,J18),"")</f>
        <v/>
      </c>
      <c r="S18" s="10" t="s">
        <v>562</v>
      </c>
      <c r="T18" s="11" t="str">
        <f>IFERROR(INDEX(AD:AD,MATCH(J18,J:J,0)),"")</f>
        <v>Ok</v>
      </c>
      <c r="U18" s="12">
        <v>46094</v>
      </c>
      <c r="V18" s="10">
        <v>88029.24</v>
      </c>
      <c r="W18" s="10" t="str">
        <f t="shared" si="13"/>
        <v>N/A</v>
      </c>
      <c r="X18" t="s">
        <v>47</v>
      </c>
      <c r="Y18" t="s">
        <v>24</v>
      </c>
      <c r="Z18">
        <v>100273</v>
      </c>
      <c r="AA18" t="s">
        <v>52</v>
      </c>
      <c r="AB18" t="s">
        <v>63</v>
      </c>
      <c r="AC18" s="9">
        <v>2</v>
      </c>
      <c r="AD18" s="9" t="str">
        <f t="shared" si="14"/>
        <v>N/A</v>
      </c>
      <c r="AE18" s="11" t="e">
        <f t="shared" si="15"/>
        <v>#VALUE!</v>
      </c>
    </row>
    <row r="19" spans="1:31" x14ac:dyDescent="0.3">
      <c r="A19">
        <v>234</v>
      </c>
      <c r="B19">
        <v>4388438</v>
      </c>
      <c r="C19" t="s">
        <v>42</v>
      </c>
      <c r="D19">
        <v>1588891</v>
      </c>
      <c r="E19" t="s">
        <v>43</v>
      </c>
      <c r="F19" t="s">
        <v>18</v>
      </c>
      <c r="G19" t="s">
        <v>217</v>
      </c>
      <c r="H19" t="s">
        <v>218</v>
      </c>
      <c r="I19" t="s">
        <v>321</v>
      </c>
      <c r="J19">
        <v>50117757014</v>
      </c>
      <c r="K19" t="s">
        <v>284</v>
      </c>
      <c r="L19" t="s">
        <v>462</v>
      </c>
      <c r="M19">
        <v>16500</v>
      </c>
      <c r="N19" s="10">
        <v>0.39710000000000001</v>
      </c>
      <c r="O19" s="10">
        <f t="shared" ref="O19:O46" si="16">M19*N19</f>
        <v>6552.1500000000005</v>
      </c>
      <c r="P19" s="10">
        <v>0</v>
      </c>
      <c r="Q19" s="10">
        <v>0</v>
      </c>
      <c r="R19" s="10">
        <f>IF(COUNTIF($J$2:J19,J19)=1,SUMIFS($O:$O,$J:$J,J19)+SUMIFS($P:$P,$J:$J,J19)+SUMIFS($Q:$Q,$J:$J,J19),"")</f>
        <v>7453.7900000000009</v>
      </c>
      <c r="S19" s="10">
        <v>7453.79</v>
      </c>
      <c r="T19" s="11" t="str">
        <f>IFERROR(INDEX(AD:AD,MATCH(J19,J:J,0)),"")</f>
        <v>Ok</v>
      </c>
      <c r="U19" s="12">
        <v>45833</v>
      </c>
      <c r="V19" s="10">
        <v>1940.4</v>
      </c>
      <c r="W19" s="10" t="str">
        <f t="shared" ref="W19:W46" si="17">IF(OR(S19="",V19=""),"N/A",IF(S19&lt;&gt;V19,"Short Paid","Not Paid"))</f>
        <v>Short Paid</v>
      </c>
      <c r="X19" t="s">
        <v>47</v>
      </c>
      <c r="Y19" t="s">
        <v>24</v>
      </c>
      <c r="Z19">
        <v>100153</v>
      </c>
      <c r="AA19" t="s">
        <v>53</v>
      </c>
      <c r="AB19" t="s">
        <v>65</v>
      </c>
      <c r="AC19" s="9">
        <v>2</v>
      </c>
      <c r="AD19" s="9" t="str">
        <f t="shared" ref="AD19:AD46" si="18">IF(AND(R19="",S19=""),"N/A",IF(R19=S19,"Ok","Check"))</f>
        <v>Ok</v>
      </c>
      <c r="AE19" s="11">
        <f t="shared" ref="AE19:AE50" si="19">R19-S19</f>
        <v>0</v>
      </c>
    </row>
    <row r="20" spans="1:31" x14ac:dyDescent="0.3">
      <c r="A20">
        <v>234</v>
      </c>
      <c r="B20">
        <v>4388438</v>
      </c>
      <c r="C20" t="s">
        <v>42</v>
      </c>
      <c r="D20">
        <v>1588891</v>
      </c>
      <c r="E20" t="s">
        <v>43</v>
      </c>
      <c r="F20" t="s">
        <v>18</v>
      </c>
      <c r="G20" t="s">
        <v>217</v>
      </c>
      <c r="H20" t="s">
        <v>218</v>
      </c>
      <c r="I20" t="s">
        <v>354</v>
      </c>
      <c r="J20">
        <v>50117757014</v>
      </c>
      <c r="K20" t="s">
        <v>255</v>
      </c>
      <c r="L20" t="s">
        <v>295</v>
      </c>
      <c r="M20">
        <v>1</v>
      </c>
      <c r="N20" s="10">
        <v>901.64</v>
      </c>
      <c r="O20" s="10">
        <f t="shared" si="16"/>
        <v>901.64</v>
      </c>
      <c r="P20" s="10" t="s">
        <v>562</v>
      </c>
      <c r="Q20" s="10" t="s">
        <v>562</v>
      </c>
      <c r="R20" s="10" t="str">
        <f>IF(COUNTIF($J$2:J20,J20)=1,SUMIFS($O:$O,$J:$J,J20)+SUMIFS($P:$P,$J:$J,J20)+SUMIFS($Q:$Q,$J:$J,J20),"")</f>
        <v/>
      </c>
      <c r="S20" s="10" t="s">
        <v>562</v>
      </c>
      <c r="T20" s="11" t="str">
        <f>IFERROR(INDEX(AD:AD,MATCH(J20,J:J,0)),"")</f>
        <v>Ok</v>
      </c>
      <c r="U20" s="12">
        <v>45833</v>
      </c>
      <c r="V20" s="10">
        <v>1940.4</v>
      </c>
      <c r="W20" s="10" t="str">
        <f t="shared" si="17"/>
        <v>N/A</v>
      </c>
      <c r="X20" t="s">
        <v>47</v>
      </c>
      <c r="Y20" t="s">
        <v>24</v>
      </c>
      <c r="Z20">
        <v>100153</v>
      </c>
      <c r="AA20" t="s">
        <v>53</v>
      </c>
      <c r="AB20" t="s">
        <v>65</v>
      </c>
      <c r="AC20" s="9">
        <v>2</v>
      </c>
      <c r="AD20" s="9" t="str">
        <f t="shared" si="18"/>
        <v>N/A</v>
      </c>
      <c r="AE20" s="11" t="e">
        <f t="shared" si="19"/>
        <v>#VALUE!</v>
      </c>
    </row>
    <row r="21" spans="1:31" x14ac:dyDescent="0.3">
      <c r="A21">
        <v>234</v>
      </c>
      <c r="B21">
        <v>4388128</v>
      </c>
      <c r="C21" t="s">
        <v>42</v>
      </c>
      <c r="D21">
        <v>1265622</v>
      </c>
      <c r="E21" t="s">
        <v>70</v>
      </c>
      <c r="F21" t="s">
        <v>20</v>
      </c>
      <c r="G21" t="s">
        <v>215</v>
      </c>
      <c r="H21" t="s">
        <v>216</v>
      </c>
      <c r="I21" t="s">
        <v>326</v>
      </c>
      <c r="J21">
        <v>50117757016</v>
      </c>
      <c r="K21" t="s">
        <v>255</v>
      </c>
      <c r="L21" t="s">
        <v>295</v>
      </c>
      <c r="M21">
        <v>1</v>
      </c>
      <c r="N21" s="10">
        <v>204.12</v>
      </c>
      <c r="O21" s="10">
        <f t="shared" si="16"/>
        <v>204.12</v>
      </c>
      <c r="P21" s="10">
        <v>0</v>
      </c>
      <c r="Q21" s="10">
        <v>0</v>
      </c>
      <c r="R21" s="10">
        <f>IF(COUNTIF($J$2:J21,J21)=1,SUMIFS($O:$O,$J:$J,J21)+SUMIFS($P:$P,$J:$J,J21)+SUMIFS($Q:$Q,$J:$J,J21),"")</f>
        <v>2041.62</v>
      </c>
      <c r="S21" s="10">
        <v>2041.62</v>
      </c>
      <c r="T21" s="11" t="str">
        <f>IFERROR(INDEX(AD:AD,MATCH(J21,J:J,0)),"")</f>
        <v>Ok</v>
      </c>
      <c r="U21" s="12">
        <v>45798</v>
      </c>
      <c r="V21" s="10">
        <v>1837.5</v>
      </c>
      <c r="W21" s="10" t="str">
        <f t="shared" si="17"/>
        <v>Short Paid</v>
      </c>
      <c r="X21" t="s">
        <v>47</v>
      </c>
      <c r="Y21" t="s">
        <v>24</v>
      </c>
      <c r="Z21">
        <v>100113</v>
      </c>
      <c r="AA21" t="s">
        <v>57</v>
      </c>
      <c r="AB21" t="s">
        <v>63</v>
      </c>
      <c r="AC21" s="9">
        <v>2</v>
      </c>
      <c r="AD21" s="9" t="str">
        <f t="shared" si="18"/>
        <v>Ok</v>
      </c>
      <c r="AE21" s="11">
        <f t="shared" si="19"/>
        <v>0</v>
      </c>
    </row>
    <row r="22" spans="1:31" x14ac:dyDescent="0.3">
      <c r="A22">
        <v>234</v>
      </c>
      <c r="B22">
        <v>4388128</v>
      </c>
      <c r="C22" t="s">
        <v>42</v>
      </c>
      <c r="D22">
        <v>1265622</v>
      </c>
      <c r="E22" t="s">
        <v>70</v>
      </c>
      <c r="F22" t="s">
        <v>20</v>
      </c>
      <c r="G22" t="s">
        <v>215</v>
      </c>
      <c r="H22" t="s">
        <v>216</v>
      </c>
      <c r="I22" t="s">
        <v>347</v>
      </c>
      <c r="J22">
        <v>50117757016</v>
      </c>
      <c r="K22" t="s">
        <v>464</v>
      </c>
      <c r="L22" t="s">
        <v>463</v>
      </c>
      <c r="M22">
        <v>5</v>
      </c>
      <c r="N22" s="10">
        <v>367.5</v>
      </c>
      <c r="O22" s="10">
        <f t="shared" si="16"/>
        <v>1837.5</v>
      </c>
      <c r="P22" s="10" t="s">
        <v>562</v>
      </c>
      <c r="Q22" s="10" t="s">
        <v>562</v>
      </c>
      <c r="R22" s="10" t="str">
        <f>IF(COUNTIF($J$2:J22,J22)=1,SUMIFS($O:$O,$J:$J,J22)+SUMIFS($P:$P,$J:$J,J22)+SUMIFS($Q:$Q,$J:$J,J22),"")</f>
        <v/>
      </c>
      <c r="S22" s="10" t="s">
        <v>562</v>
      </c>
      <c r="T22" s="11" t="str">
        <f>IFERROR(INDEX(AD:AD,MATCH(J22,J:J,0)),"")</f>
        <v>Ok</v>
      </c>
      <c r="U22" s="12">
        <v>45798</v>
      </c>
      <c r="V22" s="10">
        <v>1837.5</v>
      </c>
      <c r="W22" s="10" t="str">
        <f t="shared" si="17"/>
        <v>N/A</v>
      </c>
      <c r="X22" t="s">
        <v>47</v>
      </c>
      <c r="Y22" t="s">
        <v>24</v>
      </c>
      <c r="Z22">
        <v>100113</v>
      </c>
      <c r="AA22" t="s">
        <v>57</v>
      </c>
      <c r="AB22" t="s">
        <v>63</v>
      </c>
      <c r="AC22" s="9">
        <v>2</v>
      </c>
      <c r="AD22" s="9" t="str">
        <f t="shared" si="18"/>
        <v>N/A</v>
      </c>
      <c r="AE22" s="11" t="e">
        <f t="shared" si="19"/>
        <v>#VALUE!</v>
      </c>
    </row>
    <row r="23" spans="1:31" x14ac:dyDescent="0.3">
      <c r="A23">
        <v>93</v>
      </c>
      <c r="B23">
        <v>4567553</v>
      </c>
      <c r="C23" t="s">
        <v>42</v>
      </c>
      <c r="D23">
        <v>1588891</v>
      </c>
      <c r="E23" t="s">
        <v>43</v>
      </c>
      <c r="F23" t="s">
        <v>19</v>
      </c>
      <c r="G23" t="s">
        <v>79</v>
      </c>
      <c r="H23" t="s">
        <v>80</v>
      </c>
      <c r="I23" t="s">
        <v>321</v>
      </c>
      <c r="J23">
        <v>51119897505</v>
      </c>
      <c r="K23" t="s">
        <v>273</v>
      </c>
      <c r="L23" t="s">
        <v>437</v>
      </c>
      <c r="M23">
        <v>13500</v>
      </c>
      <c r="N23" s="10">
        <v>0.26790000000000003</v>
      </c>
      <c r="O23" s="10">
        <f t="shared" si="16"/>
        <v>3616.6500000000005</v>
      </c>
      <c r="P23" s="10">
        <v>0</v>
      </c>
      <c r="Q23" s="10">
        <v>0</v>
      </c>
      <c r="R23" s="10">
        <f>IF(COUNTIF($J$2:J23,J23)=1,SUMIFS($O:$O,$J:$J,J23)+SUMIFS($P:$P,$J:$J,J23)+SUMIFS($Q:$Q,$J:$J,J23),"")</f>
        <v>10116.650000000001</v>
      </c>
      <c r="S23" s="10">
        <v>10116.65</v>
      </c>
      <c r="T23" s="11" t="str">
        <f>IFERROR(INDEX(AD:AD,MATCH(J23,J:J,0)),"")</f>
        <v>Ok</v>
      </c>
      <c r="U23" s="12">
        <v>45700</v>
      </c>
      <c r="V23" s="10">
        <v>3616.65</v>
      </c>
      <c r="W23" s="10" t="str">
        <f t="shared" si="17"/>
        <v>Short Paid</v>
      </c>
      <c r="X23" t="s">
        <v>47</v>
      </c>
      <c r="Y23" t="s">
        <v>24</v>
      </c>
      <c r="Z23">
        <v>100193</v>
      </c>
      <c r="AA23" t="s">
        <v>50</v>
      </c>
      <c r="AB23" t="s">
        <v>66</v>
      </c>
      <c r="AC23" s="9">
        <v>2</v>
      </c>
      <c r="AD23" s="9" t="str">
        <f t="shared" si="18"/>
        <v>Ok</v>
      </c>
      <c r="AE23" s="11">
        <f t="shared" si="19"/>
        <v>0</v>
      </c>
    </row>
    <row r="24" spans="1:31" x14ac:dyDescent="0.3">
      <c r="A24">
        <v>93</v>
      </c>
      <c r="B24">
        <v>4567553</v>
      </c>
      <c r="C24" t="s">
        <v>42</v>
      </c>
      <c r="D24">
        <v>1588891</v>
      </c>
      <c r="E24" t="s">
        <v>43</v>
      </c>
      <c r="F24" t="s">
        <v>19</v>
      </c>
      <c r="G24" t="s">
        <v>79</v>
      </c>
      <c r="H24" t="s">
        <v>80</v>
      </c>
      <c r="I24" t="s">
        <v>422</v>
      </c>
      <c r="J24">
        <v>51119897505</v>
      </c>
      <c r="K24" t="s">
        <v>447</v>
      </c>
      <c r="L24" t="s">
        <v>446</v>
      </c>
      <c r="M24">
        <v>100</v>
      </c>
      <c r="N24" s="10">
        <v>65</v>
      </c>
      <c r="O24" s="10">
        <f t="shared" si="16"/>
        <v>6500</v>
      </c>
      <c r="P24" s="10" t="s">
        <v>562</v>
      </c>
      <c r="Q24" s="10" t="s">
        <v>562</v>
      </c>
      <c r="R24" s="10" t="str">
        <f>IF(COUNTIF($J$2:J24,J24)=1,SUMIFS($O:$O,$J:$J,J24)+SUMIFS($P:$P,$J:$J,J24)+SUMIFS($Q:$Q,$J:$J,J24),"")</f>
        <v/>
      </c>
      <c r="S24" s="10" t="s">
        <v>562</v>
      </c>
      <c r="T24" s="11" t="str">
        <f>IFERROR(INDEX(AD:AD,MATCH(J24,J:J,0)),"")</f>
        <v>Ok</v>
      </c>
      <c r="U24" s="12">
        <v>45700</v>
      </c>
      <c r="V24" s="10">
        <v>3616.65</v>
      </c>
      <c r="W24" s="10" t="str">
        <f t="shared" si="17"/>
        <v>N/A</v>
      </c>
      <c r="X24" t="s">
        <v>47</v>
      </c>
      <c r="Y24" t="s">
        <v>24</v>
      </c>
      <c r="Z24">
        <v>100193</v>
      </c>
      <c r="AA24" t="s">
        <v>50</v>
      </c>
      <c r="AB24" t="s">
        <v>66</v>
      </c>
      <c r="AC24" s="9">
        <v>2</v>
      </c>
      <c r="AD24" s="9" t="str">
        <f t="shared" si="18"/>
        <v>N/A</v>
      </c>
      <c r="AE24" s="11" t="e">
        <f t="shared" si="19"/>
        <v>#VALUE!</v>
      </c>
    </row>
    <row r="25" spans="1:31" x14ac:dyDescent="0.3">
      <c r="A25">
        <v>93</v>
      </c>
      <c r="B25">
        <v>4567831</v>
      </c>
      <c r="C25" t="s">
        <v>42</v>
      </c>
      <c r="D25">
        <v>1588891</v>
      </c>
      <c r="E25" t="s">
        <v>43</v>
      </c>
      <c r="F25" t="s">
        <v>19</v>
      </c>
      <c r="G25" t="s">
        <v>229</v>
      </c>
      <c r="H25" t="s">
        <v>230</v>
      </c>
      <c r="I25" t="s">
        <v>328</v>
      </c>
      <c r="J25">
        <v>51119935854</v>
      </c>
      <c r="K25" t="s">
        <v>264</v>
      </c>
      <c r="L25" t="s">
        <v>467</v>
      </c>
      <c r="M25">
        <v>8250</v>
      </c>
      <c r="N25" s="10">
        <v>4.5699999999999998E-2</v>
      </c>
      <c r="O25" s="10">
        <f t="shared" si="16"/>
        <v>377.02499999999998</v>
      </c>
      <c r="P25" s="10">
        <v>0</v>
      </c>
      <c r="Q25" s="10">
        <v>0</v>
      </c>
      <c r="R25" s="10">
        <f>IF(COUNTIF($J$2:J25,J25)=1,SUMIFS($O:$O,$J:$J,J25)+SUMIFS($P:$P,$J:$J,J25)+SUMIFS($Q:$Q,$J:$J,J25),"")</f>
        <v>657.02499999999998</v>
      </c>
      <c r="S25" s="10">
        <v>1029.9099999999999</v>
      </c>
      <c r="T25" s="11" t="str">
        <f>IFERROR(INDEX(AD:AD,MATCH(J25,J:J,0)),"")</f>
        <v>Check</v>
      </c>
      <c r="U25" s="12">
        <v>45889</v>
      </c>
      <c r="V25" s="10">
        <v>685.51</v>
      </c>
      <c r="W25" s="10" t="str">
        <f t="shared" si="17"/>
        <v>Short Paid</v>
      </c>
      <c r="X25" t="s">
        <v>47</v>
      </c>
      <c r="Y25" t="s">
        <v>24</v>
      </c>
      <c r="Z25">
        <v>100203</v>
      </c>
      <c r="AA25" t="s">
        <v>49</v>
      </c>
      <c r="AB25" t="s">
        <v>66</v>
      </c>
      <c r="AC25" s="9">
        <v>2</v>
      </c>
      <c r="AD25" s="9" t="str">
        <f t="shared" si="18"/>
        <v>Check</v>
      </c>
      <c r="AE25" s="11">
        <f t="shared" si="19"/>
        <v>-372.88499999999988</v>
      </c>
    </row>
    <row r="26" spans="1:31" x14ac:dyDescent="0.3">
      <c r="A26">
        <v>93</v>
      </c>
      <c r="B26">
        <v>4567831</v>
      </c>
      <c r="C26" t="s">
        <v>42</v>
      </c>
      <c r="D26">
        <v>1588891</v>
      </c>
      <c r="E26" t="s">
        <v>43</v>
      </c>
      <c r="F26" t="s">
        <v>19</v>
      </c>
      <c r="G26" t="s">
        <v>229</v>
      </c>
      <c r="H26" t="s">
        <v>230</v>
      </c>
      <c r="I26" t="s">
        <v>351</v>
      </c>
      <c r="J26">
        <v>51119935854</v>
      </c>
      <c r="K26" t="s">
        <v>266</v>
      </c>
      <c r="L26" t="s">
        <v>442</v>
      </c>
      <c r="M26">
        <v>200</v>
      </c>
      <c r="N26" s="10">
        <v>1.4</v>
      </c>
      <c r="O26" s="10">
        <f t="shared" si="16"/>
        <v>280</v>
      </c>
      <c r="P26" s="10" t="s">
        <v>562</v>
      </c>
      <c r="Q26" s="10" t="s">
        <v>562</v>
      </c>
      <c r="R26" s="10" t="str">
        <f>IF(COUNTIF($J$2:J26,J26)=1,SUMIFS($O:$O,$J:$J,J26)+SUMIFS($P:$P,$J:$J,J26)+SUMIFS($Q:$Q,$J:$J,J26),"")</f>
        <v/>
      </c>
      <c r="S26" s="10" t="s">
        <v>562</v>
      </c>
      <c r="T26" s="11" t="str">
        <f>IFERROR(INDEX(AD:AD,MATCH(J26,J:J,0)),"")</f>
        <v>Check</v>
      </c>
      <c r="U26" s="12">
        <v>45889</v>
      </c>
      <c r="V26" s="10">
        <v>685.51</v>
      </c>
      <c r="W26" s="10" t="str">
        <f t="shared" si="17"/>
        <v>N/A</v>
      </c>
      <c r="X26" t="s">
        <v>47</v>
      </c>
      <c r="Y26" t="s">
        <v>24</v>
      </c>
      <c r="Z26">
        <v>100203</v>
      </c>
      <c r="AA26" t="s">
        <v>49</v>
      </c>
      <c r="AB26" t="s">
        <v>66</v>
      </c>
      <c r="AC26" s="9">
        <v>2</v>
      </c>
      <c r="AD26" s="9" t="str">
        <f t="shared" si="18"/>
        <v>N/A</v>
      </c>
      <c r="AE26" s="11" t="e">
        <f t="shared" si="19"/>
        <v>#VALUE!</v>
      </c>
    </row>
    <row r="27" spans="1:31" x14ac:dyDescent="0.3">
      <c r="A27">
        <v>93</v>
      </c>
      <c r="B27">
        <v>4569223</v>
      </c>
      <c r="C27" t="s">
        <v>42</v>
      </c>
      <c r="D27">
        <v>1588891</v>
      </c>
      <c r="E27" t="s">
        <v>43</v>
      </c>
      <c r="F27" t="s">
        <v>19</v>
      </c>
      <c r="G27" t="s">
        <v>83</v>
      </c>
      <c r="H27" t="s">
        <v>84</v>
      </c>
      <c r="I27" t="s">
        <v>429</v>
      </c>
      <c r="J27">
        <v>51121035119</v>
      </c>
      <c r="K27" t="s">
        <v>269</v>
      </c>
      <c r="L27" t="s">
        <v>268</v>
      </c>
      <c r="M27">
        <v>192</v>
      </c>
      <c r="N27" s="10">
        <v>102.37</v>
      </c>
      <c r="O27" s="10">
        <f t="shared" si="16"/>
        <v>19655.04</v>
      </c>
      <c r="P27" s="10">
        <v>0</v>
      </c>
      <c r="Q27" s="10">
        <v>0</v>
      </c>
      <c r="R27" s="10">
        <f>IF(COUNTIF($J$2:J27,J27)=1,SUMIFS($O:$O,$J:$J,J27)+SUMIFS($P:$P,$J:$J,J27)+SUMIFS($Q:$Q,$J:$J,J27),"")</f>
        <v>20340.54</v>
      </c>
      <c r="S27" s="10">
        <v>25254.3</v>
      </c>
      <c r="T27" s="11" t="str">
        <f>IFERROR(INDEX(AD:AD,MATCH(J27,J:J,0)),"")</f>
        <v>Check</v>
      </c>
      <c r="U27" s="12">
        <v>45826</v>
      </c>
      <c r="V27" s="10">
        <v>685.5</v>
      </c>
      <c r="W27" s="10" t="str">
        <f t="shared" si="17"/>
        <v>Short Paid</v>
      </c>
      <c r="X27" t="s">
        <v>47</v>
      </c>
      <c r="Y27" t="s">
        <v>24</v>
      </c>
      <c r="Z27">
        <v>100113</v>
      </c>
      <c r="AA27" t="s">
        <v>57</v>
      </c>
      <c r="AB27" t="s">
        <v>66</v>
      </c>
      <c r="AC27" s="9">
        <v>2</v>
      </c>
      <c r="AD27" s="9" t="str">
        <f t="shared" si="18"/>
        <v>Check</v>
      </c>
      <c r="AE27" s="11">
        <f t="shared" si="19"/>
        <v>-4913.7599999999984</v>
      </c>
    </row>
    <row r="28" spans="1:31" x14ac:dyDescent="0.3">
      <c r="A28">
        <v>93</v>
      </c>
      <c r="B28">
        <v>4569223</v>
      </c>
      <c r="C28" t="s">
        <v>42</v>
      </c>
      <c r="D28">
        <v>1588891</v>
      </c>
      <c r="E28" t="s">
        <v>43</v>
      </c>
      <c r="F28" t="s">
        <v>19</v>
      </c>
      <c r="G28" t="s">
        <v>83</v>
      </c>
      <c r="H28" t="s">
        <v>84</v>
      </c>
      <c r="I28" t="s">
        <v>340</v>
      </c>
      <c r="J28">
        <v>51121035119</v>
      </c>
      <c r="K28" t="s">
        <v>264</v>
      </c>
      <c r="L28" t="s">
        <v>467</v>
      </c>
      <c r="M28">
        <v>15000</v>
      </c>
      <c r="N28" s="10">
        <v>4.5699999999999998E-2</v>
      </c>
      <c r="O28" s="10">
        <f t="shared" si="16"/>
        <v>685.5</v>
      </c>
      <c r="P28" s="10" t="s">
        <v>562</v>
      </c>
      <c r="Q28" s="10" t="s">
        <v>562</v>
      </c>
      <c r="R28" s="10" t="str">
        <f>IF(COUNTIF($J$2:J28,J28)=1,SUMIFS($O:$O,$J:$J,J28)+SUMIFS($P:$P,$J:$J,J28)+SUMIFS($Q:$Q,$J:$J,J28),"")</f>
        <v/>
      </c>
      <c r="S28" s="10" t="s">
        <v>562</v>
      </c>
      <c r="T28" s="11" t="str">
        <f>IFERROR(INDEX(AD:AD,MATCH(J28,J:J,0)),"")</f>
        <v>Check</v>
      </c>
      <c r="U28" s="12">
        <v>45826</v>
      </c>
      <c r="V28" s="10">
        <v>685.5</v>
      </c>
      <c r="W28" s="10" t="str">
        <f t="shared" si="17"/>
        <v>N/A</v>
      </c>
      <c r="X28" t="s">
        <v>47</v>
      </c>
      <c r="Y28" t="s">
        <v>24</v>
      </c>
      <c r="Z28">
        <v>100113</v>
      </c>
      <c r="AA28" t="s">
        <v>57</v>
      </c>
      <c r="AB28" t="s">
        <v>66</v>
      </c>
      <c r="AC28" s="9">
        <v>2</v>
      </c>
      <c r="AD28" s="9" t="str">
        <f t="shared" si="18"/>
        <v>N/A</v>
      </c>
      <c r="AE28" s="11" t="e">
        <f t="shared" si="19"/>
        <v>#VALUE!</v>
      </c>
    </row>
    <row r="29" spans="1:31" x14ac:dyDescent="0.3">
      <c r="A29">
        <v>93</v>
      </c>
      <c r="B29">
        <v>4568109</v>
      </c>
      <c r="C29" t="s">
        <v>42</v>
      </c>
      <c r="D29">
        <v>1588891</v>
      </c>
      <c r="E29" t="s">
        <v>43</v>
      </c>
      <c r="F29" t="s">
        <v>19</v>
      </c>
      <c r="G29" t="s">
        <v>77</v>
      </c>
      <c r="H29" t="s">
        <v>78</v>
      </c>
      <c r="I29" t="s">
        <v>328</v>
      </c>
      <c r="J29">
        <v>51121113173</v>
      </c>
      <c r="K29" t="s">
        <v>261</v>
      </c>
      <c r="L29" t="s">
        <v>260</v>
      </c>
      <c r="M29">
        <v>4000</v>
      </c>
      <c r="N29" s="10">
        <v>6.5799999999999997E-2</v>
      </c>
      <c r="O29" s="10">
        <f t="shared" si="16"/>
        <v>263.2</v>
      </c>
      <c r="P29" s="10">
        <v>0</v>
      </c>
      <c r="Q29" s="10">
        <v>0</v>
      </c>
      <c r="R29" s="10">
        <f>IF(COUNTIF($J$2:J29,J29)=1,SUMIFS($O:$O,$J:$J,J29)+SUMIFS($P:$P,$J:$J,J29)+SUMIFS($Q:$Q,$J:$J,J29),"")</f>
        <v>2163.1999999999998</v>
      </c>
      <c r="S29" s="10">
        <v>2163.1999999999998</v>
      </c>
      <c r="T29" s="11" t="str">
        <f>IFERROR(INDEX(AD:AD,MATCH(J29,J:J,0)),"")</f>
        <v>Ok</v>
      </c>
      <c r="U29" s="12">
        <v>45693</v>
      </c>
      <c r="V29" s="10">
        <v>263.2</v>
      </c>
      <c r="W29" s="10" t="str">
        <f t="shared" si="17"/>
        <v>Short Paid</v>
      </c>
      <c r="X29" t="s">
        <v>47</v>
      </c>
      <c r="Y29" t="s">
        <v>24</v>
      </c>
      <c r="Z29">
        <v>100233</v>
      </c>
      <c r="AA29" t="s">
        <v>56</v>
      </c>
      <c r="AB29" t="s">
        <v>66</v>
      </c>
      <c r="AC29" s="9">
        <v>3</v>
      </c>
      <c r="AD29" s="9" t="str">
        <f t="shared" si="18"/>
        <v>Ok</v>
      </c>
      <c r="AE29" s="11">
        <f t="shared" si="19"/>
        <v>0</v>
      </c>
    </row>
    <row r="30" spans="1:31" x14ac:dyDescent="0.3">
      <c r="A30">
        <v>93</v>
      </c>
      <c r="B30">
        <v>4568109</v>
      </c>
      <c r="C30" t="s">
        <v>42</v>
      </c>
      <c r="D30">
        <v>1588891</v>
      </c>
      <c r="E30" t="s">
        <v>43</v>
      </c>
      <c r="F30" t="s">
        <v>19</v>
      </c>
      <c r="G30" t="s">
        <v>77</v>
      </c>
      <c r="H30" t="s">
        <v>78</v>
      </c>
      <c r="I30" t="s">
        <v>336</v>
      </c>
      <c r="J30">
        <v>51121113173</v>
      </c>
      <c r="K30" t="s">
        <v>329</v>
      </c>
      <c r="L30" t="s">
        <v>468</v>
      </c>
      <c r="M30">
        <v>38</v>
      </c>
      <c r="N30" s="10">
        <v>49.5</v>
      </c>
      <c r="O30" s="10">
        <f t="shared" si="16"/>
        <v>1881</v>
      </c>
      <c r="P30" s="10" t="s">
        <v>562</v>
      </c>
      <c r="Q30" s="10" t="s">
        <v>562</v>
      </c>
      <c r="R30" s="10" t="str">
        <f>IF(COUNTIF($J$2:J30,J30)=1,SUMIFS($O:$O,$J:$J,J30)+SUMIFS($P:$P,$J:$J,J30)+SUMIFS($Q:$Q,$J:$J,J30),"")</f>
        <v/>
      </c>
      <c r="S30" s="10" t="s">
        <v>562</v>
      </c>
      <c r="T30" s="11" t="str">
        <f>IFERROR(INDEX(AD:AD,MATCH(J30,J:J,0)),"")</f>
        <v>Ok</v>
      </c>
      <c r="U30" s="12">
        <v>45693</v>
      </c>
      <c r="V30" s="10">
        <v>263.2</v>
      </c>
      <c r="W30" s="10" t="str">
        <f t="shared" si="17"/>
        <v>N/A</v>
      </c>
      <c r="X30" t="s">
        <v>47</v>
      </c>
      <c r="Y30" t="s">
        <v>24</v>
      </c>
      <c r="Z30">
        <v>100233</v>
      </c>
      <c r="AA30" t="s">
        <v>56</v>
      </c>
      <c r="AB30" t="s">
        <v>66</v>
      </c>
      <c r="AC30" s="9">
        <v>3</v>
      </c>
      <c r="AD30" s="9" t="str">
        <f t="shared" si="18"/>
        <v>N/A</v>
      </c>
      <c r="AE30" s="11" t="e">
        <f t="shared" si="19"/>
        <v>#VALUE!</v>
      </c>
    </row>
    <row r="31" spans="1:31" x14ac:dyDescent="0.3">
      <c r="A31">
        <v>93</v>
      </c>
      <c r="B31">
        <v>4568109</v>
      </c>
      <c r="C31" t="s">
        <v>42</v>
      </c>
      <c r="D31">
        <v>1588891</v>
      </c>
      <c r="E31" t="s">
        <v>43</v>
      </c>
      <c r="F31" t="s">
        <v>19</v>
      </c>
      <c r="G31" t="s">
        <v>77</v>
      </c>
      <c r="H31" t="s">
        <v>78</v>
      </c>
      <c r="I31" t="s">
        <v>336</v>
      </c>
      <c r="J31">
        <v>51121113173</v>
      </c>
      <c r="K31" t="s">
        <v>266</v>
      </c>
      <c r="L31" t="s">
        <v>441</v>
      </c>
      <c r="M31">
        <v>76</v>
      </c>
      <c r="N31" s="10">
        <v>0.25</v>
      </c>
      <c r="O31" s="10">
        <f t="shared" si="16"/>
        <v>19</v>
      </c>
      <c r="P31" s="10" t="s">
        <v>562</v>
      </c>
      <c r="Q31" s="10" t="s">
        <v>562</v>
      </c>
      <c r="R31" s="10" t="str">
        <f>IF(COUNTIF($J$2:J31,J31)=1,SUMIFS($O:$O,$J:$J,J31)+SUMIFS($P:$P,$J:$J,J31)+SUMIFS($Q:$Q,$J:$J,J31),"")</f>
        <v/>
      </c>
      <c r="S31" s="10" t="s">
        <v>562</v>
      </c>
      <c r="T31" s="11" t="str">
        <f>IFERROR(INDEX(AD:AD,MATCH(J31,J:J,0)),"")</f>
        <v>Ok</v>
      </c>
      <c r="U31" s="12">
        <v>45693</v>
      </c>
      <c r="V31" s="10">
        <v>263.2</v>
      </c>
      <c r="W31" s="10" t="str">
        <f t="shared" si="17"/>
        <v>N/A</v>
      </c>
      <c r="X31" t="s">
        <v>47</v>
      </c>
      <c r="Y31" t="s">
        <v>24</v>
      </c>
      <c r="Z31">
        <v>100233</v>
      </c>
      <c r="AA31" t="s">
        <v>56</v>
      </c>
      <c r="AB31" t="s">
        <v>66</v>
      </c>
      <c r="AC31" s="9">
        <v>3</v>
      </c>
      <c r="AD31" s="9" t="str">
        <f t="shared" si="18"/>
        <v>N/A</v>
      </c>
      <c r="AE31" s="11" t="e">
        <f t="shared" si="19"/>
        <v>#VALUE!</v>
      </c>
    </row>
    <row r="32" spans="1:31" x14ac:dyDescent="0.3">
      <c r="A32">
        <v>93</v>
      </c>
      <c r="B32">
        <v>4568944</v>
      </c>
      <c r="C32" t="s">
        <v>42</v>
      </c>
      <c r="D32">
        <v>1588891</v>
      </c>
      <c r="E32" t="s">
        <v>43</v>
      </c>
      <c r="F32" t="s">
        <v>19</v>
      </c>
      <c r="G32" t="s">
        <v>81</v>
      </c>
      <c r="H32" t="s">
        <v>82</v>
      </c>
      <c r="I32" t="s">
        <v>347</v>
      </c>
      <c r="J32">
        <v>51121260740</v>
      </c>
      <c r="K32" t="s">
        <v>261</v>
      </c>
      <c r="L32" t="s">
        <v>260</v>
      </c>
      <c r="M32">
        <v>3000</v>
      </c>
      <c r="N32" s="10">
        <v>6.5799999999999997E-2</v>
      </c>
      <c r="O32" s="10">
        <f t="shared" si="16"/>
        <v>197.4</v>
      </c>
      <c r="P32" s="10">
        <v>0</v>
      </c>
      <c r="Q32" s="10">
        <v>0</v>
      </c>
      <c r="R32" s="10">
        <f>IF(COUNTIF($J$2:J32,J32)=1,SUMIFS($O:$O,$J:$J,J32)+SUMIFS($P:$P,$J:$J,J32)+SUMIFS($Q:$Q,$J:$J,J32),"")</f>
        <v>3927.4</v>
      </c>
      <c r="S32" s="10">
        <v>3927.4</v>
      </c>
      <c r="T32" s="11" t="str">
        <f>IFERROR(INDEX(AD:AD,MATCH(J32,J:J,0)),"")</f>
        <v>Ok</v>
      </c>
      <c r="U32" s="12">
        <v>45829</v>
      </c>
      <c r="V32" s="10">
        <v>197.4</v>
      </c>
      <c r="W32" s="10" t="str">
        <f t="shared" si="17"/>
        <v>Short Paid</v>
      </c>
      <c r="X32" t="s">
        <v>47</v>
      </c>
      <c r="Y32" t="s">
        <v>24</v>
      </c>
      <c r="Z32">
        <v>100283</v>
      </c>
      <c r="AA32" t="s">
        <v>48</v>
      </c>
      <c r="AB32" t="s">
        <v>66</v>
      </c>
      <c r="AC32" s="9">
        <v>3</v>
      </c>
      <c r="AD32" s="9" t="str">
        <f t="shared" si="18"/>
        <v>Ok</v>
      </c>
      <c r="AE32" s="11">
        <f t="shared" si="19"/>
        <v>0</v>
      </c>
    </row>
    <row r="33" spans="1:31" x14ac:dyDescent="0.3">
      <c r="A33">
        <v>93</v>
      </c>
      <c r="B33">
        <v>4568944</v>
      </c>
      <c r="C33" t="s">
        <v>42</v>
      </c>
      <c r="D33">
        <v>1588891</v>
      </c>
      <c r="E33" t="s">
        <v>43</v>
      </c>
      <c r="F33" t="s">
        <v>19</v>
      </c>
      <c r="G33" t="s">
        <v>81</v>
      </c>
      <c r="H33" t="s">
        <v>82</v>
      </c>
      <c r="I33" t="s">
        <v>423</v>
      </c>
      <c r="J33">
        <v>51121260740</v>
      </c>
      <c r="K33" t="s">
        <v>465</v>
      </c>
      <c r="L33" t="s">
        <v>469</v>
      </c>
      <c r="M33">
        <v>2</v>
      </c>
      <c r="N33" s="10">
        <v>1864.5</v>
      </c>
      <c r="O33" s="10">
        <f t="shared" si="16"/>
        <v>3729</v>
      </c>
      <c r="P33" s="10" t="s">
        <v>562</v>
      </c>
      <c r="Q33" s="10" t="s">
        <v>562</v>
      </c>
      <c r="R33" s="10" t="str">
        <f>IF(COUNTIF($J$2:J33,J33)=1,SUMIFS($O:$O,$J:$J,J33)+SUMIFS($P:$P,$J:$J,J33)+SUMIFS($Q:$Q,$J:$J,J33),"")</f>
        <v/>
      </c>
      <c r="S33" s="10" t="s">
        <v>562</v>
      </c>
      <c r="T33" s="11" t="str">
        <f>IFERROR(INDEX(AD:AD,MATCH(J33,J:J,0)),"")</f>
        <v>Ok</v>
      </c>
      <c r="U33" s="12">
        <v>45829</v>
      </c>
      <c r="V33" s="10">
        <v>197.4</v>
      </c>
      <c r="W33" s="10" t="str">
        <f t="shared" si="17"/>
        <v>N/A</v>
      </c>
      <c r="X33" t="s">
        <v>47</v>
      </c>
      <c r="Y33" t="s">
        <v>24</v>
      </c>
      <c r="Z33">
        <v>100283</v>
      </c>
      <c r="AA33" t="s">
        <v>48</v>
      </c>
      <c r="AB33" t="s">
        <v>66</v>
      </c>
      <c r="AC33" s="9">
        <v>3</v>
      </c>
      <c r="AD33" s="9" t="str">
        <f t="shared" si="18"/>
        <v>N/A</v>
      </c>
      <c r="AE33" s="11" t="e">
        <f t="shared" si="19"/>
        <v>#VALUE!</v>
      </c>
    </row>
    <row r="34" spans="1:31" x14ac:dyDescent="0.3">
      <c r="A34">
        <v>93</v>
      </c>
      <c r="B34">
        <v>4568944</v>
      </c>
      <c r="C34" t="s">
        <v>42</v>
      </c>
      <c r="D34">
        <v>1588891</v>
      </c>
      <c r="E34" t="s">
        <v>43</v>
      </c>
      <c r="F34" t="s">
        <v>19</v>
      </c>
      <c r="G34" t="s">
        <v>81</v>
      </c>
      <c r="H34" t="s">
        <v>82</v>
      </c>
      <c r="I34" t="s">
        <v>423</v>
      </c>
      <c r="J34">
        <v>51121260740</v>
      </c>
      <c r="K34" t="s">
        <v>266</v>
      </c>
      <c r="L34" t="s">
        <v>441</v>
      </c>
      <c r="M34">
        <v>4</v>
      </c>
      <c r="N34" s="10">
        <v>0.25</v>
      </c>
      <c r="O34" s="10">
        <f t="shared" si="16"/>
        <v>1</v>
      </c>
      <c r="P34" s="10" t="s">
        <v>562</v>
      </c>
      <c r="Q34" s="10" t="s">
        <v>562</v>
      </c>
      <c r="R34" s="10" t="str">
        <f>IF(COUNTIF($J$2:J34,J34)=1,SUMIFS($O:$O,$J:$J,J34)+SUMIFS($P:$P,$J:$J,J34)+SUMIFS($Q:$Q,$J:$J,J34),"")</f>
        <v/>
      </c>
      <c r="S34" s="10" t="s">
        <v>562</v>
      </c>
      <c r="T34" s="11" t="str">
        <f>IFERROR(INDEX(AD:AD,MATCH(J34,J:J,0)),"")</f>
        <v>Ok</v>
      </c>
      <c r="U34" s="12">
        <v>45829</v>
      </c>
      <c r="V34" s="10">
        <v>197.4</v>
      </c>
      <c r="W34" s="10" t="str">
        <f t="shared" si="17"/>
        <v>N/A</v>
      </c>
      <c r="X34" t="s">
        <v>47</v>
      </c>
      <c r="Y34" t="s">
        <v>24</v>
      </c>
      <c r="Z34">
        <v>100283</v>
      </c>
      <c r="AA34" t="s">
        <v>48</v>
      </c>
      <c r="AB34" t="s">
        <v>66</v>
      </c>
      <c r="AC34" s="9">
        <v>3</v>
      </c>
      <c r="AD34" s="9" t="str">
        <f t="shared" si="18"/>
        <v>N/A</v>
      </c>
      <c r="AE34" s="11" t="e">
        <f t="shared" si="19"/>
        <v>#VALUE!</v>
      </c>
    </row>
    <row r="35" spans="1:31" x14ac:dyDescent="0.3">
      <c r="A35">
        <v>93</v>
      </c>
      <c r="B35">
        <v>4569501</v>
      </c>
      <c r="C35" t="s">
        <v>42</v>
      </c>
      <c r="D35">
        <v>1588891</v>
      </c>
      <c r="E35" t="s">
        <v>43</v>
      </c>
      <c r="F35" t="s">
        <v>19</v>
      </c>
      <c r="G35" t="s">
        <v>85</v>
      </c>
      <c r="H35" t="s">
        <v>86</v>
      </c>
      <c r="I35" t="s">
        <v>340</v>
      </c>
      <c r="J35">
        <v>51121848788</v>
      </c>
      <c r="K35" t="s">
        <v>379</v>
      </c>
      <c r="L35" t="s">
        <v>378</v>
      </c>
      <c r="M35">
        <v>124</v>
      </c>
      <c r="N35" s="10">
        <v>110.85</v>
      </c>
      <c r="O35" s="10">
        <f t="shared" si="16"/>
        <v>13745.4</v>
      </c>
      <c r="P35" s="10">
        <v>0</v>
      </c>
      <c r="Q35" s="10">
        <v>3161.44</v>
      </c>
      <c r="R35" s="10">
        <f>IF(COUNTIF($J$2:J35,J35)=1,SUMIFS($O:$O,$J:$J,J35)+SUMIFS($P:$P,$J:$J,J35)+SUMIFS($Q:$Q,$J:$J,J35),"")</f>
        <v>17104.239999999998</v>
      </c>
      <c r="S35" s="10">
        <v>17104.240000000002</v>
      </c>
      <c r="T35" s="11" t="str">
        <f>IFERROR(INDEX(AD:AD,MATCH(J35,J:J,0)),"")</f>
        <v>Ok</v>
      </c>
      <c r="U35" s="12">
        <v>45903</v>
      </c>
      <c r="V35" s="10">
        <v>197.4</v>
      </c>
      <c r="W35" s="10" t="str">
        <f t="shared" si="17"/>
        <v>Short Paid</v>
      </c>
      <c r="X35" t="s">
        <v>47</v>
      </c>
      <c r="Y35" t="s">
        <v>24</v>
      </c>
      <c r="Z35">
        <v>100123</v>
      </c>
      <c r="AA35" t="s">
        <v>55</v>
      </c>
      <c r="AB35" t="s">
        <v>66</v>
      </c>
      <c r="AC35" s="9">
        <v>2</v>
      </c>
      <c r="AD35" s="9" t="str">
        <f t="shared" si="18"/>
        <v>Ok</v>
      </c>
      <c r="AE35" s="11">
        <f t="shared" si="19"/>
        <v>0</v>
      </c>
    </row>
    <row r="36" spans="1:31" x14ac:dyDescent="0.3">
      <c r="A36">
        <v>93</v>
      </c>
      <c r="B36">
        <v>4569501</v>
      </c>
      <c r="C36" t="s">
        <v>42</v>
      </c>
      <c r="D36">
        <v>1588891</v>
      </c>
      <c r="E36" t="s">
        <v>43</v>
      </c>
      <c r="F36" t="s">
        <v>19</v>
      </c>
      <c r="G36" t="s">
        <v>85</v>
      </c>
      <c r="H36" t="s">
        <v>86</v>
      </c>
      <c r="I36" t="s">
        <v>353</v>
      </c>
      <c r="J36">
        <v>51121848788</v>
      </c>
      <c r="K36" t="s">
        <v>261</v>
      </c>
      <c r="L36" t="s">
        <v>260</v>
      </c>
      <c r="M36">
        <v>3000</v>
      </c>
      <c r="N36" s="10">
        <v>6.5799999999999997E-2</v>
      </c>
      <c r="O36" s="10">
        <f t="shared" si="16"/>
        <v>197.4</v>
      </c>
      <c r="P36" s="10" t="s">
        <v>562</v>
      </c>
      <c r="Q36" s="10" t="s">
        <v>562</v>
      </c>
      <c r="R36" s="10" t="str">
        <f>IF(COUNTIF($J$2:J36,J36)=1,SUMIFS($O:$O,$J:$J,J36)+SUMIFS($P:$P,$J:$J,J36)+SUMIFS($Q:$Q,$J:$J,J36),"")</f>
        <v/>
      </c>
      <c r="S36" s="10" t="s">
        <v>562</v>
      </c>
      <c r="T36" s="11" t="str">
        <f>IFERROR(INDEX(AD:AD,MATCH(J36,J:J,0)),"")</f>
        <v>Ok</v>
      </c>
      <c r="U36" s="12">
        <v>45903</v>
      </c>
      <c r="V36" s="10">
        <v>197.4</v>
      </c>
      <c r="W36" s="10" t="str">
        <f t="shared" si="17"/>
        <v>N/A</v>
      </c>
      <c r="X36" t="s">
        <v>47</v>
      </c>
      <c r="Y36" t="s">
        <v>24</v>
      </c>
      <c r="Z36">
        <v>100123</v>
      </c>
      <c r="AA36" t="s">
        <v>55</v>
      </c>
      <c r="AB36" t="s">
        <v>66</v>
      </c>
      <c r="AC36" s="9">
        <v>2</v>
      </c>
      <c r="AD36" s="9" t="str">
        <f t="shared" si="18"/>
        <v>N/A</v>
      </c>
      <c r="AE36" s="11" t="e">
        <f t="shared" si="19"/>
        <v>#VALUE!</v>
      </c>
    </row>
    <row r="37" spans="1:31" x14ac:dyDescent="0.3">
      <c r="A37">
        <v>93</v>
      </c>
      <c r="B37">
        <v>4573953</v>
      </c>
      <c r="C37" t="s">
        <v>42</v>
      </c>
      <c r="D37">
        <v>1588891</v>
      </c>
      <c r="E37" t="s">
        <v>43</v>
      </c>
      <c r="F37" t="s">
        <v>19</v>
      </c>
      <c r="G37" t="s">
        <v>111</v>
      </c>
      <c r="H37" t="s">
        <v>112</v>
      </c>
      <c r="I37" t="s">
        <v>313</v>
      </c>
      <c r="J37">
        <v>51122726512</v>
      </c>
      <c r="K37" t="s">
        <v>257</v>
      </c>
      <c r="L37" t="s">
        <v>320</v>
      </c>
      <c r="M37">
        <v>72000</v>
      </c>
      <c r="N37" s="10">
        <v>1.349E-2</v>
      </c>
      <c r="O37" s="10">
        <f t="shared" si="16"/>
        <v>971.28</v>
      </c>
      <c r="P37" s="10">
        <v>0</v>
      </c>
      <c r="Q37" s="10">
        <v>0</v>
      </c>
      <c r="R37" s="10">
        <f>IF(COUNTIF($J$2:J37,J37)=1,SUMIFS($O:$O,$J:$J,J37)+SUMIFS($P:$P,$J:$J,J37)+SUMIFS($Q:$Q,$J:$J,J37),"")</f>
        <v>45195.12</v>
      </c>
      <c r="S37" s="10">
        <v>45195.119999999995</v>
      </c>
      <c r="T37" s="11" t="str">
        <f>IFERROR(INDEX(AD:AD,MATCH(J37,J:J,0)),"")</f>
        <v>Ok</v>
      </c>
      <c r="U37" s="12">
        <v>45743</v>
      </c>
      <c r="V37" s="10">
        <v>971.28</v>
      </c>
      <c r="W37" s="10" t="str">
        <f t="shared" si="17"/>
        <v>Short Paid</v>
      </c>
      <c r="X37" t="s">
        <v>47</v>
      </c>
      <c r="Y37" t="s">
        <v>24</v>
      </c>
      <c r="Z37">
        <v>100243</v>
      </c>
      <c r="AA37" t="s">
        <v>54</v>
      </c>
      <c r="AB37" t="s">
        <v>66</v>
      </c>
      <c r="AC37" s="9">
        <v>2</v>
      </c>
      <c r="AD37" s="9" t="str">
        <f t="shared" si="18"/>
        <v>Ok</v>
      </c>
      <c r="AE37" s="11">
        <f t="shared" si="19"/>
        <v>0</v>
      </c>
    </row>
    <row r="38" spans="1:31" x14ac:dyDescent="0.3">
      <c r="A38">
        <v>93</v>
      </c>
      <c r="B38">
        <v>4573953</v>
      </c>
      <c r="C38" t="s">
        <v>42</v>
      </c>
      <c r="D38">
        <v>1588891</v>
      </c>
      <c r="E38" t="s">
        <v>43</v>
      </c>
      <c r="F38" t="s">
        <v>19</v>
      </c>
      <c r="G38" t="s">
        <v>111</v>
      </c>
      <c r="H38" t="s">
        <v>112</v>
      </c>
      <c r="I38" t="s">
        <v>418</v>
      </c>
      <c r="J38">
        <v>51122726512</v>
      </c>
      <c r="K38" t="s">
        <v>269</v>
      </c>
      <c r="L38" t="s">
        <v>268</v>
      </c>
      <c r="M38">
        <v>432</v>
      </c>
      <c r="N38" s="10">
        <v>102.37</v>
      </c>
      <c r="O38" s="10">
        <f t="shared" si="16"/>
        <v>44223.840000000004</v>
      </c>
      <c r="P38" s="10" t="s">
        <v>562</v>
      </c>
      <c r="Q38" s="10" t="s">
        <v>562</v>
      </c>
      <c r="R38" s="10" t="str">
        <f>IF(COUNTIF($J$2:J38,J38)=1,SUMIFS($O:$O,$J:$J,J38)+SUMIFS($P:$P,$J:$J,J38)+SUMIFS($Q:$Q,$J:$J,J38),"")</f>
        <v/>
      </c>
      <c r="S38" s="10" t="s">
        <v>562</v>
      </c>
      <c r="T38" s="11" t="str">
        <f>IFERROR(INDEX(AD:AD,MATCH(J38,J:J,0)),"")</f>
        <v>Ok</v>
      </c>
      <c r="U38" s="12">
        <v>45743</v>
      </c>
      <c r="V38" s="10">
        <v>971.28</v>
      </c>
      <c r="W38" s="10" t="str">
        <f t="shared" si="17"/>
        <v>N/A</v>
      </c>
      <c r="X38" t="s">
        <v>47</v>
      </c>
      <c r="Y38" t="s">
        <v>24</v>
      </c>
      <c r="Z38">
        <v>100243</v>
      </c>
      <c r="AA38" t="s">
        <v>54</v>
      </c>
      <c r="AB38" t="s">
        <v>66</v>
      </c>
      <c r="AC38" s="9">
        <v>2</v>
      </c>
      <c r="AD38" s="9" t="str">
        <f t="shared" si="18"/>
        <v>N/A</v>
      </c>
      <c r="AE38" s="11" t="e">
        <f t="shared" si="19"/>
        <v>#VALUE!</v>
      </c>
    </row>
    <row r="39" spans="1:31" x14ac:dyDescent="0.3">
      <c r="A39">
        <v>93</v>
      </c>
      <c r="B39">
        <v>4571171</v>
      </c>
      <c r="C39" t="s">
        <v>42</v>
      </c>
      <c r="D39">
        <v>1588891</v>
      </c>
      <c r="E39" t="s">
        <v>43</v>
      </c>
      <c r="F39" t="s">
        <v>19</v>
      </c>
      <c r="G39" t="s">
        <v>93</v>
      </c>
      <c r="H39" t="s">
        <v>94</v>
      </c>
      <c r="I39" t="s">
        <v>310</v>
      </c>
      <c r="J39">
        <v>51123769412</v>
      </c>
      <c r="K39" t="s">
        <v>266</v>
      </c>
      <c r="L39" t="s">
        <v>470</v>
      </c>
      <c r="M39">
        <v>72</v>
      </c>
      <c r="N39" s="10">
        <v>16.27</v>
      </c>
      <c r="O39" s="10">
        <f t="shared" si="16"/>
        <v>1171.44</v>
      </c>
      <c r="P39" s="10">
        <v>0</v>
      </c>
      <c r="Q39" s="10">
        <v>0</v>
      </c>
      <c r="R39" s="10">
        <f>IF(COUNTIF($J$2:J39,J39)=1,SUMIFS($O:$O,$J:$J,J39)+SUMIFS($P:$P,$J:$J,J39)+SUMIFS($Q:$Q,$J:$J,J39),"")</f>
        <v>1516.44</v>
      </c>
      <c r="S39" s="10">
        <v>1861.44</v>
      </c>
      <c r="T39" s="11" t="str">
        <f>IFERROR(INDEX(AD:AD,MATCH(J39,J:J,0)),"")</f>
        <v>Check</v>
      </c>
      <c r="U39" s="12">
        <v>45868</v>
      </c>
      <c r="V39" s="10">
        <v>690</v>
      </c>
      <c r="W39" s="10" t="str">
        <f t="shared" si="17"/>
        <v>Short Paid</v>
      </c>
      <c r="X39" t="s">
        <v>47</v>
      </c>
      <c r="Y39" t="s">
        <v>24</v>
      </c>
      <c r="Z39">
        <v>100243</v>
      </c>
      <c r="AA39" t="s">
        <v>54</v>
      </c>
      <c r="AB39" t="s">
        <v>66</v>
      </c>
      <c r="AC39" s="9">
        <v>2</v>
      </c>
      <c r="AD39" s="9" t="str">
        <f t="shared" si="18"/>
        <v>Check</v>
      </c>
      <c r="AE39" s="11">
        <f t="shared" si="19"/>
        <v>-345</v>
      </c>
    </row>
    <row r="40" spans="1:31" x14ac:dyDescent="0.3">
      <c r="A40">
        <v>93</v>
      </c>
      <c r="B40">
        <v>4571171</v>
      </c>
      <c r="C40" t="s">
        <v>42</v>
      </c>
      <c r="D40">
        <v>1588891</v>
      </c>
      <c r="E40" t="s">
        <v>43</v>
      </c>
      <c r="F40" t="s">
        <v>19</v>
      </c>
      <c r="G40" t="s">
        <v>93</v>
      </c>
      <c r="H40" t="s">
        <v>94</v>
      </c>
      <c r="I40" t="s">
        <v>423</v>
      </c>
      <c r="J40">
        <v>51123769412</v>
      </c>
      <c r="K40" t="s">
        <v>293</v>
      </c>
      <c r="L40" t="s">
        <v>433</v>
      </c>
      <c r="M40">
        <v>1000</v>
      </c>
      <c r="N40" s="10">
        <v>0.34499999999999997</v>
      </c>
      <c r="O40" s="10">
        <f t="shared" si="16"/>
        <v>345</v>
      </c>
      <c r="P40" s="10" t="s">
        <v>562</v>
      </c>
      <c r="Q40" s="10" t="s">
        <v>562</v>
      </c>
      <c r="R40" s="10" t="str">
        <f>IF(COUNTIF($J$2:J40,J40)=1,SUMIFS($O:$O,$J:$J,J40)+SUMIFS($P:$P,$J:$J,J40)+SUMIFS($Q:$Q,$J:$J,J40),"")</f>
        <v/>
      </c>
      <c r="S40" s="10" t="s">
        <v>562</v>
      </c>
      <c r="T40" s="11" t="str">
        <f>IFERROR(INDEX(AD:AD,MATCH(J40,J:J,0)),"")</f>
        <v>Check</v>
      </c>
      <c r="U40" s="12">
        <v>45868</v>
      </c>
      <c r="V40" s="10">
        <v>690</v>
      </c>
      <c r="W40" s="10" t="str">
        <f t="shared" si="17"/>
        <v>N/A</v>
      </c>
      <c r="X40" t="s">
        <v>47</v>
      </c>
      <c r="Y40" t="s">
        <v>24</v>
      </c>
      <c r="Z40">
        <v>100243</v>
      </c>
      <c r="AA40" t="s">
        <v>54</v>
      </c>
      <c r="AB40" t="s">
        <v>66</v>
      </c>
      <c r="AC40" s="9">
        <v>2</v>
      </c>
      <c r="AD40" s="9" t="str">
        <f t="shared" si="18"/>
        <v>N/A</v>
      </c>
      <c r="AE40" s="11" t="e">
        <f t="shared" si="19"/>
        <v>#VALUE!</v>
      </c>
    </row>
    <row r="41" spans="1:31" x14ac:dyDescent="0.3">
      <c r="A41">
        <v>93</v>
      </c>
      <c r="B41">
        <v>4571449</v>
      </c>
      <c r="C41" t="s">
        <v>42</v>
      </c>
      <c r="D41">
        <v>1588891</v>
      </c>
      <c r="E41" t="s">
        <v>43</v>
      </c>
      <c r="F41" t="s">
        <v>19</v>
      </c>
      <c r="G41" t="s">
        <v>91</v>
      </c>
      <c r="H41" t="s">
        <v>92</v>
      </c>
      <c r="I41" t="s">
        <v>262</v>
      </c>
      <c r="J41">
        <v>51123853671</v>
      </c>
      <c r="K41" t="s">
        <v>339</v>
      </c>
      <c r="L41" t="s">
        <v>448</v>
      </c>
      <c r="M41">
        <v>2</v>
      </c>
      <c r="N41" s="10">
        <v>27819.759999999998</v>
      </c>
      <c r="O41" s="10">
        <f t="shared" si="16"/>
        <v>55639.519999999997</v>
      </c>
      <c r="P41" s="10">
        <v>0</v>
      </c>
      <c r="Q41" s="10">
        <v>0</v>
      </c>
      <c r="R41" s="10">
        <f>IF(COUNTIF($J$2:J41,J41)=1,SUMIFS($O:$O,$J:$J,J41)+SUMIFS($P:$P,$J:$J,J41)+SUMIFS($Q:$Q,$J:$J,J41),"")</f>
        <v>55640.52</v>
      </c>
      <c r="S41" s="10">
        <v>55833.5</v>
      </c>
      <c r="T41" s="11" t="str">
        <f>IFERROR(INDEX(AD:AD,MATCH(J41,J:J,0)),"")</f>
        <v>Check</v>
      </c>
      <c r="U41" s="12">
        <v>45888</v>
      </c>
      <c r="V41" s="10">
        <v>163.5</v>
      </c>
      <c r="W41" s="10" t="str">
        <f t="shared" si="17"/>
        <v>Short Paid</v>
      </c>
      <c r="X41" t="s">
        <v>47</v>
      </c>
      <c r="Y41" t="s">
        <v>24</v>
      </c>
      <c r="Z41">
        <v>100273</v>
      </c>
      <c r="AA41" t="s">
        <v>52</v>
      </c>
      <c r="AB41" t="s">
        <v>66</v>
      </c>
      <c r="AC41" s="9">
        <v>2</v>
      </c>
      <c r="AD41" s="9" t="str">
        <f t="shared" si="18"/>
        <v>Check</v>
      </c>
      <c r="AE41" s="11">
        <f t="shared" si="19"/>
        <v>-192.9800000000032</v>
      </c>
    </row>
    <row r="42" spans="1:31" x14ac:dyDescent="0.3">
      <c r="A42">
        <v>93</v>
      </c>
      <c r="B42">
        <v>4571449</v>
      </c>
      <c r="C42" t="s">
        <v>42</v>
      </c>
      <c r="D42">
        <v>1588891</v>
      </c>
      <c r="E42" t="s">
        <v>43</v>
      </c>
      <c r="F42" t="s">
        <v>19</v>
      </c>
      <c r="G42" t="s">
        <v>91</v>
      </c>
      <c r="H42" t="s">
        <v>92</v>
      </c>
      <c r="I42" t="s">
        <v>262</v>
      </c>
      <c r="J42">
        <v>51123853671</v>
      </c>
      <c r="K42" t="s">
        <v>266</v>
      </c>
      <c r="L42" t="s">
        <v>441</v>
      </c>
      <c r="M42">
        <v>4</v>
      </c>
      <c r="N42" s="10">
        <v>0.25</v>
      </c>
      <c r="O42" s="10">
        <f t="shared" si="16"/>
        <v>1</v>
      </c>
      <c r="P42" s="10" t="s">
        <v>562</v>
      </c>
      <c r="Q42" s="10" t="s">
        <v>562</v>
      </c>
      <c r="R42" s="10" t="str">
        <f>IF(COUNTIF($J$2:J42,J42)=1,SUMIFS($O:$O,$J:$J,J42)+SUMIFS($P:$P,$J:$J,J42)+SUMIFS($Q:$Q,$J:$J,J42),"")</f>
        <v/>
      </c>
      <c r="S42" s="10" t="s">
        <v>562</v>
      </c>
      <c r="T42" s="11" t="str">
        <f>IFERROR(INDEX(AD:AD,MATCH(J42,J:J,0)),"")</f>
        <v>Check</v>
      </c>
      <c r="U42" s="12">
        <v>45888</v>
      </c>
      <c r="V42" s="10">
        <v>163.5</v>
      </c>
      <c r="W42" s="10" t="str">
        <f t="shared" si="17"/>
        <v>N/A</v>
      </c>
      <c r="X42" t="s">
        <v>47</v>
      </c>
      <c r="Y42" t="s">
        <v>24</v>
      </c>
      <c r="Z42">
        <v>100273</v>
      </c>
      <c r="AA42" t="s">
        <v>52</v>
      </c>
      <c r="AB42" t="s">
        <v>66</v>
      </c>
      <c r="AC42" s="9">
        <v>2</v>
      </c>
      <c r="AD42" s="9" t="str">
        <f t="shared" si="18"/>
        <v>N/A</v>
      </c>
      <c r="AE42" s="11" t="e">
        <f t="shared" si="19"/>
        <v>#VALUE!</v>
      </c>
    </row>
    <row r="43" spans="1:31" x14ac:dyDescent="0.3">
      <c r="A43">
        <v>93</v>
      </c>
      <c r="B43">
        <v>4571727</v>
      </c>
      <c r="C43" t="s">
        <v>42</v>
      </c>
      <c r="D43">
        <v>1588891</v>
      </c>
      <c r="E43" t="s">
        <v>43</v>
      </c>
      <c r="F43" t="s">
        <v>19</v>
      </c>
      <c r="G43" t="s">
        <v>95</v>
      </c>
      <c r="H43" t="s">
        <v>96</v>
      </c>
      <c r="I43" t="s">
        <v>365</v>
      </c>
      <c r="J43">
        <v>51124076230</v>
      </c>
      <c r="K43" t="s">
        <v>322</v>
      </c>
      <c r="L43" t="s">
        <v>471</v>
      </c>
      <c r="M43">
        <v>3500</v>
      </c>
      <c r="N43" s="10">
        <v>0.99524999999999997</v>
      </c>
      <c r="O43" s="10">
        <f t="shared" si="16"/>
        <v>3483.375</v>
      </c>
      <c r="P43" s="10">
        <v>0</v>
      </c>
      <c r="Q43" s="10">
        <v>0</v>
      </c>
      <c r="R43" s="10">
        <f>IF(COUNTIF($J$2:J43,J43)=1,SUMIFS($O:$O,$J:$J,J43)+SUMIFS($P:$P,$J:$J,J43)+SUMIFS($Q:$Q,$J:$J,J43),"")</f>
        <v>114042.97500000001</v>
      </c>
      <c r="S43" s="10">
        <v>117526.36</v>
      </c>
      <c r="T43" s="11" t="str">
        <f>IFERROR(INDEX(AD:AD,MATCH(J43,J:J,0)),"")</f>
        <v>Check</v>
      </c>
      <c r="U43" s="12">
        <v>45750</v>
      </c>
      <c r="V43" s="10">
        <v>6966.76</v>
      </c>
      <c r="W43" s="10" t="str">
        <f t="shared" si="17"/>
        <v>Short Paid</v>
      </c>
      <c r="X43" t="s">
        <v>47</v>
      </c>
      <c r="Y43" t="s">
        <v>24</v>
      </c>
      <c r="Z43">
        <v>100283</v>
      </c>
      <c r="AA43" t="s">
        <v>48</v>
      </c>
      <c r="AB43" t="s">
        <v>66</v>
      </c>
      <c r="AC43" s="9">
        <v>2</v>
      </c>
      <c r="AD43" s="9" t="str">
        <f t="shared" si="18"/>
        <v>Check</v>
      </c>
      <c r="AE43" s="11">
        <f t="shared" si="19"/>
        <v>-3483.3849999999948</v>
      </c>
    </row>
    <row r="44" spans="1:31" x14ac:dyDescent="0.3">
      <c r="A44">
        <v>93</v>
      </c>
      <c r="B44">
        <v>4571727</v>
      </c>
      <c r="C44" t="s">
        <v>42</v>
      </c>
      <c r="D44">
        <v>1588891</v>
      </c>
      <c r="E44" t="s">
        <v>43</v>
      </c>
      <c r="F44" t="s">
        <v>19</v>
      </c>
      <c r="G44" t="s">
        <v>95</v>
      </c>
      <c r="H44" t="s">
        <v>96</v>
      </c>
      <c r="I44" t="s">
        <v>267</v>
      </c>
      <c r="J44">
        <v>51124076230</v>
      </c>
      <c r="K44" t="s">
        <v>269</v>
      </c>
      <c r="L44" t="s">
        <v>268</v>
      </c>
      <c r="M44">
        <v>1080</v>
      </c>
      <c r="N44" s="10">
        <v>102.37</v>
      </c>
      <c r="O44" s="10">
        <f t="shared" si="16"/>
        <v>110559.6</v>
      </c>
      <c r="P44" s="10" t="s">
        <v>562</v>
      </c>
      <c r="Q44" s="10" t="s">
        <v>562</v>
      </c>
      <c r="R44" s="10" t="str">
        <f>IF(COUNTIF($J$2:J44,J44)=1,SUMIFS($O:$O,$J:$J,J44)+SUMIFS($P:$P,$J:$J,J44)+SUMIFS($Q:$Q,$J:$J,J44),"")</f>
        <v/>
      </c>
      <c r="S44" s="10" t="s">
        <v>562</v>
      </c>
      <c r="T44" s="11" t="str">
        <f>IFERROR(INDEX(AD:AD,MATCH(J44,J:J,0)),"")</f>
        <v>Check</v>
      </c>
      <c r="U44" s="12">
        <v>45750</v>
      </c>
      <c r="V44" s="10">
        <v>6966.76</v>
      </c>
      <c r="W44" s="10" t="str">
        <f t="shared" si="17"/>
        <v>N/A</v>
      </c>
      <c r="X44" t="s">
        <v>47</v>
      </c>
      <c r="Y44" t="s">
        <v>24</v>
      </c>
      <c r="Z44">
        <v>100283</v>
      </c>
      <c r="AA44" t="s">
        <v>48</v>
      </c>
      <c r="AB44" t="s">
        <v>66</v>
      </c>
      <c r="AC44" s="9">
        <v>2</v>
      </c>
      <c r="AD44" s="9" t="str">
        <f t="shared" si="18"/>
        <v>N/A</v>
      </c>
      <c r="AE44" s="11" t="e">
        <f t="shared" si="19"/>
        <v>#VALUE!</v>
      </c>
    </row>
    <row r="45" spans="1:31" x14ac:dyDescent="0.3">
      <c r="A45">
        <v>93</v>
      </c>
      <c r="B45">
        <v>4572005</v>
      </c>
      <c r="C45" t="s">
        <v>42</v>
      </c>
      <c r="D45">
        <v>1588891</v>
      </c>
      <c r="E45" t="s">
        <v>43</v>
      </c>
      <c r="F45" t="s">
        <v>19</v>
      </c>
      <c r="G45" t="s">
        <v>97</v>
      </c>
      <c r="H45" t="s">
        <v>98</v>
      </c>
      <c r="I45" t="s">
        <v>413</v>
      </c>
      <c r="J45">
        <v>51124279479</v>
      </c>
      <c r="K45" t="s">
        <v>322</v>
      </c>
      <c r="L45" t="s">
        <v>472</v>
      </c>
      <c r="M45">
        <v>120</v>
      </c>
      <c r="N45" s="10">
        <v>1.4990000000000001</v>
      </c>
      <c r="O45" s="10">
        <f t="shared" si="16"/>
        <v>179.88000000000002</v>
      </c>
      <c r="P45" s="10">
        <v>0</v>
      </c>
      <c r="Q45" s="10">
        <v>0</v>
      </c>
      <c r="R45" s="10">
        <f>IF(COUNTIF($J$2:J45,J45)=1,SUMIFS($O:$O,$J:$J,J45)+SUMIFS($P:$P,$J:$J,J45)+SUMIFS($Q:$Q,$J:$J,J45),"")</f>
        <v>6884.1</v>
      </c>
      <c r="S45" s="10">
        <v>6884.1</v>
      </c>
      <c r="T45" s="11" t="str">
        <f>IFERROR(INDEX(AD:AD,MATCH(J45,J:J,0)),"")</f>
        <v>Ok</v>
      </c>
      <c r="U45" s="12">
        <v>45890</v>
      </c>
      <c r="V45" s="10">
        <v>179.88</v>
      </c>
      <c r="W45" s="10" t="str">
        <f t="shared" si="17"/>
        <v>Short Paid</v>
      </c>
      <c r="X45" t="s">
        <v>47</v>
      </c>
      <c r="Y45" t="s">
        <v>24</v>
      </c>
      <c r="Z45">
        <v>100113</v>
      </c>
      <c r="AA45" t="s">
        <v>57</v>
      </c>
      <c r="AB45" t="s">
        <v>66</v>
      </c>
      <c r="AC45" s="9">
        <v>2</v>
      </c>
      <c r="AD45" s="9" t="str">
        <f t="shared" si="18"/>
        <v>Ok</v>
      </c>
      <c r="AE45" s="11">
        <f t="shared" si="19"/>
        <v>0</v>
      </c>
    </row>
    <row r="46" spans="1:31" x14ac:dyDescent="0.3">
      <c r="A46">
        <v>93</v>
      </c>
      <c r="B46">
        <v>4572005</v>
      </c>
      <c r="C46" t="s">
        <v>42</v>
      </c>
      <c r="D46">
        <v>1588891</v>
      </c>
      <c r="E46" t="s">
        <v>43</v>
      </c>
      <c r="F46" t="s">
        <v>19</v>
      </c>
      <c r="G46" t="s">
        <v>97</v>
      </c>
      <c r="H46" t="s">
        <v>98</v>
      </c>
      <c r="I46" t="s">
        <v>294</v>
      </c>
      <c r="J46">
        <v>51124279479</v>
      </c>
      <c r="K46" t="s">
        <v>474</v>
      </c>
      <c r="L46" t="s">
        <v>473</v>
      </c>
      <c r="M46">
        <v>29</v>
      </c>
      <c r="N46" s="10">
        <v>231.18</v>
      </c>
      <c r="O46" s="10">
        <f t="shared" si="16"/>
        <v>6704.22</v>
      </c>
      <c r="P46" s="10" t="s">
        <v>562</v>
      </c>
      <c r="Q46" s="10" t="s">
        <v>562</v>
      </c>
      <c r="R46" s="10" t="str">
        <f>IF(COUNTIF($J$2:J46,J46)=1,SUMIFS($O:$O,$J:$J,J46)+SUMIFS($P:$P,$J:$J,J46)+SUMIFS($Q:$Q,$J:$J,J46),"")</f>
        <v/>
      </c>
      <c r="S46" s="10" t="s">
        <v>562</v>
      </c>
      <c r="T46" s="11" t="str">
        <f>IFERROR(INDEX(AD:AD,MATCH(J46,J:J,0)),"")</f>
        <v>Ok</v>
      </c>
      <c r="U46" s="12">
        <v>45890</v>
      </c>
      <c r="V46" s="10">
        <v>179.88</v>
      </c>
      <c r="W46" s="10" t="str">
        <f t="shared" si="17"/>
        <v>N/A</v>
      </c>
      <c r="X46" t="s">
        <v>47</v>
      </c>
      <c r="Y46" t="s">
        <v>24</v>
      </c>
      <c r="Z46">
        <v>100113</v>
      </c>
      <c r="AA46" t="s">
        <v>57</v>
      </c>
      <c r="AB46" t="s">
        <v>66</v>
      </c>
      <c r="AC46" s="9">
        <v>2</v>
      </c>
      <c r="AD46" s="9" t="str">
        <f t="shared" si="18"/>
        <v>N/A</v>
      </c>
      <c r="AE46" s="11" t="e">
        <f t="shared" si="19"/>
        <v>#VALUE!</v>
      </c>
    </row>
    <row r="47" spans="1:31" x14ac:dyDescent="0.3">
      <c r="A47">
        <v>93</v>
      </c>
      <c r="B47">
        <v>4572284</v>
      </c>
      <c r="C47" t="s">
        <v>42</v>
      </c>
      <c r="D47">
        <v>1588891</v>
      </c>
      <c r="E47" t="s">
        <v>43</v>
      </c>
      <c r="F47" t="s">
        <v>19</v>
      </c>
      <c r="G47" t="s">
        <v>99</v>
      </c>
      <c r="H47" t="s">
        <v>100</v>
      </c>
      <c r="I47" t="s">
        <v>398</v>
      </c>
      <c r="J47">
        <v>51125204418</v>
      </c>
      <c r="K47" t="s">
        <v>476</v>
      </c>
      <c r="L47" t="s">
        <v>475</v>
      </c>
      <c r="M47">
        <v>250</v>
      </c>
      <c r="N47" s="10">
        <v>19.22</v>
      </c>
      <c r="O47" s="10">
        <f t="shared" ref="O47:O67" si="20">M47*N47</f>
        <v>4805</v>
      </c>
      <c r="P47" s="10">
        <v>0</v>
      </c>
      <c r="Q47" s="10">
        <v>0</v>
      </c>
      <c r="R47" s="10">
        <f>IF(COUNTIF($J$2:J47,J47)=1,SUMIFS($O:$O,$J:$J,J47)+SUMIFS($P:$P,$J:$J,J47)+SUMIFS($Q:$Q,$J:$J,J47),"")</f>
        <v>5252.8519999999999</v>
      </c>
      <c r="S47" s="10">
        <v>5252.85</v>
      </c>
      <c r="T47" s="11" t="str">
        <f>IFERROR(INDEX(AD:AD,MATCH(J47,J:J,0)),"")</f>
        <v>Check</v>
      </c>
      <c r="U47" s="12">
        <v>45741</v>
      </c>
      <c r="V47" s="10">
        <v>447.85</v>
      </c>
      <c r="W47" s="10" t="str">
        <f t="shared" ref="W47:W67" si="21">IF(OR(S47="",V47=""),"N/A",IF(S47&lt;&gt;V47,"Short Paid","Not Paid"))</f>
        <v>Short Paid</v>
      </c>
      <c r="X47" t="s">
        <v>47</v>
      </c>
      <c r="Y47" t="s">
        <v>24</v>
      </c>
      <c r="Z47">
        <v>100123</v>
      </c>
      <c r="AA47" t="s">
        <v>55</v>
      </c>
      <c r="AB47" t="s">
        <v>66</v>
      </c>
      <c r="AC47" s="9">
        <v>2</v>
      </c>
      <c r="AD47" s="9" t="str">
        <f t="shared" ref="AD47:AD67" si="22">IF(AND(R47="",S47=""),"N/A",IF(R47=S47,"Ok","Check"))</f>
        <v>Check</v>
      </c>
      <c r="AE47" s="11">
        <f t="shared" si="19"/>
        <v>1.9999999994979589E-3</v>
      </c>
    </row>
    <row r="48" spans="1:31" x14ac:dyDescent="0.3">
      <c r="A48">
        <v>93</v>
      </c>
      <c r="B48">
        <v>4572284</v>
      </c>
      <c r="C48" t="s">
        <v>42</v>
      </c>
      <c r="D48">
        <v>1588891</v>
      </c>
      <c r="E48" t="s">
        <v>43</v>
      </c>
      <c r="F48" t="s">
        <v>19</v>
      </c>
      <c r="G48" t="s">
        <v>99</v>
      </c>
      <c r="H48" t="s">
        <v>100</v>
      </c>
      <c r="I48" t="s">
        <v>326</v>
      </c>
      <c r="J48">
        <v>51125204418</v>
      </c>
      <c r="K48" t="s">
        <v>303</v>
      </c>
      <c r="L48" t="s">
        <v>342</v>
      </c>
      <c r="M48">
        <v>1200</v>
      </c>
      <c r="N48" s="10">
        <v>0.37320999999999999</v>
      </c>
      <c r="O48" s="10">
        <f t="shared" si="20"/>
        <v>447.85199999999998</v>
      </c>
      <c r="P48" s="10" t="s">
        <v>562</v>
      </c>
      <c r="Q48" s="10" t="s">
        <v>562</v>
      </c>
      <c r="R48" s="10" t="str">
        <f>IF(COUNTIF($J$2:J48,J48)=1,SUMIFS($O:$O,$J:$J,J48)+SUMIFS($P:$P,$J:$J,J48)+SUMIFS($Q:$Q,$J:$J,J48),"")</f>
        <v/>
      </c>
      <c r="S48" s="10" t="s">
        <v>562</v>
      </c>
      <c r="T48" s="11" t="str">
        <f>IFERROR(INDEX(AD:AD,MATCH(J48,J:J,0)),"")</f>
        <v>Check</v>
      </c>
      <c r="U48" s="12">
        <v>45741</v>
      </c>
      <c r="V48" s="10">
        <v>447.85</v>
      </c>
      <c r="W48" s="10" t="str">
        <f t="shared" si="21"/>
        <v>N/A</v>
      </c>
      <c r="X48" t="s">
        <v>47</v>
      </c>
      <c r="Y48" t="s">
        <v>24</v>
      </c>
      <c r="Z48">
        <v>100123</v>
      </c>
      <c r="AA48" t="s">
        <v>55</v>
      </c>
      <c r="AB48" t="s">
        <v>66</v>
      </c>
      <c r="AC48" s="9">
        <v>2</v>
      </c>
      <c r="AD48" s="9" t="str">
        <f t="shared" si="22"/>
        <v>N/A</v>
      </c>
      <c r="AE48" s="11" t="e">
        <f t="shared" si="19"/>
        <v>#VALUE!</v>
      </c>
    </row>
    <row r="49" spans="1:31" x14ac:dyDescent="0.3">
      <c r="A49">
        <v>93</v>
      </c>
      <c r="B49">
        <v>4572562</v>
      </c>
      <c r="C49" t="s">
        <v>42</v>
      </c>
      <c r="D49">
        <v>1588891</v>
      </c>
      <c r="E49" t="s">
        <v>43</v>
      </c>
      <c r="F49" t="s">
        <v>19</v>
      </c>
      <c r="G49" t="s">
        <v>101</v>
      </c>
      <c r="H49" t="s">
        <v>102</v>
      </c>
      <c r="I49" t="s">
        <v>304</v>
      </c>
      <c r="J49">
        <v>51125204427</v>
      </c>
      <c r="K49" t="s">
        <v>269</v>
      </c>
      <c r="L49" t="s">
        <v>268</v>
      </c>
      <c r="M49">
        <v>540</v>
      </c>
      <c r="N49" s="10">
        <v>102.37</v>
      </c>
      <c r="O49" s="10">
        <f t="shared" si="20"/>
        <v>55279.8</v>
      </c>
      <c r="P49" s="10">
        <v>0</v>
      </c>
      <c r="Q49" s="10">
        <v>0</v>
      </c>
      <c r="R49" s="10">
        <f>IF(COUNTIF($J$2:J49,J49)=1,SUMIFS($O:$O,$J:$J,J49)+SUMIFS($P:$P,$J:$J,J49)+SUMIFS($Q:$Q,$J:$J,J49),"")</f>
        <v>67225.8</v>
      </c>
      <c r="S49" s="10">
        <v>67225.8</v>
      </c>
      <c r="T49" s="11" t="str">
        <f>IFERROR(INDEX(AD:AD,MATCH(J49,J:J,0)),"")</f>
        <v>Ok</v>
      </c>
      <c r="U49" s="12">
        <v>45855</v>
      </c>
      <c r="V49" s="10">
        <v>11946</v>
      </c>
      <c r="W49" s="10" t="str">
        <f t="shared" si="21"/>
        <v>Short Paid</v>
      </c>
      <c r="X49" t="s">
        <v>47</v>
      </c>
      <c r="Y49" t="s">
        <v>24</v>
      </c>
      <c r="Z49">
        <v>100153</v>
      </c>
      <c r="AA49" t="s">
        <v>53</v>
      </c>
      <c r="AB49" t="s">
        <v>66</v>
      </c>
      <c r="AC49" s="9">
        <v>2</v>
      </c>
      <c r="AD49" s="9" t="str">
        <f t="shared" si="22"/>
        <v>Ok</v>
      </c>
      <c r="AE49" s="11">
        <f t="shared" si="19"/>
        <v>0</v>
      </c>
    </row>
    <row r="50" spans="1:31" x14ac:dyDescent="0.3">
      <c r="A50">
        <v>93</v>
      </c>
      <c r="B50">
        <v>4572562</v>
      </c>
      <c r="C50" t="s">
        <v>42</v>
      </c>
      <c r="D50">
        <v>1588891</v>
      </c>
      <c r="E50" t="s">
        <v>43</v>
      </c>
      <c r="F50" t="s">
        <v>19</v>
      </c>
      <c r="G50" t="s">
        <v>101</v>
      </c>
      <c r="H50" t="s">
        <v>102</v>
      </c>
      <c r="I50" t="s">
        <v>281</v>
      </c>
      <c r="J50">
        <v>51125204427</v>
      </c>
      <c r="K50" t="s">
        <v>478</v>
      </c>
      <c r="L50" t="s">
        <v>477</v>
      </c>
      <c r="M50">
        <v>3000</v>
      </c>
      <c r="N50" s="10">
        <v>3.9820000000000002</v>
      </c>
      <c r="O50" s="10">
        <f t="shared" si="20"/>
        <v>11946</v>
      </c>
      <c r="P50" s="10" t="s">
        <v>562</v>
      </c>
      <c r="Q50" s="10" t="s">
        <v>562</v>
      </c>
      <c r="R50" s="10" t="str">
        <f>IF(COUNTIF($J$2:J50,J50)=1,SUMIFS($O:$O,$J:$J,J50)+SUMIFS($P:$P,$J:$J,J50)+SUMIFS($Q:$Q,$J:$J,J50),"")</f>
        <v/>
      </c>
      <c r="S50" s="10" t="s">
        <v>562</v>
      </c>
      <c r="T50" s="11" t="str">
        <f>IFERROR(INDEX(AD:AD,MATCH(J50,J:J,0)),"")</f>
        <v>Ok</v>
      </c>
      <c r="U50" s="12">
        <v>45855</v>
      </c>
      <c r="V50" s="10">
        <v>11946</v>
      </c>
      <c r="W50" s="10" t="str">
        <f t="shared" si="21"/>
        <v>N/A</v>
      </c>
      <c r="X50" t="s">
        <v>47</v>
      </c>
      <c r="Y50" t="s">
        <v>24</v>
      </c>
      <c r="Z50">
        <v>100153</v>
      </c>
      <c r="AA50" t="s">
        <v>53</v>
      </c>
      <c r="AB50" t="s">
        <v>66</v>
      </c>
      <c r="AC50" s="9">
        <v>2</v>
      </c>
      <c r="AD50" s="9" t="str">
        <f t="shared" si="22"/>
        <v>N/A</v>
      </c>
      <c r="AE50" s="11" t="e">
        <f t="shared" si="19"/>
        <v>#VALUE!</v>
      </c>
    </row>
    <row r="51" spans="1:31" x14ac:dyDescent="0.3">
      <c r="A51">
        <v>93</v>
      </c>
      <c r="B51">
        <v>4572840</v>
      </c>
      <c r="C51" t="s">
        <v>42</v>
      </c>
      <c r="D51">
        <v>1588891</v>
      </c>
      <c r="E51" t="s">
        <v>43</v>
      </c>
      <c r="F51" t="s">
        <v>19</v>
      </c>
      <c r="G51" t="s">
        <v>103</v>
      </c>
      <c r="H51" t="s">
        <v>104</v>
      </c>
      <c r="I51" t="s">
        <v>392</v>
      </c>
      <c r="J51">
        <v>51125355376</v>
      </c>
      <c r="K51" t="s">
        <v>269</v>
      </c>
      <c r="L51" t="s">
        <v>268</v>
      </c>
      <c r="M51">
        <v>540</v>
      </c>
      <c r="N51" s="10">
        <v>102.37</v>
      </c>
      <c r="O51" s="10">
        <f t="shared" si="20"/>
        <v>55279.8</v>
      </c>
      <c r="P51" s="10">
        <v>0</v>
      </c>
      <c r="Q51" s="10">
        <v>0</v>
      </c>
      <c r="R51" s="10">
        <f>IF(COUNTIF($J$2:J51,J51)=1,SUMIFS($O:$O,$J:$J,J51)+SUMIFS($P:$P,$J:$J,J51)+SUMIFS($Q:$Q,$J:$J,J51),"")</f>
        <v>55441.8</v>
      </c>
      <c r="S51" s="10">
        <v>55441.8</v>
      </c>
      <c r="T51" s="11" t="str">
        <f>IFERROR(INDEX(AD:AD,MATCH(J51,J:J,0)),"")</f>
        <v>Ok</v>
      </c>
      <c r="U51" s="12">
        <v>45792</v>
      </c>
      <c r="V51" s="10">
        <v>162</v>
      </c>
      <c r="W51" s="10" t="str">
        <f t="shared" si="21"/>
        <v>Short Paid</v>
      </c>
      <c r="X51" t="s">
        <v>47</v>
      </c>
      <c r="Y51" t="s">
        <v>24</v>
      </c>
      <c r="Z51">
        <v>100163</v>
      </c>
      <c r="AA51" t="s">
        <v>51</v>
      </c>
      <c r="AB51" t="s">
        <v>66</v>
      </c>
      <c r="AC51" s="9">
        <v>2</v>
      </c>
      <c r="AD51" s="9" t="str">
        <f t="shared" si="22"/>
        <v>Ok</v>
      </c>
      <c r="AE51" s="11">
        <f t="shared" ref="AE51:AE69" si="23">R51-S51</f>
        <v>0</v>
      </c>
    </row>
    <row r="52" spans="1:31" x14ac:dyDescent="0.3">
      <c r="A52">
        <v>93</v>
      </c>
      <c r="B52">
        <v>4572840</v>
      </c>
      <c r="C52" t="s">
        <v>42</v>
      </c>
      <c r="D52">
        <v>1588891</v>
      </c>
      <c r="E52" t="s">
        <v>43</v>
      </c>
      <c r="F52" t="s">
        <v>19</v>
      </c>
      <c r="G52" t="s">
        <v>103</v>
      </c>
      <c r="H52" t="s">
        <v>104</v>
      </c>
      <c r="I52" t="s">
        <v>307</v>
      </c>
      <c r="J52">
        <v>51125355376</v>
      </c>
      <c r="K52" t="s">
        <v>345</v>
      </c>
      <c r="L52" t="s">
        <v>479</v>
      </c>
      <c r="M52">
        <v>108000</v>
      </c>
      <c r="N52" s="10">
        <v>1.5E-3</v>
      </c>
      <c r="O52" s="10">
        <f t="shared" si="20"/>
        <v>162</v>
      </c>
      <c r="P52" s="10" t="s">
        <v>562</v>
      </c>
      <c r="Q52" s="10" t="s">
        <v>562</v>
      </c>
      <c r="R52" s="10" t="str">
        <f>IF(COUNTIF($J$2:J52,J52)=1,SUMIFS($O:$O,$J:$J,J52)+SUMIFS($P:$P,$J:$J,J52)+SUMIFS($Q:$Q,$J:$J,J52),"")</f>
        <v/>
      </c>
      <c r="S52" s="10" t="s">
        <v>562</v>
      </c>
      <c r="T52" s="11" t="str">
        <f>IFERROR(INDEX(AD:AD,MATCH(J52,J:J,0)),"")</f>
        <v>Ok</v>
      </c>
      <c r="U52" s="12">
        <v>45792</v>
      </c>
      <c r="V52" s="10">
        <v>162</v>
      </c>
      <c r="W52" s="10" t="str">
        <f t="shared" si="21"/>
        <v>N/A</v>
      </c>
      <c r="X52" t="s">
        <v>47</v>
      </c>
      <c r="Y52" t="s">
        <v>24</v>
      </c>
      <c r="Z52">
        <v>100163</v>
      </c>
      <c r="AA52" t="s">
        <v>51</v>
      </c>
      <c r="AB52" t="s">
        <v>66</v>
      </c>
      <c r="AC52" s="9">
        <v>2</v>
      </c>
      <c r="AD52" s="9" t="str">
        <f t="shared" si="22"/>
        <v>N/A</v>
      </c>
      <c r="AE52" s="11" t="e">
        <f t="shared" si="23"/>
        <v>#VALUE!</v>
      </c>
    </row>
    <row r="53" spans="1:31" x14ac:dyDescent="0.3">
      <c r="A53">
        <v>93</v>
      </c>
      <c r="B53">
        <v>4573397</v>
      </c>
      <c r="C53" t="s">
        <v>42</v>
      </c>
      <c r="D53">
        <v>1588891</v>
      </c>
      <c r="E53" t="s">
        <v>43</v>
      </c>
      <c r="F53" t="s">
        <v>38</v>
      </c>
      <c r="G53" t="s">
        <v>105</v>
      </c>
      <c r="H53" t="s">
        <v>106</v>
      </c>
      <c r="I53" t="s">
        <v>388</v>
      </c>
      <c r="J53">
        <v>51125487144</v>
      </c>
      <c r="K53" t="s">
        <v>465</v>
      </c>
      <c r="L53" t="s">
        <v>469</v>
      </c>
      <c r="M53">
        <v>2</v>
      </c>
      <c r="N53" s="10">
        <v>1864.5</v>
      </c>
      <c r="O53" s="10">
        <f t="shared" si="20"/>
        <v>3729</v>
      </c>
      <c r="P53" s="10">
        <v>0</v>
      </c>
      <c r="Q53" s="10">
        <v>0</v>
      </c>
      <c r="R53" s="10">
        <f>IF(COUNTIF($J$2:J53,J53)=1,SUMIFS($O:$O,$J:$J,J53)+SUMIFS($P:$P,$J:$J,J53)+SUMIFS($Q:$Q,$J:$J,J53),"")</f>
        <v>3980</v>
      </c>
      <c r="S53" s="10">
        <v>3980</v>
      </c>
      <c r="T53" s="11" t="str">
        <f>IFERROR(INDEX(AD:AD,MATCH(J53,J:J,0)),"")</f>
        <v>Ok</v>
      </c>
      <c r="U53" s="12">
        <v>45724</v>
      </c>
      <c r="V53" s="10">
        <v>250</v>
      </c>
      <c r="W53" s="10" t="str">
        <f t="shared" si="21"/>
        <v>Short Paid</v>
      </c>
      <c r="X53" t="s">
        <v>47</v>
      </c>
      <c r="Y53" t="s">
        <v>46</v>
      </c>
      <c r="Z53">
        <v>100253</v>
      </c>
      <c r="AA53" t="s">
        <v>252</v>
      </c>
      <c r="AB53" t="s">
        <v>249</v>
      </c>
      <c r="AC53" s="9">
        <v>3</v>
      </c>
      <c r="AD53" s="9" t="str">
        <f t="shared" si="22"/>
        <v>Ok</v>
      </c>
      <c r="AE53" s="11">
        <f t="shared" si="23"/>
        <v>0</v>
      </c>
    </row>
    <row r="54" spans="1:31" x14ac:dyDescent="0.3">
      <c r="A54">
        <v>93</v>
      </c>
      <c r="B54">
        <v>4573397</v>
      </c>
      <c r="C54" t="s">
        <v>42</v>
      </c>
      <c r="D54">
        <v>1588891</v>
      </c>
      <c r="E54" t="s">
        <v>43</v>
      </c>
      <c r="F54" t="s">
        <v>38</v>
      </c>
      <c r="G54" t="s">
        <v>105</v>
      </c>
      <c r="H54" t="s">
        <v>106</v>
      </c>
      <c r="I54" t="s">
        <v>388</v>
      </c>
      <c r="J54">
        <v>51125487144</v>
      </c>
      <c r="K54" t="s">
        <v>266</v>
      </c>
      <c r="L54" t="s">
        <v>441</v>
      </c>
      <c r="M54">
        <v>4</v>
      </c>
      <c r="N54" s="10">
        <v>0.25</v>
      </c>
      <c r="O54" s="10">
        <f t="shared" si="20"/>
        <v>1</v>
      </c>
      <c r="P54" s="10" t="s">
        <v>562</v>
      </c>
      <c r="Q54" s="10" t="s">
        <v>562</v>
      </c>
      <c r="R54" s="10" t="str">
        <f>IF(COUNTIF($J$2:J54,J54)=1,SUMIFS($O:$O,$J:$J,J54)+SUMIFS($P:$P,$J:$J,J54)+SUMIFS($Q:$Q,$J:$J,J54),"")</f>
        <v/>
      </c>
      <c r="S54" s="10" t="s">
        <v>562</v>
      </c>
      <c r="T54" s="11" t="str">
        <f>IFERROR(INDEX(AD:AD,MATCH(J54,J:J,0)),"")</f>
        <v>Ok</v>
      </c>
      <c r="U54" s="12">
        <v>45724</v>
      </c>
      <c r="V54" s="10">
        <v>250</v>
      </c>
      <c r="W54" s="10" t="str">
        <f t="shared" si="21"/>
        <v>N/A</v>
      </c>
      <c r="X54" t="s">
        <v>47</v>
      </c>
      <c r="Y54" t="s">
        <v>46</v>
      </c>
      <c r="Z54">
        <v>100253</v>
      </c>
      <c r="AA54" t="s">
        <v>252</v>
      </c>
      <c r="AB54" t="s">
        <v>249</v>
      </c>
      <c r="AC54" s="9">
        <v>3</v>
      </c>
      <c r="AD54" s="9" t="str">
        <f t="shared" si="22"/>
        <v>N/A</v>
      </c>
      <c r="AE54" s="11" t="e">
        <f t="shared" si="23"/>
        <v>#VALUE!</v>
      </c>
    </row>
    <row r="55" spans="1:31" x14ac:dyDescent="0.3">
      <c r="A55">
        <v>93</v>
      </c>
      <c r="B55">
        <v>4573397</v>
      </c>
      <c r="C55" t="s">
        <v>42</v>
      </c>
      <c r="D55">
        <v>1588891</v>
      </c>
      <c r="E55" t="s">
        <v>43</v>
      </c>
      <c r="F55" t="s">
        <v>38</v>
      </c>
      <c r="G55" t="s">
        <v>105</v>
      </c>
      <c r="H55" t="s">
        <v>106</v>
      </c>
      <c r="I55" t="s">
        <v>354</v>
      </c>
      <c r="J55">
        <v>51125487144</v>
      </c>
      <c r="K55" t="s">
        <v>426</v>
      </c>
      <c r="L55" t="s">
        <v>480</v>
      </c>
      <c r="M55">
        <v>1</v>
      </c>
      <c r="N55" s="10">
        <v>250</v>
      </c>
      <c r="O55" s="10">
        <f t="shared" si="20"/>
        <v>250</v>
      </c>
      <c r="P55" s="10" t="s">
        <v>562</v>
      </c>
      <c r="Q55" s="10" t="s">
        <v>562</v>
      </c>
      <c r="R55" s="10" t="str">
        <f>IF(COUNTIF($J$2:J55,J55)=1,SUMIFS($O:$O,$J:$J,J55)+SUMIFS($P:$P,$J:$J,J55)+SUMIFS($Q:$Q,$J:$J,J55),"")</f>
        <v/>
      </c>
      <c r="S55" s="10" t="s">
        <v>562</v>
      </c>
      <c r="T55" s="11" t="str">
        <f>IFERROR(INDEX(AD:AD,MATCH(J55,J:J,0)),"")</f>
        <v>Ok</v>
      </c>
      <c r="U55" s="12">
        <v>45724</v>
      </c>
      <c r="V55" s="10">
        <v>250</v>
      </c>
      <c r="W55" s="10" t="str">
        <f t="shared" si="21"/>
        <v>N/A</v>
      </c>
      <c r="X55" t="s">
        <v>47</v>
      </c>
      <c r="Y55" t="s">
        <v>46</v>
      </c>
      <c r="Z55">
        <v>100253</v>
      </c>
      <c r="AA55" t="s">
        <v>252</v>
      </c>
      <c r="AB55" t="s">
        <v>249</v>
      </c>
      <c r="AC55" s="9">
        <v>3</v>
      </c>
      <c r="AD55" s="9" t="str">
        <f t="shared" si="22"/>
        <v>N/A</v>
      </c>
      <c r="AE55" s="11" t="e">
        <f t="shared" si="23"/>
        <v>#VALUE!</v>
      </c>
    </row>
    <row r="56" spans="1:31" x14ac:dyDescent="0.3">
      <c r="A56">
        <v>93</v>
      </c>
      <c r="B56">
        <v>4573119</v>
      </c>
      <c r="C56" t="s">
        <v>42</v>
      </c>
      <c r="D56">
        <v>1588891</v>
      </c>
      <c r="E56" t="s">
        <v>43</v>
      </c>
      <c r="F56" t="s">
        <v>19</v>
      </c>
      <c r="G56" t="s">
        <v>107</v>
      </c>
      <c r="H56" t="s">
        <v>108</v>
      </c>
      <c r="I56" t="s">
        <v>326</v>
      </c>
      <c r="J56">
        <v>51125578285</v>
      </c>
      <c r="K56" t="s">
        <v>284</v>
      </c>
      <c r="L56" t="s">
        <v>481</v>
      </c>
      <c r="M56">
        <v>7500</v>
      </c>
      <c r="N56" s="10">
        <v>1.0346</v>
      </c>
      <c r="O56" s="10">
        <f t="shared" si="20"/>
        <v>7759.5</v>
      </c>
      <c r="P56" s="10">
        <v>0</v>
      </c>
      <c r="Q56" s="10">
        <v>0</v>
      </c>
      <c r="R56" s="10">
        <f>IF(COUNTIF($J$2:J56,J56)=1,SUMIFS($O:$O,$J:$J,J56)+SUMIFS($P:$P,$J:$J,J56)+SUMIFS($Q:$Q,$J:$J,J56),"")</f>
        <v>38470.5</v>
      </c>
      <c r="S56" s="10">
        <v>41057</v>
      </c>
      <c r="T56" s="11" t="str">
        <f>IFERROR(INDEX(AD:AD,MATCH(J56,J:J,0)),"")</f>
        <v>Check</v>
      </c>
      <c r="U56" s="12">
        <v>45754</v>
      </c>
      <c r="V56" s="10">
        <v>10346</v>
      </c>
      <c r="W56" s="10" t="str">
        <f t="shared" si="21"/>
        <v>Short Paid</v>
      </c>
      <c r="X56" t="s">
        <v>47</v>
      </c>
      <c r="Y56" t="s">
        <v>24</v>
      </c>
      <c r="Z56">
        <v>100193</v>
      </c>
      <c r="AA56" t="s">
        <v>50</v>
      </c>
      <c r="AB56" t="s">
        <v>66</v>
      </c>
      <c r="AC56" s="9">
        <v>2</v>
      </c>
      <c r="AD56" s="9" t="str">
        <f t="shared" si="22"/>
        <v>Check</v>
      </c>
      <c r="AE56" s="11">
        <f t="shared" si="23"/>
        <v>-2586.5</v>
      </c>
    </row>
    <row r="57" spans="1:31" x14ac:dyDescent="0.3">
      <c r="A57">
        <v>93</v>
      </c>
      <c r="B57">
        <v>4573119</v>
      </c>
      <c r="C57" t="s">
        <v>42</v>
      </c>
      <c r="D57">
        <v>1588891</v>
      </c>
      <c r="E57" t="s">
        <v>43</v>
      </c>
      <c r="F57" t="s">
        <v>19</v>
      </c>
      <c r="G57" t="s">
        <v>107</v>
      </c>
      <c r="H57" t="s">
        <v>108</v>
      </c>
      <c r="I57" t="s">
        <v>328</v>
      </c>
      <c r="J57">
        <v>51125578285</v>
      </c>
      <c r="K57" t="s">
        <v>269</v>
      </c>
      <c r="L57" t="s">
        <v>268</v>
      </c>
      <c r="M57">
        <v>300</v>
      </c>
      <c r="N57" s="10">
        <v>102.37</v>
      </c>
      <c r="O57" s="10">
        <f t="shared" si="20"/>
        <v>30711</v>
      </c>
      <c r="P57" s="10" t="s">
        <v>562</v>
      </c>
      <c r="Q57" s="10" t="s">
        <v>562</v>
      </c>
      <c r="R57" s="10" t="str">
        <f>IF(COUNTIF($J$2:J57,J57)=1,SUMIFS($O:$O,$J:$J,J57)+SUMIFS($P:$P,$J:$J,J57)+SUMIFS($Q:$Q,$J:$J,J57),"")</f>
        <v/>
      </c>
      <c r="S57" s="10" t="s">
        <v>562</v>
      </c>
      <c r="T57" s="11" t="str">
        <f>IFERROR(INDEX(AD:AD,MATCH(J57,J:J,0)),"")</f>
        <v>Check</v>
      </c>
      <c r="U57" s="12">
        <v>45754</v>
      </c>
      <c r="V57" s="10">
        <v>10346</v>
      </c>
      <c r="W57" s="10" t="str">
        <f t="shared" si="21"/>
        <v>N/A</v>
      </c>
      <c r="X57" t="s">
        <v>47</v>
      </c>
      <c r="Y57" t="s">
        <v>24</v>
      </c>
      <c r="Z57">
        <v>100193</v>
      </c>
      <c r="AA57" t="s">
        <v>50</v>
      </c>
      <c r="AB57" t="s">
        <v>66</v>
      </c>
      <c r="AC57" s="9">
        <v>2</v>
      </c>
      <c r="AD57" s="9" t="str">
        <f t="shared" si="22"/>
        <v>N/A</v>
      </c>
      <c r="AE57" s="11" t="e">
        <f t="shared" si="23"/>
        <v>#VALUE!</v>
      </c>
    </row>
    <row r="58" spans="1:31" x14ac:dyDescent="0.3">
      <c r="A58">
        <v>93</v>
      </c>
      <c r="B58">
        <v>4573675</v>
      </c>
      <c r="C58" t="s">
        <v>42</v>
      </c>
      <c r="D58">
        <v>1588891</v>
      </c>
      <c r="E58" t="s">
        <v>43</v>
      </c>
      <c r="F58" t="s">
        <v>19</v>
      </c>
      <c r="G58" t="s">
        <v>109</v>
      </c>
      <c r="H58" t="s">
        <v>110</v>
      </c>
      <c r="I58" t="s">
        <v>272</v>
      </c>
      <c r="J58">
        <v>51126029953</v>
      </c>
      <c r="K58" t="s">
        <v>269</v>
      </c>
      <c r="L58" t="s">
        <v>268</v>
      </c>
      <c r="M58">
        <v>288</v>
      </c>
      <c r="N58" s="10">
        <v>102.37</v>
      </c>
      <c r="O58" s="10">
        <f t="shared" si="20"/>
        <v>29482.560000000001</v>
      </c>
      <c r="P58" s="10">
        <v>0</v>
      </c>
      <c r="Q58" s="10">
        <v>0</v>
      </c>
      <c r="R58" s="10">
        <f>IF(COUNTIF($J$2:J58,J58)=1,SUMIFS($O:$O,$J:$J,J58)+SUMIFS($P:$P,$J:$J,J58)+SUMIFS($Q:$Q,$J:$J,J58),"")</f>
        <v>29770.960000000003</v>
      </c>
      <c r="S58" s="10">
        <v>29770.960000000003</v>
      </c>
      <c r="T58" s="11" t="str">
        <f>IFERROR(INDEX(AD:AD,MATCH(J58,J:J,0)),"")</f>
        <v>Ok</v>
      </c>
      <c r="U58" s="12">
        <v>45891</v>
      </c>
      <c r="V58" s="10">
        <v>288.39999999999998</v>
      </c>
      <c r="W58" s="10" t="str">
        <f t="shared" si="21"/>
        <v>Short Paid</v>
      </c>
      <c r="X58" t="s">
        <v>47</v>
      </c>
      <c r="Y58" t="s">
        <v>24</v>
      </c>
      <c r="Z58">
        <v>100233</v>
      </c>
      <c r="AA58" t="s">
        <v>56</v>
      </c>
      <c r="AB58" t="s">
        <v>66</v>
      </c>
      <c r="AC58" s="9">
        <v>2</v>
      </c>
      <c r="AD58" s="9" t="str">
        <f t="shared" si="22"/>
        <v>Ok</v>
      </c>
      <c r="AE58" s="11">
        <f t="shared" si="23"/>
        <v>0</v>
      </c>
    </row>
    <row r="59" spans="1:31" x14ac:dyDescent="0.3">
      <c r="A59">
        <v>93</v>
      </c>
      <c r="B59">
        <v>4573675</v>
      </c>
      <c r="C59" t="s">
        <v>42</v>
      </c>
      <c r="D59">
        <v>1588891</v>
      </c>
      <c r="E59" t="s">
        <v>43</v>
      </c>
      <c r="F59" t="s">
        <v>19</v>
      </c>
      <c r="G59" t="s">
        <v>109</v>
      </c>
      <c r="H59" t="s">
        <v>110</v>
      </c>
      <c r="I59" t="s">
        <v>311</v>
      </c>
      <c r="J59">
        <v>51126029953</v>
      </c>
      <c r="K59" t="s">
        <v>271</v>
      </c>
      <c r="L59" t="s">
        <v>482</v>
      </c>
      <c r="M59">
        <v>100</v>
      </c>
      <c r="N59" s="10">
        <v>2.8839999999999999</v>
      </c>
      <c r="O59" s="10">
        <f t="shared" si="20"/>
        <v>288.39999999999998</v>
      </c>
      <c r="P59" s="10" t="s">
        <v>562</v>
      </c>
      <c r="Q59" s="10" t="s">
        <v>562</v>
      </c>
      <c r="R59" s="10" t="str">
        <f>IF(COUNTIF($J$2:J59,J59)=1,SUMIFS($O:$O,$J:$J,J59)+SUMIFS($P:$P,$J:$J,J59)+SUMIFS($Q:$Q,$J:$J,J59),"")</f>
        <v/>
      </c>
      <c r="S59" s="10" t="s">
        <v>562</v>
      </c>
      <c r="T59" s="11" t="str">
        <f>IFERROR(INDEX(AD:AD,MATCH(J59,J:J,0)),"")</f>
        <v>Ok</v>
      </c>
      <c r="U59" s="12">
        <v>45891</v>
      </c>
      <c r="V59" s="10">
        <v>288.39999999999998</v>
      </c>
      <c r="W59" s="10" t="str">
        <f t="shared" si="21"/>
        <v>N/A</v>
      </c>
      <c r="X59" t="s">
        <v>47</v>
      </c>
      <c r="Y59" t="s">
        <v>24</v>
      </c>
      <c r="Z59">
        <v>100233</v>
      </c>
      <c r="AA59" t="s">
        <v>56</v>
      </c>
      <c r="AB59" t="s">
        <v>66</v>
      </c>
      <c r="AC59" s="9">
        <v>2</v>
      </c>
      <c r="AD59" s="9" t="str">
        <f t="shared" si="22"/>
        <v>N/A</v>
      </c>
      <c r="AE59" s="11" t="e">
        <f t="shared" si="23"/>
        <v>#VALUE!</v>
      </c>
    </row>
    <row r="60" spans="1:31" x14ac:dyDescent="0.3">
      <c r="A60">
        <v>93</v>
      </c>
      <c r="B60">
        <v>4574232</v>
      </c>
      <c r="C60" t="s">
        <v>42</v>
      </c>
      <c r="D60">
        <v>1588891</v>
      </c>
      <c r="E60" t="s">
        <v>43</v>
      </c>
      <c r="F60" t="s">
        <v>19</v>
      </c>
      <c r="G60" t="s">
        <v>113</v>
      </c>
      <c r="H60" t="s">
        <v>114</v>
      </c>
      <c r="I60" t="s">
        <v>372</v>
      </c>
      <c r="J60">
        <v>51126975921</v>
      </c>
      <c r="K60" t="s">
        <v>375</v>
      </c>
      <c r="L60" t="s">
        <v>483</v>
      </c>
      <c r="M60">
        <v>500</v>
      </c>
      <c r="N60" s="10">
        <v>0.33807999999999999</v>
      </c>
      <c r="O60" s="10">
        <f t="shared" si="20"/>
        <v>169.04</v>
      </c>
      <c r="P60" s="10">
        <v>0</v>
      </c>
      <c r="Q60" s="10">
        <v>0</v>
      </c>
      <c r="R60" s="10">
        <f>IF(COUNTIF($J$2:J60,J60)=1,SUMIFS($O:$O,$J:$J,J60)+SUMIFS($P:$P,$J:$J,J60)+SUMIFS($Q:$Q,$J:$J,J60),"")</f>
        <v>28595.089999999997</v>
      </c>
      <c r="S60" s="10">
        <v>28602.95</v>
      </c>
      <c r="T60" s="11" t="str">
        <f>IFERROR(INDEX(AD:AD,MATCH(J60,J:J,0)),"")</f>
        <v>Check</v>
      </c>
      <c r="U60" s="12">
        <v>45880</v>
      </c>
      <c r="V60" s="10">
        <v>176.9</v>
      </c>
      <c r="W60" s="10" t="str">
        <f t="shared" si="21"/>
        <v>Short Paid</v>
      </c>
      <c r="X60" t="s">
        <v>47</v>
      </c>
      <c r="Y60" t="s">
        <v>24</v>
      </c>
      <c r="Z60">
        <v>100273</v>
      </c>
      <c r="AA60" t="s">
        <v>52</v>
      </c>
      <c r="AB60" t="s">
        <v>66</v>
      </c>
      <c r="AC60" s="9">
        <v>2</v>
      </c>
      <c r="AD60" s="9" t="str">
        <f t="shared" si="22"/>
        <v>Check</v>
      </c>
      <c r="AE60" s="11">
        <f t="shared" si="23"/>
        <v>-7.8600000000042201</v>
      </c>
    </row>
    <row r="61" spans="1:31" x14ac:dyDescent="0.3">
      <c r="A61">
        <v>93</v>
      </c>
      <c r="B61">
        <v>4574232</v>
      </c>
      <c r="C61" t="s">
        <v>42</v>
      </c>
      <c r="D61">
        <v>1588891</v>
      </c>
      <c r="E61" t="s">
        <v>43</v>
      </c>
      <c r="F61" t="s">
        <v>19</v>
      </c>
      <c r="G61" t="s">
        <v>113</v>
      </c>
      <c r="H61" t="s">
        <v>114</v>
      </c>
      <c r="I61" t="s">
        <v>377</v>
      </c>
      <c r="J61">
        <v>51126975921</v>
      </c>
      <c r="K61" t="s">
        <v>257</v>
      </c>
      <c r="L61" t="s">
        <v>421</v>
      </c>
      <c r="M61">
        <v>543000</v>
      </c>
      <c r="N61" s="10">
        <v>5.2349999999999994E-2</v>
      </c>
      <c r="O61" s="10">
        <f t="shared" si="20"/>
        <v>28426.049999999996</v>
      </c>
      <c r="P61" s="10" t="s">
        <v>562</v>
      </c>
      <c r="Q61" s="10" t="s">
        <v>562</v>
      </c>
      <c r="R61" s="10" t="str">
        <f>IF(COUNTIF($J$2:J61,J61)=1,SUMIFS($O:$O,$J:$J,J61)+SUMIFS($P:$P,$J:$J,J61)+SUMIFS($Q:$Q,$J:$J,J61),"")</f>
        <v/>
      </c>
      <c r="S61" s="10" t="s">
        <v>562</v>
      </c>
      <c r="T61" s="11" t="str">
        <f>IFERROR(INDEX(AD:AD,MATCH(J61,J:J,0)),"")</f>
        <v>Check</v>
      </c>
      <c r="U61" s="12">
        <v>45880</v>
      </c>
      <c r="V61" s="10">
        <v>176.9</v>
      </c>
      <c r="W61" s="10" t="str">
        <f t="shared" si="21"/>
        <v>N/A</v>
      </c>
      <c r="X61" t="s">
        <v>47</v>
      </c>
      <c r="Y61" t="s">
        <v>24</v>
      </c>
      <c r="Z61">
        <v>100273</v>
      </c>
      <c r="AA61" t="s">
        <v>52</v>
      </c>
      <c r="AB61" t="s">
        <v>66</v>
      </c>
      <c r="AC61" s="9">
        <v>2</v>
      </c>
      <c r="AD61" s="9" t="str">
        <f t="shared" si="22"/>
        <v>N/A</v>
      </c>
      <c r="AE61" s="11" t="e">
        <f t="shared" si="23"/>
        <v>#VALUE!</v>
      </c>
    </row>
    <row r="62" spans="1:31" x14ac:dyDescent="0.3">
      <c r="A62">
        <v>93</v>
      </c>
      <c r="B62">
        <v>4575067</v>
      </c>
      <c r="C62" t="s">
        <v>42</v>
      </c>
      <c r="D62">
        <v>1588891</v>
      </c>
      <c r="E62" t="s">
        <v>43</v>
      </c>
      <c r="F62" t="s">
        <v>19</v>
      </c>
      <c r="G62" t="s">
        <v>115</v>
      </c>
      <c r="H62" t="s">
        <v>116</v>
      </c>
      <c r="I62" t="s">
        <v>356</v>
      </c>
      <c r="J62">
        <v>51127424438</v>
      </c>
      <c r="K62" t="s">
        <v>264</v>
      </c>
      <c r="L62" t="s">
        <v>263</v>
      </c>
      <c r="M62">
        <v>2000</v>
      </c>
      <c r="N62" s="10">
        <v>1.0660000000000001</v>
      </c>
      <c r="O62" s="10">
        <f t="shared" si="20"/>
        <v>2132</v>
      </c>
      <c r="P62" s="10">
        <v>0</v>
      </c>
      <c r="Q62" s="10">
        <v>0</v>
      </c>
      <c r="R62" s="10">
        <f>IF(COUNTIF($J$2:J62,J62)=1,SUMIFS($O:$O,$J:$J,J62)+SUMIFS($P:$P,$J:$J,J62)+SUMIFS($Q:$Q,$J:$J,J62),"")</f>
        <v>8274.2000000000007</v>
      </c>
      <c r="S62" s="10">
        <v>8274.2000000000007</v>
      </c>
      <c r="T62" s="11" t="str">
        <f>IFERROR(INDEX(AD:AD,MATCH(J62,J:J,0)),"")</f>
        <v>Ok</v>
      </c>
      <c r="U62" s="12">
        <v>45822</v>
      </c>
      <c r="V62" s="10">
        <v>2132</v>
      </c>
      <c r="W62" s="10" t="str">
        <f t="shared" si="21"/>
        <v>Short Paid</v>
      </c>
      <c r="X62" t="s">
        <v>47</v>
      </c>
      <c r="Y62" t="s">
        <v>24</v>
      </c>
      <c r="Z62">
        <v>100123</v>
      </c>
      <c r="AA62" t="s">
        <v>55</v>
      </c>
      <c r="AB62" t="s">
        <v>66</v>
      </c>
      <c r="AC62" s="9">
        <v>2</v>
      </c>
      <c r="AD62" s="9" t="str">
        <f t="shared" si="22"/>
        <v>Ok</v>
      </c>
      <c r="AE62" s="11">
        <f t="shared" si="23"/>
        <v>0</v>
      </c>
    </row>
    <row r="63" spans="1:31" x14ac:dyDescent="0.3">
      <c r="A63">
        <v>93</v>
      </c>
      <c r="B63">
        <v>4575067</v>
      </c>
      <c r="C63" t="s">
        <v>42</v>
      </c>
      <c r="D63">
        <v>1588891</v>
      </c>
      <c r="E63" t="s">
        <v>43</v>
      </c>
      <c r="F63" t="s">
        <v>19</v>
      </c>
      <c r="G63" t="s">
        <v>115</v>
      </c>
      <c r="H63" t="s">
        <v>116</v>
      </c>
      <c r="I63" t="s">
        <v>404</v>
      </c>
      <c r="J63">
        <v>51127424438</v>
      </c>
      <c r="K63" t="s">
        <v>269</v>
      </c>
      <c r="L63" t="s">
        <v>268</v>
      </c>
      <c r="M63">
        <v>60</v>
      </c>
      <c r="N63" s="10">
        <v>102.37</v>
      </c>
      <c r="O63" s="10">
        <f t="shared" si="20"/>
        <v>6142.2000000000007</v>
      </c>
      <c r="P63" s="10" t="s">
        <v>562</v>
      </c>
      <c r="Q63" s="10" t="s">
        <v>562</v>
      </c>
      <c r="R63" s="10" t="str">
        <f>IF(COUNTIF($J$2:J63,J63)=1,SUMIFS($O:$O,$J:$J,J63)+SUMIFS($P:$P,$J:$J,J63)+SUMIFS($Q:$Q,$J:$J,J63),"")</f>
        <v/>
      </c>
      <c r="S63" s="10" t="s">
        <v>562</v>
      </c>
      <c r="T63" s="11" t="str">
        <f>IFERROR(INDEX(AD:AD,MATCH(J63,J:J,0)),"")</f>
        <v>Ok</v>
      </c>
      <c r="U63" s="12">
        <v>45822</v>
      </c>
      <c r="V63" s="10">
        <v>2132</v>
      </c>
      <c r="W63" s="10" t="str">
        <f t="shared" si="21"/>
        <v>N/A</v>
      </c>
      <c r="X63" t="s">
        <v>47</v>
      </c>
      <c r="Y63" t="s">
        <v>24</v>
      </c>
      <c r="Z63">
        <v>100123</v>
      </c>
      <c r="AA63" t="s">
        <v>55</v>
      </c>
      <c r="AB63" t="s">
        <v>66</v>
      </c>
      <c r="AC63" s="9">
        <v>2</v>
      </c>
      <c r="AD63" s="9" t="str">
        <f t="shared" si="22"/>
        <v>N/A</v>
      </c>
      <c r="AE63" s="11" t="e">
        <f t="shared" si="23"/>
        <v>#VALUE!</v>
      </c>
    </row>
    <row r="64" spans="1:31" x14ac:dyDescent="0.3">
      <c r="A64">
        <v>93</v>
      </c>
      <c r="B64">
        <v>4576180</v>
      </c>
      <c r="C64" t="s">
        <v>42</v>
      </c>
      <c r="D64">
        <v>1588891</v>
      </c>
      <c r="E64" t="s">
        <v>43</v>
      </c>
      <c r="F64" t="s">
        <v>19</v>
      </c>
      <c r="G64" t="s">
        <v>119</v>
      </c>
      <c r="H64" t="s">
        <v>120</v>
      </c>
      <c r="I64" t="s">
        <v>259</v>
      </c>
      <c r="J64">
        <v>51128751154</v>
      </c>
      <c r="K64" t="s">
        <v>269</v>
      </c>
      <c r="L64" t="s">
        <v>268</v>
      </c>
      <c r="M64">
        <v>480</v>
      </c>
      <c r="N64" s="10">
        <v>102.37</v>
      </c>
      <c r="O64" s="10">
        <f t="shared" si="20"/>
        <v>49137.600000000006</v>
      </c>
      <c r="P64" s="10">
        <v>0</v>
      </c>
      <c r="Q64" s="10">
        <v>0</v>
      </c>
      <c r="R64" s="10">
        <f>IF(COUNTIF($J$2:J64,J64)=1,SUMIFS($O:$O,$J:$J,J64)+SUMIFS($P:$P,$J:$J,J64)+SUMIFS($Q:$Q,$J:$J,J64),"")</f>
        <v>49562.700000000004</v>
      </c>
      <c r="S64" s="10">
        <v>49562.7</v>
      </c>
      <c r="T64" s="11" t="str">
        <f>IFERROR(INDEX(AD:AD,MATCH(J64,J:J,0)),"")</f>
        <v>Ok</v>
      </c>
      <c r="U64" s="12">
        <v>45694</v>
      </c>
      <c r="V64" s="10">
        <v>425.1</v>
      </c>
      <c r="W64" s="10" t="str">
        <f t="shared" si="21"/>
        <v>Short Paid</v>
      </c>
      <c r="X64" t="s">
        <v>47</v>
      </c>
      <c r="Y64" t="s">
        <v>24</v>
      </c>
      <c r="Z64">
        <v>100203</v>
      </c>
      <c r="AA64" t="s">
        <v>49</v>
      </c>
      <c r="AB64" t="s">
        <v>66</v>
      </c>
      <c r="AC64" s="9">
        <v>2</v>
      </c>
      <c r="AD64" s="9" t="str">
        <f t="shared" si="22"/>
        <v>Ok</v>
      </c>
      <c r="AE64" s="11">
        <f t="shared" si="23"/>
        <v>0</v>
      </c>
    </row>
    <row r="65" spans="1:31" x14ac:dyDescent="0.3">
      <c r="A65">
        <v>93</v>
      </c>
      <c r="B65">
        <v>4576180</v>
      </c>
      <c r="C65" t="s">
        <v>42</v>
      </c>
      <c r="D65">
        <v>1588891</v>
      </c>
      <c r="E65" t="s">
        <v>43</v>
      </c>
      <c r="F65" t="s">
        <v>19</v>
      </c>
      <c r="G65" t="s">
        <v>119</v>
      </c>
      <c r="H65" t="s">
        <v>120</v>
      </c>
      <c r="I65" t="s">
        <v>274</v>
      </c>
      <c r="J65">
        <v>51128751154</v>
      </c>
      <c r="K65" t="s">
        <v>257</v>
      </c>
      <c r="L65" t="s">
        <v>320</v>
      </c>
      <c r="M65">
        <v>39000</v>
      </c>
      <c r="N65" s="10">
        <v>1.09E-2</v>
      </c>
      <c r="O65" s="10">
        <f t="shared" si="20"/>
        <v>425.1</v>
      </c>
      <c r="P65" s="10" t="s">
        <v>562</v>
      </c>
      <c r="Q65" s="10" t="s">
        <v>562</v>
      </c>
      <c r="R65" s="10" t="str">
        <f>IF(COUNTIF($J$2:J65,J65)=1,SUMIFS($O:$O,$J:$J,J65)+SUMIFS($P:$P,$J:$J,J65)+SUMIFS($Q:$Q,$J:$J,J65),"")</f>
        <v/>
      </c>
      <c r="S65" s="10" t="s">
        <v>562</v>
      </c>
      <c r="T65" s="11" t="str">
        <f>IFERROR(INDEX(AD:AD,MATCH(J65,J:J,0)),"")</f>
        <v>Ok</v>
      </c>
      <c r="U65" s="12">
        <v>45694</v>
      </c>
      <c r="V65" s="10">
        <v>425.1</v>
      </c>
      <c r="W65" s="10" t="str">
        <f t="shared" si="21"/>
        <v>N/A</v>
      </c>
      <c r="X65" t="s">
        <v>47</v>
      </c>
      <c r="Y65" t="s">
        <v>24</v>
      </c>
      <c r="Z65">
        <v>100203</v>
      </c>
      <c r="AA65" t="s">
        <v>49</v>
      </c>
      <c r="AB65" t="s">
        <v>66</v>
      </c>
      <c r="AC65" s="9">
        <v>2</v>
      </c>
      <c r="AD65" s="9" t="str">
        <f t="shared" si="22"/>
        <v>N/A</v>
      </c>
      <c r="AE65" s="11" t="e">
        <f t="shared" si="23"/>
        <v>#VALUE!</v>
      </c>
    </row>
    <row r="66" spans="1:31" x14ac:dyDescent="0.3">
      <c r="A66">
        <v>92</v>
      </c>
      <c r="B66">
        <v>4580911</v>
      </c>
      <c r="C66" t="s">
        <v>42</v>
      </c>
      <c r="D66">
        <v>1265622</v>
      </c>
      <c r="E66" t="s">
        <v>70</v>
      </c>
      <c r="F66" t="s">
        <v>20</v>
      </c>
      <c r="G66" t="s">
        <v>121</v>
      </c>
      <c r="H66" t="s">
        <v>122</v>
      </c>
      <c r="I66" t="s">
        <v>314</v>
      </c>
      <c r="J66">
        <v>51133862067</v>
      </c>
      <c r="K66" t="s">
        <v>255</v>
      </c>
      <c r="L66" t="s">
        <v>309</v>
      </c>
      <c r="M66">
        <v>1</v>
      </c>
      <c r="N66" s="10">
        <v>119.18</v>
      </c>
      <c r="O66" s="10">
        <f t="shared" si="20"/>
        <v>119.18</v>
      </c>
      <c r="P66" s="10">
        <v>0</v>
      </c>
      <c r="Q66" s="10">
        <v>0</v>
      </c>
      <c r="R66" s="10">
        <f>IF(COUNTIF($J$2:J66,J66)=1,SUMIFS($O:$O,$J:$J,J66)+SUMIFS($P:$P,$J:$J,J66)+SUMIFS($Q:$Q,$J:$J,J66),"")</f>
        <v>254.18</v>
      </c>
      <c r="S66" s="10">
        <v>254.18</v>
      </c>
      <c r="T66" s="11" t="str">
        <f>IFERROR(INDEX(AD:AD,MATCH(J66,J:J,0)),"")</f>
        <v>Ok</v>
      </c>
      <c r="U66" s="12">
        <v>45992</v>
      </c>
      <c r="V66" s="10">
        <v>119.18</v>
      </c>
      <c r="W66" s="10" t="str">
        <f t="shared" si="21"/>
        <v>Short Paid</v>
      </c>
      <c r="X66" t="s">
        <v>47</v>
      </c>
      <c r="Y66" t="s">
        <v>24</v>
      </c>
      <c r="Z66">
        <v>100153</v>
      </c>
      <c r="AA66" t="s">
        <v>53</v>
      </c>
      <c r="AB66" t="s">
        <v>63</v>
      </c>
      <c r="AC66" s="9">
        <v>2</v>
      </c>
      <c r="AD66" s="9" t="str">
        <f t="shared" si="22"/>
        <v>Ok</v>
      </c>
      <c r="AE66" s="11">
        <f t="shared" si="23"/>
        <v>0</v>
      </c>
    </row>
    <row r="67" spans="1:31" x14ac:dyDescent="0.3">
      <c r="A67">
        <v>92</v>
      </c>
      <c r="B67">
        <v>4580911</v>
      </c>
      <c r="C67" t="s">
        <v>42</v>
      </c>
      <c r="D67">
        <v>1265622</v>
      </c>
      <c r="E67" t="s">
        <v>70</v>
      </c>
      <c r="F67" t="s">
        <v>20</v>
      </c>
      <c r="G67" t="s">
        <v>121</v>
      </c>
      <c r="H67" t="s">
        <v>122</v>
      </c>
      <c r="I67" t="s">
        <v>408</v>
      </c>
      <c r="J67">
        <v>51133862067</v>
      </c>
      <c r="K67" t="s">
        <v>269</v>
      </c>
      <c r="L67" t="s">
        <v>484</v>
      </c>
      <c r="M67">
        <v>6</v>
      </c>
      <c r="N67" s="10">
        <v>22.5</v>
      </c>
      <c r="O67" s="10">
        <f t="shared" si="20"/>
        <v>135</v>
      </c>
      <c r="P67" s="10" t="s">
        <v>562</v>
      </c>
      <c r="Q67" s="10" t="s">
        <v>562</v>
      </c>
      <c r="R67" s="10" t="str">
        <f>IF(COUNTIF($J$2:J67,J67)=1,SUMIFS($O:$O,$J:$J,J67)+SUMIFS($P:$P,$J:$J,J67)+SUMIFS($Q:$Q,$J:$J,J67),"")</f>
        <v/>
      </c>
      <c r="S67" s="10" t="s">
        <v>562</v>
      </c>
      <c r="T67" s="11" t="str">
        <f>IFERROR(INDEX(AD:AD,MATCH(J67,J:J,0)),"")</f>
        <v>Ok</v>
      </c>
      <c r="U67" s="12">
        <v>45992</v>
      </c>
      <c r="V67" s="10">
        <v>119.18</v>
      </c>
      <c r="W67" s="10" t="str">
        <f t="shared" si="21"/>
        <v>N/A</v>
      </c>
      <c r="X67" t="s">
        <v>47</v>
      </c>
      <c r="Y67" t="s">
        <v>24</v>
      </c>
      <c r="Z67">
        <v>100153</v>
      </c>
      <c r="AA67" t="s">
        <v>53</v>
      </c>
      <c r="AB67" t="s">
        <v>63</v>
      </c>
      <c r="AC67" s="9">
        <v>2</v>
      </c>
      <c r="AD67" s="9" t="str">
        <f t="shared" si="22"/>
        <v>N/A</v>
      </c>
      <c r="AE67" s="11" t="e">
        <f t="shared" si="23"/>
        <v>#VALUE!</v>
      </c>
    </row>
    <row r="68" spans="1:31" x14ac:dyDescent="0.3">
      <c r="A68">
        <v>90</v>
      </c>
      <c r="B68">
        <v>4593433</v>
      </c>
      <c r="C68" t="s">
        <v>42</v>
      </c>
      <c r="D68">
        <v>1588891</v>
      </c>
      <c r="E68" t="s">
        <v>43</v>
      </c>
      <c r="F68" t="s">
        <v>18</v>
      </c>
      <c r="G68" t="s">
        <v>125</v>
      </c>
      <c r="H68" t="s">
        <v>126</v>
      </c>
      <c r="I68" t="s">
        <v>280</v>
      </c>
      <c r="J68">
        <v>51134031232</v>
      </c>
      <c r="K68" t="s">
        <v>450</v>
      </c>
      <c r="L68" t="s">
        <v>449</v>
      </c>
      <c r="M68">
        <v>7500</v>
      </c>
      <c r="N68" s="10">
        <v>2.8989999999999996</v>
      </c>
      <c r="O68" s="10">
        <f t="shared" ref="O68:O75" si="24">M68*N68</f>
        <v>21742.499999999996</v>
      </c>
      <c r="P68" s="10">
        <v>0</v>
      </c>
      <c r="Q68" s="10">
        <v>0</v>
      </c>
      <c r="R68" s="10">
        <f>IF(COUNTIF($J$2:J68,J68)=1,SUMIFS($O:$O,$J:$J,J68)+SUMIFS($P:$P,$J:$J,J68)+SUMIFS($Q:$Q,$J:$J,J68),"")</f>
        <v>24017.499999999996</v>
      </c>
      <c r="S68" s="10">
        <v>24017.5</v>
      </c>
      <c r="T68" s="11" t="str">
        <f>IFERROR(INDEX(AD:AD,MATCH(J68,J:J,0)),"")</f>
        <v>Ok</v>
      </c>
      <c r="U68" s="12">
        <v>45644</v>
      </c>
      <c r="V68" s="10">
        <v>1608.6</v>
      </c>
      <c r="W68" s="10" t="str">
        <f t="shared" ref="W68:W75" si="25">IF(OR(S68="",V68=""),"N/A",IF(S68&lt;&gt;V68,"Short Paid","Not Paid"))</f>
        <v>Short Paid</v>
      </c>
      <c r="X68" t="s">
        <v>47</v>
      </c>
      <c r="Y68" t="s">
        <v>24</v>
      </c>
      <c r="Z68">
        <v>100243</v>
      </c>
      <c r="AA68" t="s">
        <v>54</v>
      </c>
      <c r="AB68" t="s">
        <v>65</v>
      </c>
      <c r="AC68" s="9">
        <v>2</v>
      </c>
      <c r="AD68" s="9" t="str">
        <f t="shared" ref="AD68:AD75" si="26">IF(AND(R68="",S68=""),"N/A",IF(R68=S68,"Ok","Check"))</f>
        <v>Ok</v>
      </c>
      <c r="AE68" s="11">
        <f t="shared" si="23"/>
        <v>0</v>
      </c>
    </row>
    <row r="69" spans="1:31" x14ac:dyDescent="0.3">
      <c r="A69">
        <v>90</v>
      </c>
      <c r="B69">
        <v>4593433</v>
      </c>
      <c r="C69" t="s">
        <v>42</v>
      </c>
      <c r="D69">
        <v>1588891</v>
      </c>
      <c r="E69" t="s">
        <v>43</v>
      </c>
      <c r="F69" t="s">
        <v>18</v>
      </c>
      <c r="G69" t="s">
        <v>125</v>
      </c>
      <c r="H69" t="s">
        <v>126</v>
      </c>
      <c r="I69" t="s">
        <v>372</v>
      </c>
      <c r="J69">
        <v>51134031232</v>
      </c>
      <c r="K69" t="s">
        <v>350</v>
      </c>
      <c r="L69" t="s">
        <v>349</v>
      </c>
      <c r="M69">
        <v>14000</v>
      </c>
      <c r="N69" s="10">
        <v>0.16250000000000001</v>
      </c>
      <c r="O69" s="10">
        <f t="shared" si="24"/>
        <v>2275</v>
      </c>
      <c r="P69" s="10" t="s">
        <v>562</v>
      </c>
      <c r="Q69" s="10" t="s">
        <v>562</v>
      </c>
      <c r="R69" s="10" t="str">
        <f>IF(COUNTIF($J$2:J69,J69)=1,SUMIFS($O:$O,$J:$J,J69)+SUMIFS($P:$P,$J:$J,J69)+SUMIFS($Q:$Q,$J:$J,J69),"")</f>
        <v/>
      </c>
      <c r="S69" s="10" t="s">
        <v>562</v>
      </c>
      <c r="T69" s="11" t="str">
        <f>IFERROR(INDEX(AD:AD,MATCH(J69,J:J,0)),"")</f>
        <v>Ok</v>
      </c>
      <c r="U69" s="12">
        <v>45644</v>
      </c>
      <c r="V69" s="10">
        <v>1608.6</v>
      </c>
      <c r="W69" s="10" t="str">
        <f t="shared" si="25"/>
        <v>N/A</v>
      </c>
      <c r="X69" t="s">
        <v>47</v>
      </c>
      <c r="Y69" t="s">
        <v>24</v>
      </c>
      <c r="Z69">
        <v>100243</v>
      </c>
      <c r="AA69" t="s">
        <v>54</v>
      </c>
      <c r="AB69" t="s">
        <v>65</v>
      </c>
      <c r="AC69" s="9">
        <v>2</v>
      </c>
      <c r="AD69" s="9" t="str">
        <f t="shared" si="26"/>
        <v>N/A</v>
      </c>
      <c r="AE69" s="11" t="e">
        <f t="shared" si="23"/>
        <v>#VALUE!</v>
      </c>
    </row>
    <row r="70" spans="1:31" x14ac:dyDescent="0.3">
      <c r="A70">
        <v>90</v>
      </c>
      <c r="B70">
        <v>4593155</v>
      </c>
      <c r="C70" t="s">
        <v>42</v>
      </c>
      <c r="D70">
        <v>1588891</v>
      </c>
      <c r="E70" t="s">
        <v>43</v>
      </c>
      <c r="F70" t="s">
        <v>18</v>
      </c>
      <c r="G70" t="s">
        <v>123</v>
      </c>
      <c r="H70" t="s">
        <v>124</v>
      </c>
      <c r="I70" t="s">
        <v>368</v>
      </c>
      <c r="J70">
        <v>51134327513</v>
      </c>
      <c r="K70" t="s">
        <v>350</v>
      </c>
      <c r="L70" t="s">
        <v>485</v>
      </c>
      <c r="M70">
        <v>20000</v>
      </c>
      <c r="N70" s="10">
        <v>3.7510000000000002E-2</v>
      </c>
      <c r="O70" s="10">
        <f t="shared" si="24"/>
        <v>750.2</v>
      </c>
      <c r="P70" s="10">
        <v>0</v>
      </c>
      <c r="Q70" s="10">
        <v>0</v>
      </c>
      <c r="R70" s="10">
        <f>IF(COUNTIF($J$2:J70,J70)=1,SUMIFS($O:$O,$J:$J,J70)+SUMIFS($P:$P,$J:$J,J70)+SUMIFS($Q:$Q,$J:$J,J70),"")</f>
        <v>5437.7</v>
      </c>
      <c r="S70" s="10">
        <v>5437.7</v>
      </c>
      <c r="T70" s="11" t="str">
        <f>IFERROR(INDEX(AD:AD,MATCH(J70,J:J,0)),"")</f>
        <v>Ok</v>
      </c>
      <c r="U70" s="12">
        <v>45383</v>
      </c>
      <c r="V70" s="10">
        <v>686.24</v>
      </c>
      <c r="W70" s="10" t="str">
        <f t="shared" si="25"/>
        <v>Short Paid</v>
      </c>
      <c r="X70" t="s">
        <v>47</v>
      </c>
      <c r="Y70" t="s">
        <v>24</v>
      </c>
      <c r="Z70">
        <v>100233</v>
      </c>
      <c r="AA70" t="s">
        <v>56</v>
      </c>
      <c r="AB70" t="s">
        <v>65</v>
      </c>
      <c r="AC70" s="9">
        <v>2</v>
      </c>
      <c r="AD70" s="9" t="str">
        <f t="shared" si="26"/>
        <v>Ok</v>
      </c>
      <c r="AE70" s="11">
        <f t="shared" ref="AE70:AE75" si="27">R70-S70</f>
        <v>0</v>
      </c>
    </row>
    <row r="71" spans="1:31" x14ac:dyDescent="0.3">
      <c r="A71">
        <v>90</v>
      </c>
      <c r="B71">
        <v>4593155</v>
      </c>
      <c r="C71" t="s">
        <v>42</v>
      </c>
      <c r="D71">
        <v>1588891</v>
      </c>
      <c r="E71" t="s">
        <v>43</v>
      </c>
      <c r="F71" t="s">
        <v>18</v>
      </c>
      <c r="G71" t="s">
        <v>123</v>
      </c>
      <c r="H71" t="s">
        <v>124</v>
      </c>
      <c r="I71" t="s">
        <v>384</v>
      </c>
      <c r="J71">
        <v>51134327513</v>
      </c>
      <c r="K71" t="s">
        <v>266</v>
      </c>
      <c r="L71" t="s">
        <v>455</v>
      </c>
      <c r="M71">
        <v>150</v>
      </c>
      <c r="N71" s="10">
        <v>31.25</v>
      </c>
      <c r="O71" s="10">
        <f t="shared" si="24"/>
        <v>4687.5</v>
      </c>
      <c r="P71" s="10" t="s">
        <v>562</v>
      </c>
      <c r="Q71" s="10" t="s">
        <v>562</v>
      </c>
      <c r="R71" s="10" t="str">
        <f>IF(COUNTIF($J$2:J71,J71)=1,SUMIFS($O:$O,$J:$J,J71)+SUMIFS($P:$P,$J:$J,J71)+SUMIFS($Q:$Q,$J:$J,J71),"")</f>
        <v/>
      </c>
      <c r="S71" s="10" t="s">
        <v>562</v>
      </c>
      <c r="T71" s="11" t="str">
        <f>IFERROR(INDEX(AD:AD,MATCH(J71,J:J,0)),"")</f>
        <v>Ok</v>
      </c>
      <c r="U71" s="12">
        <v>45383</v>
      </c>
      <c r="V71" s="10">
        <v>686.24</v>
      </c>
      <c r="W71" s="10" t="str">
        <f t="shared" si="25"/>
        <v>N/A</v>
      </c>
      <c r="X71" t="s">
        <v>47</v>
      </c>
      <c r="Y71" t="s">
        <v>24</v>
      </c>
      <c r="Z71">
        <v>100233</v>
      </c>
      <c r="AA71" t="s">
        <v>56</v>
      </c>
      <c r="AB71" t="s">
        <v>65</v>
      </c>
      <c r="AC71" s="9">
        <v>2</v>
      </c>
      <c r="AD71" s="9" t="str">
        <f t="shared" si="26"/>
        <v>N/A</v>
      </c>
      <c r="AE71" s="11" t="e">
        <f t="shared" si="27"/>
        <v>#VALUE!</v>
      </c>
    </row>
    <row r="72" spans="1:31" x14ac:dyDescent="0.3">
      <c r="A72">
        <v>39</v>
      </c>
      <c r="B72">
        <v>4718105</v>
      </c>
      <c r="C72" t="s">
        <v>42</v>
      </c>
      <c r="D72">
        <v>1130746</v>
      </c>
      <c r="E72" t="s">
        <v>68</v>
      </c>
      <c r="F72" t="s">
        <v>20</v>
      </c>
      <c r="G72" t="s">
        <v>179</v>
      </c>
      <c r="H72" t="s">
        <v>180</v>
      </c>
      <c r="I72" t="s">
        <v>386</v>
      </c>
      <c r="J72">
        <v>51137012934</v>
      </c>
      <c r="K72" t="s">
        <v>335</v>
      </c>
      <c r="L72" t="s">
        <v>387</v>
      </c>
      <c r="M72">
        <v>6000</v>
      </c>
      <c r="N72" s="10">
        <v>3.8679999999999999</v>
      </c>
      <c r="O72" s="10">
        <f t="shared" si="24"/>
        <v>23208</v>
      </c>
      <c r="P72" s="10">
        <v>0</v>
      </c>
      <c r="Q72" s="10">
        <v>0</v>
      </c>
      <c r="R72" s="10">
        <f>IF(COUNTIF($J$2:J72,J72)=1,SUMIFS($O:$O,$J:$J,J72)+SUMIFS($P:$P,$J:$J,J72)+SUMIFS($Q:$Q,$J:$J,J72),"")</f>
        <v>167628.61919999999</v>
      </c>
      <c r="S72" s="10">
        <v>167628.62</v>
      </c>
      <c r="T72" s="11" t="str">
        <f>IFERROR(INDEX(AD:AD,MATCH(J72,J:J,0)),"")</f>
        <v>Check</v>
      </c>
      <c r="U72" s="12">
        <v>46093</v>
      </c>
      <c r="V72" s="10">
        <v>144420.62</v>
      </c>
      <c r="W72" s="10" t="str">
        <f t="shared" si="25"/>
        <v>Short Paid</v>
      </c>
      <c r="X72" t="s">
        <v>47</v>
      </c>
      <c r="Y72" t="s">
        <v>24</v>
      </c>
      <c r="Z72">
        <v>100203</v>
      </c>
      <c r="AA72" t="s">
        <v>49</v>
      </c>
      <c r="AB72" t="s">
        <v>63</v>
      </c>
      <c r="AC72" s="9">
        <v>2</v>
      </c>
      <c r="AD72" s="9" t="str">
        <f t="shared" si="26"/>
        <v>Check</v>
      </c>
      <c r="AE72" s="11">
        <f t="shared" si="27"/>
        <v>-8.0000000889413059E-4</v>
      </c>
    </row>
    <row r="73" spans="1:31" x14ac:dyDescent="0.3">
      <c r="A73">
        <v>39</v>
      </c>
      <c r="B73">
        <v>4718105</v>
      </c>
      <c r="C73" t="s">
        <v>42</v>
      </c>
      <c r="D73">
        <v>1130746</v>
      </c>
      <c r="E73" t="s">
        <v>68</v>
      </c>
      <c r="F73" t="s">
        <v>20</v>
      </c>
      <c r="G73" t="s">
        <v>179</v>
      </c>
      <c r="H73" t="s">
        <v>180</v>
      </c>
      <c r="I73" t="s">
        <v>312</v>
      </c>
      <c r="J73">
        <v>51137012934</v>
      </c>
      <c r="K73" t="s">
        <v>308</v>
      </c>
      <c r="L73" t="s">
        <v>412</v>
      </c>
      <c r="M73">
        <v>312</v>
      </c>
      <c r="N73" s="10">
        <v>462.88659999999999</v>
      </c>
      <c r="O73" s="10">
        <f t="shared" si="24"/>
        <v>144420.61919999999</v>
      </c>
      <c r="P73" s="10" t="s">
        <v>562</v>
      </c>
      <c r="Q73" s="10" t="s">
        <v>562</v>
      </c>
      <c r="R73" s="10" t="str">
        <f>IF(COUNTIF($J$2:J73,J73)=1,SUMIFS($O:$O,$J:$J,J73)+SUMIFS($P:$P,$J:$J,J73)+SUMIFS($Q:$Q,$J:$J,J73),"")</f>
        <v/>
      </c>
      <c r="S73" s="10" t="s">
        <v>562</v>
      </c>
      <c r="T73" s="11" t="str">
        <f>IFERROR(INDEX(AD:AD,MATCH(J73,J:J,0)),"")</f>
        <v>Check</v>
      </c>
      <c r="U73" s="12">
        <v>46093</v>
      </c>
      <c r="V73" s="10">
        <v>144420.62</v>
      </c>
      <c r="W73" s="10" t="str">
        <f t="shared" si="25"/>
        <v>N/A</v>
      </c>
      <c r="X73" t="s">
        <v>47</v>
      </c>
      <c r="Y73" t="s">
        <v>24</v>
      </c>
      <c r="Z73">
        <v>100203</v>
      </c>
      <c r="AA73" t="s">
        <v>49</v>
      </c>
      <c r="AB73" t="s">
        <v>63</v>
      </c>
      <c r="AC73" s="9">
        <v>2</v>
      </c>
      <c r="AD73" s="9" t="str">
        <f t="shared" si="26"/>
        <v>N/A</v>
      </c>
      <c r="AE73" s="11" t="e">
        <f t="shared" si="27"/>
        <v>#VALUE!</v>
      </c>
    </row>
    <row r="74" spans="1:31" x14ac:dyDescent="0.3">
      <c r="A74">
        <v>83</v>
      </c>
      <c r="B74">
        <v>4614305</v>
      </c>
      <c r="C74" t="s">
        <v>42</v>
      </c>
      <c r="D74">
        <v>1588891</v>
      </c>
      <c r="E74" t="s">
        <v>43</v>
      </c>
      <c r="F74" t="s">
        <v>18</v>
      </c>
      <c r="G74" t="s">
        <v>486</v>
      </c>
      <c r="H74" t="s">
        <v>487</v>
      </c>
      <c r="I74" t="s">
        <v>317</v>
      </c>
      <c r="J74">
        <v>51137285437</v>
      </c>
      <c r="K74" t="s">
        <v>257</v>
      </c>
      <c r="L74" t="s">
        <v>488</v>
      </c>
      <c r="M74">
        <v>5000</v>
      </c>
      <c r="N74" s="10">
        <v>0.32190000000000002</v>
      </c>
      <c r="O74" s="10">
        <f t="shared" si="24"/>
        <v>1609.5</v>
      </c>
      <c r="P74" s="10">
        <v>0</v>
      </c>
      <c r="Q74" s="10">
        <v>0</v>
      </c>
      <c r="R74" s="10">
        <f>IF(COUNTIF($J$2:J74,J74)=1,SUMIFS($O:$O,$J:$J,J74)+SUMIFS($P:$P,$J:$J,J74)+SUMIFS($Q:$Q,$J:$J,J74),"")</f>
        <v>8539.5</v>
      </c>
      <c r="S74" s="10">
        <v>16708.5</v>
      </c>
      <c r="T74" s="11" t="str">
        <f>IFERROR(INDEX(AD:AD,MATCH(J74,J:J,0)),"")</f>
        <v>Check</v>
      </c>
      <c r="U74" s="12">
        <v>45974</v>
      </c>
      <c r="V74" s="10">
        <v>811.8</v>
      </c>
      <c r="W74" s="10" t="str">
        <f t="shared" si="25"/>
        <v>Short Paid</v>
      </c>
      <c r="X74" t="s">
        <v>47</v>
      </c>
      <c r="Y74" t="s">
        <v>24</v>
      </c>
      <c r="Z74">
        <v>100153</v>
      </c>
      <c r="AA74" t="s">
        <v>53</v>
      </c>
      <c r="AB74" t="s">
        <v>65</v>
      </c>
      <c r="AC74" s="9">
        <v>2</v>
      </c>
      <c r="AD74" s="9" t="str">
        <f t="shared" si="26"/>
        <v>Check</v>
      </c>
      <c r="AE74" s="11">
        <f t="shared" si="27"/>
        <v>-8169</v>
      </c>
    </row>
    <row r="75" spans="1:31" x14ac:dyDescent="0.3">
      <c r="A75">
        <v>83</v>
      </c>
      <c r="B75">
        <v>4614305</v>
      </c>
      <c r="C75" t="s">
        <v>42</v>
      </c>
      <c r="D75">
        <v>1588891</v>
      </c>
      <c r="E75" t="s">
        <v>43</v>
      </c>
      <c r="F75" t="s">
        <v>18</v>
      </c>
      <c r="G75" t="s">
        <v>486</v>
      </c>
      <c r="H75" t="s">
        <v>487</v>
      </c>
      <c r="I75" t="s">
        <v>327</v>
      </c>
      <c r="J75">
        <v>51137285437</v>
      </c>
      <c r="K75" t="s">
        <v>284</v>
      </c>
      <c r="L75" t="s">
        <v>462</v>
      </c>
      <c r="M75">
        <v>23100</v>
      </c>
      <c r="N75" s="10">
        <v>0.3</v>
      </c>
      <c r="O75" s="10">
        <f t="shared" si="24"/>
        <v>6930</v>
      </c>
      <c r="P75" s="10" t="s">
        <v>562</v>
      </c>
      <c r="Q75" s="10" t="s">
        <v>562</v>
      </c>
      <c r="R75" s="10" t="str">
        <f>IF(COUNTIF($J$2:J75,J75)=1,SUMIFS($O:$O,$J:$J,J75)+SUMIFS($P:$P,$J:$J,J75)+SUMIFS($Q:$Q,$J:$J,J75),"")</f>
        <v/>
      </c>
      <c r="S75" s="10" t="s">
        <v>562</v>
      </c>
      <c r="T75" s="11" t="str">
        <f>IFERROR(INDEX(AD:AD,MATCH(J75,J:J,0)),"")</f>
        <v>Check</v>
      </c>
      <c r="U75" s="12">
        <v>45974</v>
      </c>
      <c r="V75" s="10">
        <v>811.8</v>
      </c>
      <c r="W75" s="10" t="str">
        <f t="shared" si="25"/>
        <v>N/A</v>
      </c>
      <c r="X75" t="s">
        <v>47</v>
      </c>
      <c r="Y75" t="s">
        <v>24</v>
      </c>
      <c r="Z75">
        <v>100153</v>
      </c>
      <c r="AA75" t="s">
        <v>53</v>
      </c>
      <c r="AB75" t="s">
        <v>65</v>
      </c>
      <c r="AC75" s="9">
        <v>2</v>
      </c>
      <c r="AD75" s="9" t="str">
        <f t="shared" si="26"/>
        <v>N/A</v>
      </c>
      <c r="AE75" s="11" t="e">
        <f t="shared" si="27"/>
        <v>#VALUE!</v>
      </c>
    </row>
    <row r="76" spans="1:31" x14ac:dyDescent="0.3">
      <c r="A76">
        <v>14</v>
      </c>
      <c r="B76">
        <v>4887580</v>
      </c>
      <c r="C76" t="s">
        <v>42</v>
      </c>
      <c r="D76">
        <v>1006248</v>
      </c>
      <c r="E76" t="s">
        <v>44</v>
      </c>
      <c r="F76" t="s">
        <v>22</v>
      </c>
      <c r="G76" t="s">
        <v>203</v>
      </c>
      <c r="H76" t="s">
        <v>204</v>
      </c>
      <c r="I76" t="s">
        <v>281</v>
      </c>
      <c r="J76">
        <v>51138318495</v>
      </c>
      <c r="K76" t="s">
        <v>305</v>
      </c>
      <c r="L76" t="s">
        <v>489</v>
      </c>
      <c r="M76">
        <v>1</v>
      </c>
      <c r="N76" s="10">
        <v>23.53</v>
      </c>
      <c r="O76" s="10">
        <f t="shared" ref="O76:O78" si="28">M76*N76</f>
        <v>23.53</v>
      </c>
      <c r="P76" s="10">
        <v>0</v>
      </c>
      <c r="Q76" s="10">
        <v>0</v>
      </c>
      <c r="R76" s="10">
        <f>IF(COUNTIF($J$2:J76,J76)=1,SUMIFS($O:$O,$J:$J,J76)+SUMIFS($P:$P,$J:$J,J76)+SUMIFS($Q:$Q,$J:$J,J76),"")</f>
        <v>1355.72</v>
      </c>
      <c r="S76" s="10">
        <v>1654.59</v>
      </c>
      <c r="T76" s="11" t="str">
        <f>IFERROR(INDEX(AD:AD,MATCH(J76,J:J,0)),"")</f>
        <v>Check</v>
      </c>
      <c r="U76" s="12">
        <v>46177</v>
      </c>
      <c r="V76" s="10">
        <v>4050</v>
      </c>
      <c r="W76" s="10" t="str">
        <f t="shared" ref="W76:W78" si="29">IF(OR(S76="",V76=""),"N/A",IF(S76&lt;&gt;V76,"Short Paid","Not Paid"))</f>
        <v>Short Paid</v>
      </c>
      <c r="X76" t="s">
        <v>47</v>
      </c>
      <c r="Y76" t="s">
        <v>33</v>
      </c>
      <c r="Z76">
        <v>100223</v>
      </c>
      <c r="AA76" t="s">
        <v>558</v>
      </c>
      <c r="AB76" t="s">
        <v>64</v>
      </c>
      <c r="AC76" s="9">
        <v>3</v>
      </c>
      <c r="AD76" s="9" t="str">
        <f t="shared" ref="AD76:AD78" si="30">IF(AND(R76="",S76=""),"N/A",IF(R76=S76,"Ok","Check"))</f>
        <v>Check</v>
      </c>
      <c r="AE76" s="11">
        <f t="shared" ref="AE76:AE78" si="31">R76-S76</f>
        <v>-298.86999999999989</v>
      </c>
    </row>
    <row r="77" spans="1:31" x14ac:dyDescent="0.3">
      <c r="A77">
        <v>14</v>
      </c>
      <c r="B77">
        <v>4887580</v>
      </c>
      <c r="C77" t="s">
        <v>42</v>
      </c>
      <c r="D77">
        <v>1006248</v>
      </c>
      <c r="E77" t="s">
        <v>44</v>
      </c>
      <c r="F77" t="s">
        <v>22</v>
      </c>
      <c r="G77" t="s">
        <v>203</v>
      </c>
      <c r="H77" t="s">
        <v>204</v>
      </c>
      <c r="I77" t="s">
        <v>281</v>
      </c>
      <c r="J77">
        <v>51138318495</v>
      </c>
      <c r="K77" t="s">
        <v>305</v>
      </c>
      <c r="L77" t="s">
        <v>490</v>
      </c>
      <c r="M77">
        <v>2</v>
      </c>
      <c r="N77" s="10">
        <v>54.47</v>
      </c>
      <c r="O77" s="10">
        <f t="shared" si="28"/>
        <v>108.94</v>
      </c>
      <c r="P77" s="10" t="s">
        <v>562</v>
      </c>
      <c r="Q77" s="10" t="s">
        <v>562</v>
      </c>
      <c r="R77" s="10" t="str">
        <f>IF(COUNTIF($J$2:J77,J77)=1,SUMIFS($O:$O,$J:$J,J77)+SUMIFS($P:$P,$J:$J,J77)+SUMIFS($Q:$Q,$J:$J,J77),"")</f>
        <v/>
      </c>
      <c r="S77" s="10" t="s">
        <v>562</v>
      </c>
      <c r="T77" s="11" t="str">
        <f>IFERROR(INDEX(AD:AD,MATCH(J77,J:J,0)),"")</f>
        <v>Check</v>
      </c>
      <c r="U77" s="12">
        <v>46177</v>
      </c>
      <c r="V77" s="10">
        <v>4050</v>
      </c>
      <c r="W77" s="10" t="str">
        <f t="shared" si="29"/>
        <v>N/A</v>
      </c>
      <c r="X77" t="s">
        <v>47</v>
      </c>
      <c r="Y77" t="s">
        <v>33</v>
      </c>
      <c r="Z77">
        <v>100223</v>
      </c>
      <c r="AA77" t="s">
        <v>558</v>
      </c>
      <c r="AB77" t="s">
        <v>64</v>
      </c>
      <c r="AC77" s="9">
        <v>3</v>
      </c>
      <c r="AD77" s="9" t="str">
        <f t="shared" si="30"/>
        <v>N/A</v>
      </c>
      <c r="AE77" s="11" t="e">
        <f t="shared" si="31"/>
        <v>#VALUE!</v>
      </c>
    </row>
    <row r="78" spans="1:31" x14ac:dyDescent="0.3">
      <c r="A78">
        <v>14</v>
      </c>
      <c r="B78">
        <v>4887580</v>
      </c>
      <c r="C78" t="s">
        <v>42</v>
      </c>
      <c r="D78">
        <v>1006248</v>
      </c>
      <c r="E78" t="s">
        <v>44</v>
      </c>
      <c r="F78" t="s">
        <v>22</v>
      </c>
      <c r="G78" t="s">
        <v>203</v>
      </c>
      <c r="H78" t="s">
        <v>204</v>
      </c>
      <c r="I78" t="s">
        <v>281</v>
      </c>
      <c r="J78">
        <v>51138318495</v>
      </c>
      <c r="K78" t="s">
        <v>305</v>
      </c>
      <c r="L78" t="s">
        <v>491</v>
      </c>
      <c r="M78">
        <v>25</v>
      </c>
      <c r="N78" s="10">
        <v>48.93</v>
      </c>
      <c r="O78" s="10">
        <f t="shared" si="28"/>
        <v>1223.25</v>
      </c>
      <c r="P78" s="10" t="s">
        <v>562</v>
      </c>
      <c r="Q78" s="10" t="s">
        <v>562</v>
      </c>
      <c r="R78" s="10" t="str">
        <f>IF(COUNTIF($J$2:J78,J78)=1,SUMIFS($O:$O,$J:$J,J78)+SUMIFS($P:$P,$J:$J,J78)+SUMIFS($Q:$Q,$J:$J,J78),"")</f>
        <v/>
      </c>
      <c r="S78" s="10" t="s">
        <v>562</v>
      </c>
      <c r="T78" s="11" t="str">
        <f>IFERROR(INDEX(AD:AD,MATCH(J78,J:J,0)),"")</f>
        <v>Check</v>
      </c>
      <c r="U78" s="12">
        <v>46177</v>
      </c>
      <c r="V78" s="10">
        <v>4050</v>
      </c>
      <c r="W78" s="10" t="str">
        <f t="shared" si="29"/>
        <v>N/A</v>
      </c>
      <c r="X78" t="s">
        <v>47</v>
      </c>
      <c r="Y78" t="s">
        <v>33</v>
      </c>
      <c r="Z78">
        <v>100223</v>
      </c>
      <c r="AA78" t="s">
        <v>558</v>
      </c>
      <c r="AB78" t="s">
        <v>64</v>
      </c>
      <c r="AC78" s="9">
        <v>3</v>
      </c>
      <c r="AD78" s="9" t="str">
        <f t="shared" si="30"/>
        <v>N/A</v>
      </c>
      <c r="AE78" s="11" t="e">
        <f t="shared" si="31"/>
        <v>#VALUE!</v>
      </c>
    </row>
    <row r="79" spans="1:31" x14ac:dyDescent="0.3">
      <c r="A79">
        <v>73</v>
      </c>
      <c r="B79">
        <v>4627384</v>
      </c>
      <c r="C79" t="s">
        <v>42</v>
      </c>
      <c r="D79">
        <v>1588891</v>
      </c>
      <c r="E79" t="s">
        <v>43</v>
      </c>
      <c r="F79" t="s">
        <v>18</v>
      </c>
      <c r="G79" t="s">
        <v>127</v>
      </c>
      <c r="H79" t="s">
        <v>128</v>
      </c>
      <c r="I79" t="s">
        <v>356</v>
      </c>
      <c r="J79">
        <v>51139366740</v>
      </c>
      <c r="K79" t="s">
        <v>335</v>
      </c>
      <c r="L79" t="s">
        <v>493</v>
      </c>
      <c r="M79">
        <v>1500</v>
      </c>
      <c r="N79" s="10">
        <v>7.9629000000000003</v>
      </c>
      <c r="O79" s="10">
        <f t="shared" ref="O79:O82" si="32">M79*N79</f>
        <v>11944.35</v>
      </c>
      <c r="P79" s="10">
        <v>0</v>
      </c>
      <c r="Q79" s="10">
        <v>0</v>
      </c>
      <c r="R79" s="10">
        <f>IF(COUNTIF($J$2:J79,J79)=1,SUMIFS($O:$O,$J:$J,J79)+SUMIFS($P:$P,$J:$J,J79)+SUMIFS($Q:$Q,$J:$J,J79),"")</f>
        <v>14368.75</v>
      </c>
      <c r="S79" s="10">
        <v>14368.75</v>
      </c>
      <c r="T79" s="11" t="str">
        <f>IFERROR(INDEX(AD:AD,MATCH(J79,J:J,0)),"")</f>
        <v>Ok</v>
      </c>
      <c r="U79" s="12">
        <v>45957</v>
      </c>
      <c r="V79" s="10">
        <v>409.35</v>
      </c>
      <c r="W79" s="10" t="str">
        <f t="shared" ref="W79:W82" si="33">IF(OR(S79="",V79=""),"N/A",IF(S79&lt;&gt;V79,"Short Paid","Not Paid"))</f>
        <v>Short Paid</v>
      </c>
      <c r="X79" t="s">
        <v>47</v>
      </c>
      <c r="Y79" t="s">
        <v>24</v>
      </c>
      <c r="Z79">
        <v>100283</v>
      </c>
      <c r="AA79" t="s">
        <v>48</v>
      </c>
      <c r="AB79" t="s">
        <v>65</v>
      </c>
      <c r="AC79" s="9">
        <v>2</v>
      </c>
      <c r="AD79" s="9" t="str">
        <f t="shared" ref="AD79:AD82" si="34">IF(AND(R79="",S79=""),"N/A",IF(R79=S79,"Ok","Check"))</f>
        <v>Ok</v>
      </c>
      <c r="AE79" s="11">
        <f t="shared" ref="AE79:AE84" si="35">R79-S79</f>
        <v>0</v>
      </c>
    </row>
    <row r="80" spans="1:31" x14ac:dyDescent="0.3">
      <c r="A80">
        <v>73</v>
      </c>
      <c r="B80">
        <v>4627384</v>
      </c>
      <c r="C80" t="s">
        <v>42</v>
      </c>
      <c r="D80">
        <v>1588891</v>
      </c>
      <c r="E80" t="s">
        <v>43</v>
      </c>
      <c r="F80" t="s">
        <v>18</v>
      </c>
      <c r="G80" t="s">
        <v>127</v>
      </c>
      <c r="H80" t="s">
        <v>128</v>
      </c>
      <c r="I80" t="s">
        <v>274</v>
      </c>
      <c r="J80">
        <v>51139366740</v>
      </c>
      <c r="K80" t="s">
        <v>303</v>
      </c>
      <c r="L80" t="s">
        <v>492</v>
      </c>
      <c r="M80">
        <v>4000</v>
      </c>
      <c r="N80" s="10">
        <v>0.60609999999999997</v>
      </c>
      <c r="O80" s="10">
        <f t="shared" si="32"/>
        <v>2424.4</v>
      </c>
      <c r="P80" s="10" t="s">
        <v>562</v>
      </c>
      <c r="Q80" s="10" t="s">
        <v>562</v>
      </c>
      <c r="R80" s="10" t="str">
        <f>IF(COUNTIF($J$2:J80,J80)=1,SUMIFS($O:$O,$J:$J,J80)+SUMIFS($P:$P,$J:$J,J80)+SUMIFS($Q:$Q,$J:$J,J80),"")</f>
        <v/>
      </c>
      <c r="S80" s="10" t="s">
        <v>562</v>
      </c>
      <c r="T80" s="11" t="str">
        <f>IFERROR(INDEX(AD:AD,MATCH(J80,J:J,0)),"")</f>
        <v>Ok</v>
      </c>
      <c r="U80" s="12">
        <v>45957</v>
      </c>
      <c r="V80" s="10">
        <v>409.35</v>
      </c>
      <c r="W80" s="10" t="str">
        <f t="shared" si="33"/>
        <v>N/A</v>
      </c>
      <c r="X80" t="s">
        <v>47</v>
      </c>
      <c r="Y80" t="s">
        <v>24</v>
      </c>
      <c r="Z80">
        <v>100283</v>
      </c>
      <c r="AA80" t="s">
        <v>48</v>
      </c>
      <c r="AB80" t="s">
        <v>65</v>
      </c>
      <c r="AC80" s="9">
        <v>2</v>
      </c>
      <c r="AD80" s="9" t="str">
        <f t="shared" si="34"/>
        <v>N/A</v>
      </c>
      <c r="AE80" s="11" t="e">
        <f t="shared" si="35"/>
        <v>#VALUE!</v>
      </c>
    </row>
    <row r="81" spans="1:31" x14ac:dyDescent="0.3">
      <c r="A81">
        <v>53</v>
      </c>
      <c r="B81">
        <v>4679423</v>
      </c>
      <c r="C81" t="s">
        <v>42</v>
      </c>
      <c r="D81">
        <v>1507694</v>
      </c>
      <c r="E81" t="s">
        <v>45</v>
      </c>
      <c r="F81" t="s">
        <v>20</v>
      </c>
      <c r="G81" t="s">
        <v>238</v>
      </c>
      <c r="H81" t="s">
        <v>239</v>
      </c>
      <c r="I81" t="s">
        <v>301</v>
      </c>
      <c r="J81">
        <v>51140989743</v>
      </c>
      <c r="K81" t="s">
        <v>417</v>
      </c>
      <c r="L81" t="s">
        <v>416</v>
      </c>
      <c r="M81">
        <v>28000</v>
      </c>
      <c r="N81" s="10">
        <v>0.58906599999999987</v>
      </c>
      <c r="O81" s="10">
        <f t="shared" si="32"/>
        <v>16493.847999999994</v>
      </c>
      <c r="P81" s="10">
        <v>0</v>
      </c>
      <c r="Q81" s="10">
        <v>4895.9399999999996</v>
      </c>
      <c r="R81" s="10">
        <f>IF(COUNTIF($J$2:J81,J81)=1,SUMIFS($O:$O,$J:$J,J81)+SUMIFS($P:$P,$J:$J,J81)+SUMIFS($Q:$Q,$J:$J,J81),"")</f>
        <v>23313.787999999993</v>
      </c>
      <c r="S81" s="10">
        <v>28106.6</v>
      </c>
      <c r="T81" s="11" t="str">
        <f>IFERROR(INDEX(AD:AD,MATCH(J81,J:J,0)),"")</f>
        <v>Check</v>
      </c>
      <c r="U81" s="12">
        <v>45489</v>
      </c>
      <c r="V81" s="10">
        <v>1924</v>
      </c>
      <c r="W81" s="10" t="str">
        <f t="shared" si="33"/>
        <v>Short Paid</v>
      </c>
      <c r="X81" t="s">
        <v>47</v>
      </c>
      <c r="Y81" t="s">
        <v>24</v>
      </c>
      <c r="Z81">
        <v>100233</v>
      </c>
      <c r="AA81" t="s">
        <v>56</v>
      </c>
      <c r="AB81" t="s">
        <v>63</v>
      </c>
      <c r="AC81" s="9">
        <v>2</v>
      </c>
      <c r="AD81" s="9" t="str">
        <f t="shared" si="34"/>
        <v>Check</v>
      </c>
      <c r="AE81" s="11">
        <f t="shared" si="35"/>
        <v>-4792.8120000000054</v>
      </c>
    </row>
    <row r="82" spans="1:31" x14ac:dyDescent="0.3">
      <c r="A82">
        <v>53</v>
      </c>
      <c r="B82">
        <v>4679423</v>
      </c>
      <c r="C82" t="s">
        <v>42</v>
      </c>
      <c r="D82">
        <v>1507694</v>
      </c>
      <c r="E82" t="s">
        <v>45</v>
      </c>
      <c r="F82" t="s">
        <v>20</v>
      </c>
      <c r="G82" t="s">
        <v>238</v>
      </c>
      <c r="H82" t="s">
        <v>239</v>
      </c>
      <c r="I82" t="s">
        <v>285</v>
      </c>
      <c r="J82">
        <v>51140989743</v>
      </c>
      <c r="K82" t="s">
        <v>431</v>
      </c>
      <c r="L82" t="s">
        <v>494</v>
      </c>
      <c r="M82">
        <v>2</v>
      </c>
      <c r="N82" s="10">
        <v>962</v>
      </c>
      <c r="O82" s="10">
        <f t="shared" si="32"/>
        <v>1924</v>
      </c>
      <c r="P82" s="10" t="s">
        <v>562</v>
      </c>
      <c r="Q82" s="10" t="s">
        <v>562</v>
      </c>
      <c r="R82" s="10" t="str">
        <f>IF(COUNTIF($J$2:J82,J82)=1,SUMIFS($O:$O,$J:$J,J82)+SUMIFS($P:$P,$J:$J,J82)+SUMIFS($Q:$Q,$J:$J,J82),"")</f>
        <v/>
      </c>
      <c r="S82" s="10" t="s">
        <v>562</v>
      </c>
      <c r="T82" s="11" t="str">
        <f>IFERROR(INDEX(AD:AD,MATCH(J82,J:J,0)),"")</f>
        <v>Check</v>
      </c>
      <c r="U82" s="12">
        <v>45489</v>
      </c>
      <c r="V82" s="10">
        <v>1924</v>
      </c>
      <c r="W82" s="10" t="str">
        <f t="shared" si="33"/>
        <v>N/A</v>
      </c>
      <c r="X82" t="s">
        <v>47</v>
      </c>
      <c r="Y82" t="s">
        <v>24</v>
      </c>
      <c r="Z82">
        <v>100233</v>
      </c>
      <c r="AA82" t="s">
        <v>56</v>
      </c>
      <c r="AB82" t="s">
        <v>63</v>
      </c>
      <c r="AC82" s="9">
        <v>2</v>
      </c>
      <c r="AD82" s="9" t="str">
        <f t="shared" si="34"/>
        <v>N/A</v>
      </c>
      <c r="AE82" s="11" t="e">
        <f t="shared" si="35"/>
        <v>#VALUE!</v>
      </c>
    </row>
    <row r="83" spans="1:31" x14ac:dyDescent="0.3">
      <c r="A83">
        <v>71</v>
      </c>
      <c r="B83">
        <v>4635176</v>
      </c>
      <c r="C83" t="s">
        <v>42</v>
      </c>
      <c r="D83">
        <v>1507694</v>
      </c>
      <c r="E83" t="s">
        <v>45</v>
      </c>
      <c r="F83" t="s">
        <v>22</v>
      </c>
      <c r="G83" t="s">
        <v>129</v>
      </c>
      <c r="H83" t="s">
        <v>130</v>
      </c>
      <c r="I83" t="s">
        <v>333</v>
      </c>
      <c r="J83">
        <v>51141119412</v>
      </c>
      <c r="K83" t="s">
        <v>303</v>
      </c>
      <c r="L83" t="s">
        <v>360</v>
      </c>
      <c r="M83">
        <v>2800</v>
      </c>
      <c r="N83" s="10">
        <v>4.5999999999999996</v>
      </c>
      <c r="O83" s="10">
        <f t="shared" ref="O83:O85" si="36">M83*N83</f>
        <v>12879.999999999998</v>
      </c>
      <c r="P83" s="10">
        <v>0</v>
      </c>
      <c r="Q83" s="10">
        <v>1007.3</v>
      </c>
      <c r="R83" s="10">
        <f>IF(COUNTIF($J$2:J83,J83)=1,SUMIFS($O:$O,$J:$J,J83)+SUMIFS($P:$P,$J:$J,J83)+SUMIFS($Q:$Q,$J:$J,J83),"")</f>
        <v>19188.899999999998</v>
      </c>
      <c r="S83" s="10">
        <v>19188.900000000001</v>
      </c>
      <c r="T83" s="11" t="str">
        <f>IFERROR(INDEX(AD:AD,MATCH(J83,J:J,0)),"")</f>
        <v>Ok</v>
      </c>
      <c r="U83" s="12">
        <v>46099</v>
      </c>
      <c r="V83" s="10">
        <v>3980.66</v>
      </c>
      <c r="W83" s="10" t="str">
        <f t="shared" ref="W83:W85" si="37">IF(OR(S83="",V83=""),"N/A",IF(S83&lt;&gt;V83,"Short Paid","Not Paid"))</f>
        <v>Short Paid</v>
      </c>
      <c r="X83" t="s">
        <v>47</v>
      </c>
      <c r="Y83" t="s">
        <v>33</v>
      </c>
      <c r="Z83">
        <v>100103</v>
      </c>
      <c r="AA83" t="s">
        <v>250</v>
      </c>
      <c r="AB83" t="s">
        <v>64</v>
      </c>
      <c r="AC83" s="9">
        <v>2</v>
      </c>
      <c r="AD83" s="9" t="str">
        <f t="shared" ref="AD83:AD85" si="38">IF(AND(R83="",S83=""),"N/A",IF(R83=S83,"Ok","Check"))</f>
        <v>Ok</v>
      </c>
      <c r="AE83" s="11">
        <f t="shared" si="35"/>
        <v>0</v>
      </c>
    </row>
    <row r="84" spans="1:31" x14ac:dyDescent="0.3">
      <c r="A84">
        <v>71</v>
      </c>
      <c r="B84">
        <v>4635176</v>
      </c>
      <c r="C84" t="s">
        <v>42</v>
      </c>
      <c r="D84">
        <v>1507694</v>
      </c>
      <c r="E84" t="s">
        <v>45</v>
      </c>
      <c r="F84" t="s">
        <v>22</v>
      </c>
      <c r="G84" t="s">
        <v>129</v>
      </c>
      <c r="H84" t="s">
        <v>130</v>
      </c>
      <c r="I84" t="s">
        <v>299</v>
      </c>
      <c r="J84">
        <v>51141119412</v>
      </c>
      <c r="K84" t="s">
        <v>286</v>
      </c>
      <c r="L84" t="s">
        <v>466</v>
      </c>
      <c r="M84">
        <v>24000</v>
      </c>
      <c r="N84" s="10">
        <v>0.22090000000000001</v>
      </c>
      <c r="O84" s="10">
        <f t="shared" si="36"/>
        <v>5301.6</v>
      </c>
      <c r="P84" s="10" t="s">
        <v>562</v>
      </c>
      <c r="Q84" s="10" t="s">
        <v>562</v>
      </c>
      <c r="R84" s="10" t="str">
        <f>IF(COUNTIF($J$2:J84,J84)=1,SUMIFS($O:$O,$J:$J,J84)+SUMIFS($P:$P,$J:$J,J84)+SUMIFS($Q:$Q,$J:$J,J84),"")</f>
        <v/>
      </c>
      <c r="S84" s="10" t="s">
        <v>562</v>
      </c>
      <c r="T84" s="11" t="str">
        <f>IFERROR(INDEX(AD:AD,MATCH(J84,J:J,0)),"")</f>
        <v>Ok</v>
      </c>
      <c r="U84" s="12">
        <v>46099</v>
      </c>
      <c r="V84" s="10">
        <v>3980.66</v>
      </c>
      <c r="W84" s="10" t="str">
        <f t="shared" si="37"/>
        <v>N/A</v>
      </c>
      <c r="X84" t="s">
        <v>47</v>
      </c>
      <c r="Y84" t="s">
        <v>33</v>
      </c>
      <c r="Z84">
        <v>100103</v>
      </c>
      <c r="AA84" t="s">
        <v>250</v>
      </c>
      <c r="AB84" t="s">
        <v>64</v>
      </c>
      <c r="AC84" s="9">
        <v>2</v>
      </c>
      <c r="AD84" s="9" t="str">
        <f t="shared" si="38"/>
        <v>N/A</v>
      </c>
      <c r="AE84" s="11" t="e">
        <f t="shared" si="35"/>
        <v>#VALUE!</v>
      </c>
    </row>
    <row r="85" spans="1:31" x14ac:dyDescent="0.3">
      <c r="A85">
        <v>39</v>
      </c>
      <c r="B85">
        <v>4718383</v>
      </c>
      <c r="C85" t="s">
        <v>42</v>
      </c>
      <c r="D85">
        <v>1130746</v>
      </c>
      <c r="E85" t="s">
        <v>68</v>
      </c>
      <c r="F85" t="s">
        <v>20</v>
      </c>
      <c r="G85" t="s">
        <v>150</v>
      </c>
      <c r="H85" t="s">
        <v>151</v>
      </c>
      <c r="I85" t="s">
        <v>285</v>
      </c>
      <c r="J85">
        <v>51143143903</v>
      </c>
      <c r="K85" t="s">
        <v>308</v>
      </c>
      <c r="L85" t="s">
        <v>496</v>
      </c>
      <c r="M85">
        <v>36</v>
      </c>
      <c r="N85" s="10">
        <v>652.57730000000004</v>
      </c>
      <c r="O85" s="10">
        <f t="shared" si="36"/>
        <v>23492.782800000001</v>
      </c>
      <c r="P85" s="10">
        <v>0</v>
      </c>
      <c r="Q85" s="10">
        <v>0</v>
      </c>
      <c r="R85" s="10">
        <f>IF(COUNTIF($J$2:J85,J85)=1,SUMIFS($O:$O,$J:$J,J85)+SUMIFS($P:$P,$J:$J,J85)+SUMIFS($Q:$Q,$J:$J,J85),"")</f>
        <v>57968.837599999999</v>
      </c>
      <c r="S85" s="10">
        <v>57968.84</v>
      </c>
      <c r="T85" s="11" t="str">
        <f>IFERROR(INDEX(AD:AD,MATCH(J85,J:J,0)),"")</f>
        <v>Check</v>
      </c>
      <c r="U85" s="12">
        <v>46094</v>
      </c>
      <c r="V85" s="10">
        <v>23492.78</v>
      </c>
      <c r="W85" s="10" t="str">
        <f t="shared" si="37"/>
        <v>Short Paid</v>
      </c>
      <c r="X85" t="s">
        <v>47</v>
      </c>
      <c r="Y85" t="s">
        <v>24</v>
      </c>
      <c r="Z85">
        <v>100233</v>
      </c>
      <c r="AA85" t="s">
        <v>56</v>
      </c>
      <c r="AB85" t="s">
        <v>63</v>
      </c>
      <c r="AC85" s="9">
        <v>2</v>
      </c>
      <c r="AD85" s="9" t="str">
        <f t="shared" si="38"/>
        <v>Check</v>
      </c>
      <c r="AE85" s="11">
        <f t="shared" ref="AE85:AE86" si="39">R85-S85</f>
        <v>-2.3999999975785613E-3</v>
      </c>
    </row>
    <row r="86" spans="1:31" x14ac:dyDescent="0.3">
      <c r="A86">
        <v>39</v>
      </c>
      <c r="B86">
        <v>4718383</v>
      </c>
      <c r="C86" t="s">
        <v>42</v>
      </c>
      <c r="D86">
        <v>1130746</v>
      </c>
      <c r="E86" t="s">
        <v>68</v>
      </c>
      <c r="F86" t="s">
        <v>20</v>
      </c>
      <c r="G86" t="s">
        <v>150</v>
      </c>
      <c r="H86" t="s">
        <v>151</v>
      </c>
      <c r="I86" t="s">
        <v>427</v>
      </c>
      <c r="J86">
        <v>51143143903</v>
      </c>
      <c r="K86" t="s">
        <v>271</v>
      </c>
      <c r="L86" t="s">
        <v>385</v>
      </c>
      <c r="M86">
        <v>13144</v>
      </c>
      <c r="N86" s="10">
        <v>2.6229499999999999</v>
      </c>
      <c r="O86" s="10">
        <f t="shared" ref="O86:O98" si="40">M86*N86</f>
        <v>34476.054799999998</v>
      </c>
      <c r="P86" s="10" t="s">
        <v>562</v>
      </c>
      <c r="Q86" s="10" t="s">
        <v>562</v>
      </c>
      <c r="R86" s="10" t="str">
        <f>IF(COUNTIF($J$2:J86,J86)=1,SUMIFS($O:$O,$J:$J,J86)+SUMIFS($P:$P,$J:$J,J86)+SUMIFS($Q:$Q,$J:$J,J86),"")</f>
        <v/>
      </c>
      <c r="S86" s="10" t="s">
        <v>562</v>
      </c>
      <c r="T86" s="11" t="str">
        <f>IFERROR(INDEX(AD:AD,MATCH(J86,J:J,0)),"")</f>
        <v>Check</v>
      </c>
      <c r="U86" s="12">
        <v>46094</v>
      </c>
      <c r="V86" s="10">
        <v>23492.78</v>
      </c>
      <c r="W86" s="10" t="str">
        <f t="shared" ref="W86:W98" si="41">IF(OR(S86="",V86=""),"N/A",IF(S86&lt;&gt;V86,"Short Paid","Not Paid"))</f>
        <v>N/A</v>
      </c>
      <c r="X86" t="s">
        <v>47</v>
      </c>
      <c r="Y86" t="s">
        <v>24</v>
      </c>
      <c r="Z86">
        <v>100233</v>
      </c>
      <c r="AA86" t="s">
        <v>56</v>
      </c>
      <c r="AB86" t="s">
        <v>63</v>
      </c>
      <c r="AC86" s="9">
        <v>2</v>
      </c>
      <c r="AD86" s="9" t="str">
        <f t="shared" ref="AD86:AD98" si="42">IF(AND(R86="",S86=""),"N/A",IF(R86=S86,"Ok","Check"))</f>
        <v>N/A</v>
      </c>
      <c r="AE86" s="11" t="e">
        <f t="shared" si="39"/>
        <v>#VALUE!</v>
      </c>
    </row>
    <row r="87" spans="1:31" x14ac:dyDescent="0.3">
      <c r="A87">
        <v>53</v>
      </c>
      <c r="B87">
        <v>4677754</v>
      </c>
      <c r="C87" t="s">
        <v>42</v>
      </c>
      <c r="D87">
        <v>1507694</v>
      </c>
      <c r="E87" t="s">
        <v>45</v>
      </c>
      <c r="F87" t="s">
        <v>20</v>
      </c>
      <c r="G87" t="s">
        <v>134</v>
      </c>
      <c r="H87" t="s">
        <v>135</v>
      </c>
      <c r="I87" t="s">
        <v>265</v>
      </c>
      <c r="J87">
        <v>51143414549</v>
      </c>
      <c r="K87" t="s">
        <v>498</v>
      </c>
      <c r="L87" t="s">
        <v>497</v>
      </c>
      <c r="M87">
        <v>1</v>
      </c>
      <c r="N87" s="10">
        <v>1299</v>
      </c>
      <c r="O87" s="10">
        <f t="shared" si="40"/>
        <v>1299</v>
      </c>
      <c r="P87" s="10">
        <v>0</v>
      </c>
      <c r="Q87" s="10">
        <v>0</v>
      </c>
      <c r="R87" s="10">
        <f>IF(COUNTIF($J$2:J87,J87)=1,SUMIFS($O:$O,$J:$J,J87)+SUMIFS($P:$P,$J:$J,J87)+SUMIFS($Q:$Q,$J:$J,J87),"")</f>
        <v>3443</v>
      </c>
      <c r="S87" s="10">
        <v>3443</v>
      </c>
      <c r="T87" s="11" t="str">
        <f>IFERROR(INDEX(AD:AD,MATCH(J87,J:J,0)),"")</f>
        <v>Ok</v>
      </c>
      <c r="U87" s="12">
        <v>45743</v>
      </c>
      <c r="V87" s="10">
        <v>1299</v>
      </c>
      <c r="W87" s="10" t="str">
        <f t="shared" si="41"/>
        <v>Short Paid</v>
      </c>
      <c r="X87" t="s">
        <v>47</v>
      </c>
      <c r="Y87" t="s">
        <v>24</v>
      </c>
      <c r="Z87">
        <v>100113</v>
      </c>
      <c r="AA87" t="s">
        <v>57</v>
      </c>
      <c r="AB87" t="s">
        <v>63</v>
      </c>
      <c r="AC87" s="9">
        <v>2</v>
      </c>
      <c r="AD87" s="9" t="str">
        <f t="shared" si="42"/>
        <v>Ok</v>
      </c>
      <c r="AE87" s="11">
        <f t="shared" ref="AE87:AE98" si="43">R87-S87</f>
        <v>0</v>
      </c>
    </row>
    <row r="88" spans="1:31" x14ac:dyDescent="0.3">
      <c r="A88">
        <v>53</v>
      </c>
      <c r="B88">
        <v>4677754</v>
      </c>
      <c r="C88" t="s">
        <v>42</v>
      </c>
      <c r="D88">
        <v>1507694</v>
      </c>
      <c r="E88" t="s">
        <v>45</v>
      </c>
      <c r="F88" t="s">
        <v>20</v>
      </c>
      <c r="G88" t="s">
        <v>134</v>
      </c>
      <c r="H88" t="s">
        <v>135</v>
      </c>
      <c r="I88" t="s">
        <v>377</v>
      </c>
      <c r="J88">
        <v>51143414549</v>
      </c>
      <c r="K88" t="s">
        <v>293</v>
      </c>
      <c r="L88" t="s">
        <v>383</v>
      </c>
      <c r="M88">
        <v>8000</v>
      </c>
      <c r="N88" s="10">
        <v>0.26800000000000002</v>
      </c>
      <c r="O88" s="10">
        <f t="shared" si="40"/>
        <v>2144</v>
      </c>
      <c r="P88" s="10" t="s">
        <v>562</v>
      </c>
      <c r="Q88" s="10" t="s">
        <v>562</v>
      </c>
      <c r="R88" s="10" t="str">
        <f>IF(COUNTIF($J$2:J88,J88)=1,SUMIFS($O:$O,$J:$J,J88)+SUMIFS($P:$P,$J:$J,J88)+SUMIFS($Q:$Q,$J:$J,J88),"")</f>
        <v/>
      </c>
      <c r="S88" s="10" t="s">
        <v>562</v>
      </c>
      <c r="T88" s="11" t="str">
        <f>IFERROR(INDEX(AD:AD,MATCH(J88,J:J,0)),"")</f>
        <v>Ok</v>
      </c>
      <c r="U88" s="12">
        <v>45743</v>
      </c>
      <c r="V88" s="10">
        <v>1299</v>
      </c>
      <c r="W88" s="10" t="str">
        <f t="shared" si="41"/>
        <v>N/A</v>
      </c>
      <c r="X88" t="s">
        <v>47</v>
      </c>
      <c r="Y88" t="s">
        <v>24</v>
      </c>
      <c r="Z88">
        <v>100113</v>
      </c>
      <c r="AA88" t="s">
        <v>57</v>
      </c>
      <c r="AB88" t="s">
        <v>63</v>
      </c>
      <c r="AC88" s="9">
        <v>2</v>
      </c>
      <c r="AD88" s="9" t="str">
        <f t="shared" si="42"/>
        <v>N/A</v>
      </c>
      <c r="AE88" s="11" t="e">
        <f t="shared" si="43"/>
        <v>#VALUE!</v>
      </c>
    </row>
    <row r="89" spans="1:31" x14ac:dyDescent="0.3">
      <c r="A89">
        <v>53</v>
      </c>
      <c r="B89">
        <v>4677475</v>
      </c>
      <c r="C89" t="s">
        <v>42</v>
      </c>
      <c r="D89">
        <v>1507694</v>
      </c>
      <c r="E89" t="s">
        <v>45</v>
      </c>
      <c r="F89" t="s">
        <v>20</v>
      </c>
      <c r="G89" t="s">
        <v>132</v>
      </c>
      <c r="H89" t="s">
        <v>133</v>
      </c>
      <c r="I89" t="s">
        <v>299</v>
      </c>
      <c r="J89">
        <v>51143582650</v>
      </c>
      <c r="K89" t="s">
        <v>275</v>
      </c>
      <c r="L89" t="s">
        <v>371</v>
      </c>
      <c r="M89">
        <v>27000</v>
      </c>
      <c r="N89" s="10">
        <v>8.5099999999999995E-2</v>
      </c>
      <c r="O89" s="10">
        <f t="shared" si="40"/>
        <v>2297.6999999999998</v>
      </c>
      <c r="P89" s="10">
        <v>0</v>
      </c>
      <c r="Q89" s="10">
        <v>334.97</v>
      </c>
      <c r="R89" s="10">
        <f>IF(COUNTIF($J$2:J89,J89)=1,SUMIFS($O:$O,$J:$J,J89)+SUMIFS($P:$P,$J:$J,J89)+SUMIFS($Q:$Q,$J:$J,J89),"")</f>
        <v>3411.67</v>
      </c>
      <c r="S89" s="10">
        <v>3411.67</v>
      </c>
      <c r="T89" s="11" t="str">
        <f>IFERROR(INDEX(AD:AD,MATCH(J89,J:J,0)),"")</f>
        <v>Ok</v>
      </c>
      <c r="U89" s="12">
        <v>45733</v>
      </c>
      <c r="V89" s="10">
        <v>1113.97</v>
      </c>
      <c r="W89" s="10" t="str">
        <f t="shared" si="41"/>
        <v>Short Paid</v>
      </c>
      <c r="X89" t="s">
        <v>47</v>
      </c>
      <c r="Y89" t="s">
        <v>24</v>
      </c>
      <c r="Z89">
        <v>100283</v>
      </c>
      <c r="AA89" t="s">
        <v>48</v>
      </c>
      <c r="AB89" t="s">
        <v>63</v>
      </c>
      <c r="AC89" s="9">
        <v>2</v>
      </c>
      <c r="AD89" s="9" t="str">
        <f t="shared" si="42"/>
        <v>Ok</v>
      </c>
      <c r="AE89" s="11">
        <f t="shared" si="43"/>
        <v>0</v>
      </c>
    </row>
    <row r="90" spans="1:31" x14ac:dyDescent="0.3">
      <c r="A90">
        <v>53</v>
      </c>
      <c r="B90">
        <v>4677475</v>
      </c>
      <c r="C90" t="s">
        <v>42</v>
      </c>
      <c r="D90">
        <v>1507694</v>
      </c>
      <c r="E90" t="s">
        <v>45</v>
      </c>
      <c r="F90" t="s">
        <v>20</v>
      </c>
      <c r="G90" t="s">
        <v>132</v>
      </c>
      <c r="H90" t="s">
        <v>133</v>
      </c>
      <c r="I90" t="s">
        <v>370</v>
      </c>
      <c r="J90">
        <v>51143582650</v>
      </c>
      <c r="K90" t="s">
        <v>498</v>
      </c>
      <c r="L90" t="s">
        <v>499</v>
      </c>
      <c r="M90">
        <v>1</v>
      </c>
      <c r="N90" s="10">
        <v>779</v>
      </c>
      <c r="O90" s="10">
        <f t="shared" si="40"/>
        <v>779</v>
      </c>
      <c r="P90" s="10" t="s">
        <v>562</v>
      </c>
      <c r="Q90" s="10" t="s">
        <v>562</v>
      </c>
      <c r="R90" s="10" t="str">
        <f>IF(COUNTIF($J$2:J90,J90)=1,SUMIFS($O:$O,$J:$J,J90)+SUMIFS($P:$P,$J:$J,J90)+SUMIFS($Q:$Q,$J:$J,J90),"")</f>
        <v/>
      </c>
      <c r="S90" s="10" t="s">
        <v>562</v>
      </c>
      <c r="T90" s="11" t="str">
        <f>IFERROR(INDEX(AD:AD,MATCH(J90,J:J,0)),"")</f>
        <v>Ok</v>
      </c>
      <c r="U90" s="12">
        <v>45733</v>
      </c>
      <c r="V90" s="10">
        <v>1113.97</v>
      </c>
      <c r="W90" s="10" t="str">
        <f t="shared" si="41"/>
        <v>N/A</v>
      </c>
      <c r="X90" t="s">
        <v>47</v>
      </c>
      <c r="Y90" t="s">
        <v>24</v>
      </c>
      <c r="Z90">
        <v>100283</v>
      </c>
      <c r="AA90" t="s">
        <v>48</v>
      </c>
      <c r="AB90" t="s">
        <v>63</v>
      </c>
      <c r="AC90" s="9">
        <v>2</v>
      </c>
      <c r="AD90" s="9" t="str">
        <f t="shared" si="42"/>
        <v>N/A</v>
      </c>
      <c r="AE90" s="11" t="e">
        <f t="shared" si="43"/>
        <v>#VALUE!</v>
      </c>
    </row>
    <row r="91" spans="1:31" x14ac:dyDescent="0.3">
      <c r="A91">
        <v>39</v>
      </c>
      <c r="B91">
        <v>4718661</v>
      </c>
      <c r="C91" t="s">
        <v>42</v>
      </c>
      <c r="D91">
        <v>1130746</v>
      </c>
      <c r="E91" t="s">
        <v>68</v>
      </c>
      <c r="F91" t="s">
        <v>20</v>
      </c>
      <c r="G91" t="s">
        <v>181</v>
      </c>
      <c r="H91" t="s">
        <v>182</v>
      </c>
      <c r="I91" t="s">
        <v>403</v>
      </c>
      <c r="J91">
        <v>51143751362</v>
      </c>
      <c r="K91" t="s">
        <v>361</v>
      </c>
      <c r="L91" t="s">
        <v>500</v>
      </c>
      <c r="M91">
        <v>648</v>
      </c>
      <c r="N91" s="10">
        <v>28.2</v>
      </c>
      <c r="O91" s="10">
        <f t="shared" si="40"/>
        <v>18273.599999999999</v>
      </c>
      <c r="P91" s="10">
        <v>0</v>
      </c>
      <c r="Q91" s="10">
        <v>0</v>
      </c>
      <c r="R91" s="10">
        <f>IF(COUNTIF($J$2:J91,J91)=1,SUMIFS($O:$O,$J:$J,J91)+SUMIFS($P:$P,$J:$J,J91)+SUMIFS($Q:$Q,$J:$J,J91),"")</f>
        <v>221877.7176</v>
      </c>
      <c r="S91" s="10">
        <v>221877.72</v>
      </c>
      <c r="T91" s="11" t="str">
        <f>IFERROR(INDEX(AD:AD,MATCH(J91,J:J,0)),"")</f>
        <v>Check</v>
      </c>
      <c r="U91" s="12">
        <v>46094</v>
      </c>
      <c r="V91" s="10">
        <v>203604.12</v>
      </c>
      <c r="W91" s="10" t="str">
        <f t="shared" si="41"/>
        <v>Short Paid</v>
      </c>
      <c r="X91" t="s">
        <v>47</v>
      </c>
      <c r="Y91" t="s">
        <v>24</v>
      </c>
      <c r="Z91">
        <v>100243</v>
      </c>
      <c r="AA91" t="s">
        <v>54</v>
      </c>
      <c r="AB91" t="s">
        <v>63</v>
      </c>
      <c r="AC91" s="9">
        <v>2</v>
      </c>
      <c r="AD91" s="9" t="str">
        <f t="shared" si="42"/>
        <v>Check</v>
      </c>
      <c r="AE91" s="11">
        <f t="shared" si="43"/>
        <v>-2.3999999975785613E-3</v>
      </c>
    </row>
    <row r="92" spans="1:31" x14ac:dyDescent="0.3">
      <c r="A92">
        <v>39</v>
      </c>
      <c r="B92">
        <v>4718661</v>
      </c>
      <c r="C92" t="s">
        <v>42</v>
      </c>
      <c r="D92">
        <v>1130746</v>
      </c>
      <c r="E92" t="s">
        <v>68</v>
      </c>
      <c r="F92" t="s">
        <v>20</v>
      </c>
      <c r="G92" t="s">
        <v>181</v>
      </c>
      <c r="H92" t="s">
        <v>182</v>
      </c>
      <c r="I92" t="s">
        <v>333</v>
      </c>
      <c r="J92">
        <v>51143751362</v>
      </c>
      <c r="K92" t="s">
        <v>308</v>
      </c>
      <c r="L92" t="s">
        <v>496</v>
      </c>
      <c r="M92">
        <v>312</v>
      </c>
      <c r="N92" s="10">
        <v>652.57730000000004</v>
      </c>
      <c r="O92" s="10">
        <f t="shared" si="40"/>
        <v>203604.1176</v>
      </c>
      <c r="P92" s="10" t="s">
        <v>562</v>
      </c>
      <c r="Q92" s="10" t="s">
        <v>562</v>
      </c>
      <c r="R92" s="10" t="str">
        <f>IF(COUNTIF($J$2:J92,J92)=1,SUMIFS($O:$O,$J:$J,J92)+SUMIFS($P:$P,$J:$J,J92)+SUMIFS($Q:$Q,$J:$J,J92),"")</f>
        <v/>
      </c>
      <c r="S92" s="10" t="s">
        <v>562</v>
      </c>
      <c r="T92" s="11" t="str">
        <f>IFERROR(INDEX(AD:AD,MATCH(J92,J:J,0)),"")</f>
        <v>Check</v>
      </c>
      <c r="U92" s="12">
        <v>46094</v>
      </c>
      <c r="V92" s="10">
        <v>203604.12</v>
      </c>
      <c r="W92" s="10" t="str">
        <f t="shared" si="41"/>
        <v>N/A</v>
      </c>
      <c r="X92" t="s">
        <v>47</v>
      </c>
      <c r="Y92" t="s">
        <v>24</v>
      </c>
      <c r="Z92">
        <v>100243</v>
      </c>
      <c r="AA92" t="s">
        <v>54</v>
      </c>
      <c r="AB92" t="s">
        <v>63</v>
      </c>
      <c r="AC92" s="9">
        <v>2</v>
      </c>
      <c r="AD92" s="9" t="str">
        <f t="shared" si="42"/>
        <v>N/A</v>
      </c>
      <c r="AE92" s="11" t="e">
        <f t="shared" si="43"/>
        <v>#VALUE!</v>
      </c>
    </row>
    <row r="93" spans="1:31" x14ac:dyDescent="0.3">
      <c r="A93">
        <v>53</v>
      </c>
      <c r="B93">
        <v>4679702</v>
      </c>
      <c r="C93" t="s">
        <v>42</v>
      </c>
      <c r="D93">
        <v>1507694</v>
      </c>
      <c r="E93" t="s">
        <v>45</v>
      </c>
      <c r="F93" t="s">
        <v>20</v>
      </c>
      <c r="G93" t="s">
        <v>140</v>
      </c>
      <c r="H93" t="s">
        <v>141</v>
      </c>
      <c r="I93" t="s">
        <v>282</v>
      </c>
      <c r="J93">
        <v>51143892942</v>
      </c>
      <c r="K93" t="s">
        <v>257</v>
      </c>
      <c r="L93" t="s">
        <v>501</v>
      </c>
      <c r="M93">
        <v>21000</v>
      </c>
      <c r="N93" s="10">
        <v>2.5399999999999999E-2</v>
      </c>
      <c r="O93" s="10">
        <f t="shared" si="40"/>
        <v>533.4</v>
      </c>
      <c r="P93" s="10">
        <v>0</v>
      </c>
      <c r="Q93" s="10">
        <v>81.5</v>
      </c>
      <c r="R93" s="10">
        <f>IF(COUNTIF($J$2:J93,J93)=1,SUMIFS($O:$O,$J:$J,J93)+SUMIFS($P:$P,$J:$J,J93)+SUMIFS($Q:$Q,$J:$J,J93),"")</f>
        <v>35550.9</v>
      </c>
      <c r="S93" s="10">
        <v>35550.9</v>
      </c>
      <c r="T93" s="11" t="str">
        <f>IFERROR(INDEX(AD:AD,MATCH(J93,J:J,0)),"")</f>
        <v>Ok</v>
      </c>
      <c r="U93" s="12">
        <v>45771</v>
      </c>
      <c r="V93" s="10">
        <v>34936</v>
      </c>
      <c r="W93" s="10" t="str">
        <f t="shared" si="41"/>
        <v>Short Paid</v>
      </c>
      <c r="X93" t="s">
        <v>47</v>
      </c>
      <c r="Y93" t="s">
        <v>24</v>
      </c>
      <c r="Z93">
        <v>100243</v>
      </c>
      <c r="AA93" t="s">
        <v>54</v>
      </c>
      <c r="AB93" t="s">
        <v>63</v>
      </c>
      <c r="AC93" s="9">
        <v>2</v>
      </c>
      <c r="AD93" s="9" t="str">
        <f t="shared" si="42"/>
        <v>Ok</v>
      </c>
      <c r="AE93" s="11">
        <f t="shared" si="43"/>
        <v>0</v>
      </c>
    </row>
    <row r="94" spans="1:31" x14ac:dyDescent="0.3">
      <c r="A94">
        <v>53</v>
      </c>
      <c r="B94">
        <v>4679702</v>
      </c>
      <c r="C94" t="s">
        <v>42</v>
      </c>
      <c r="D94">
        <v>1507694</v>
      </c>
      <c r="E94" t="s">
        <v>45</v>
      </c>
      <c r="F94" t="s">
        <v>20</v>
      </c>
      <c r="G94" t="s">
        <v>140</v>
      </c>
      <c r="H94" t="s">
        <v>141</v>
      </c>
      <c r="I94" t="s">
        <v>367</v>
      </c>
      <c r="J94">
        <v>51143892942</v>
      </c>
      <c r="K94" t="s">
        <v>405</v>
      </c>
      <c r="L94" t="s">
        <v>502</v>
      </c>
      <c r="M94">
        <v>1</v>
      </c>
      <c r="N94" s="10">
        <v>34936</v>
      </c>
      <c r="O94" s="10">
        <f t="shared" si="40"/>
        <v>34936</v>
      </c>
      <c r="P94" s="10" t="s">
        <v>562</v>
      </c>
      <c r="Q94" s="10" t="s">
        <v>562</v>
      </c>
      <c r="R94" s="10" t="str">
        <f>IF(COUNTIF($J$2:J94,J94)=1,SUMIFS($O:$O,$J:$J,J94)+SUMIFS($P:$P,$J:$J,J94)+SUMIFS($Q:$Q,$J:$J,J94),"")</f>
        <v/>
      </c>
      <c r="S94" s="10" t="s">
        <v>562</v>
      </c>
      <c r="T94" s="11" t="str">
        <f>IFERROR(INDEX(AD:AD,MATCH(J94,J:J,0)),"")</f>
        <v>Ok</v>
      </c>
      <c r="U94" s="12">
        <v>45771</v>
      </c>
      <c r="V94" s="10">
        <v>34936</v>
      </c>
      <c r="W94" s="10" t="str">
        <f t="shared" si="41"/>
        <v>N/A</v>
      </c>
      <c r="X94" t="s">
        <v>47</v>
      </c>
      <c r="Y94" t="s">
        <v>24</v>
      </c>
      <c r="Z94">
        <v>100243</v>
      </c>
      <c r="AA94" t="s">
        <v>54</v>
      </c>
      <c r="AB94" t="s">
        <v>63</v>
      </c>
      <c r="AC94" s="9">
        <v>2</v>
      </c>
      <c r="AD94" s="9" t="str">
        <f t="shared" si="42"/>
        <v>N/A</v>
      </c>
      <c r="AE94" s="11" t="e">
        <f t="shared" si="43"/>
        <v>#VALUE!</v>
      </c>
    </row>
    <row r="95" spans="1:31" x14ac:dyDescent="0.3">
      <c r="A95">
        <v>53</v>
      </c>
      <c r="B95">
        <v>4678867</v>
      </c>
      <c r="C95" t="s">
        <v>42</v>
      </c>
      <c r="D95">
        <v>1507694</v>
      </c>
      <c r="E95" t="s">
        <v>45</v>
      </c>
      <c r="F95" t="s">
        <v>20</v>
      </c>
      <c r="G95" t="s">
        <v>136</v>
      </c>
      <c r="H95" t="s">
        <v>137</v>
      </c>
      <c r="I95" t="s">
        <v>397</v>
      </c>
      <c r="J95">
        <v>51144225435</v>
      </c>
      <c r="K95" t="s">
        <v>319</v>
      </c>
      <c r="L95" t="s">
        <v>503</v>
      </c>
      <c r="M95">
        <v>400</v>
      </c>
      <c r="N95" s="10">
        <v>0.34039999999999998</v>
      </c>
      <c r="O95" s="10">
        <f t="shared" si="40"/>
        <v>136.16</v>
      </c>
      <c r="P95" s="10">
        <v>0</v>
      </c>
      <c r="Q95" s="10">
        <v>28.66</v>
      </c>
      <c r="R95" s="10">
        <f>IF(COUNTIF($J$2:J95,J95)=1,SUMIFS($O:$O,$J:$J,J95)+SUMIFS($P:$P,$J:$J,J95)+SUMIFS($Q:$Q,$J:$J,J95),"")</f>
        <v>263.82</v>
      </c>
      <c r="S95" s="10">
        <v>263.82</v>
      </c>
      <c r="T95" s="11" t="str">
        <f>IFERROR(INDEX(AD:AD,MATCH(J95,J:J,0)),"")</f>
        <v>Ok</v>
      </c>
      <c r="U95" s="12">
        <v>45433</v>
      </c>
      <c r="V95" s="10">
        <v>99</v>
      </c>
      <c r="W95" s="10" t="str">
        <f t="shared" si="41"/>
        <v>Short Paid</v>
      </c>
      <c r="X95" t="s">
        <v>47</v>
      </c>
      <c r="Y95" t="s">
        <v>24</v>
      </c>
      <c r="Z95">
        <v>100193</v>
      </c>
      <c r="AA95" t="s">
        <v>50</v>
      </c>
      <c r="AB95" t="s">
        <v>63</v>
      </c>
      <c r="AC95" s="9">
        <v>2</v>
      </c>
      <c r="AD95" s="9" t="str">
        <f t="shared" si="42"/>
        <v>Ok</v>
      </c>
      <c r="AE95" s="11">
        <f t="shared" si="43"/>
        <v>0</v>
      </c>
    </row>
    <row r="96" spans="1:31" x14ac:dyDescent="0.3">
      <c r="A96">
        <v>53</v>
      </c>
      <c r="B96">
        <v>4678867</v>
      </c>
      <c r="C96" t="s">
        <v>42</v>
      </c>
      <c r="D96">
        <v>1507694</v>
      </c>
      <c r="E96" t="s">
        <v>45</v>
      </c>
      <c r="F96" t="s">
        <v>20</v>
      </c>
      <c r="G96" t="s">
        <v>136</v>
      </c>
      <c r="H96" t="s">
        <v>137</v>
      </c>
      <c r="I96" t="s">
        <v>400</v>
      </c>
      <c r="J96">
        <v>51144225435</v>
      </c>
      <c r="K96" t="s">
        <v>431</v>
      </c>
      <c r="L96" t="s">
        <v>504</v>
      </c>
      <c r="M96">
        <v>3</v>
      </c>
      <c r="N96" s="10">
        <v>33</v>
      </c>
      <c r="O96" s="10">
        <f t="shared" si="40"/>
        <v>99</v>
      </c>
      <c r="P96" s="10" t="s">
        <v>562</v>
      </c>
      <c r="Q96" s="10" t="s">
        <v>562</v>
      </c>
      <c r="R96" s="10" t="str">
        <f>IF(COUNTIF($J$2:J96,J96)=1,SUMIFS($O:$O,$J:$J,J96)+SUMIFS($P:$P,$J:$J,J96)+SUMIFS($Q:$Q,$J:$J,J96),"")</f>
        <v/>
      </c>
      <c r="S96" s="10" t="s">
        <v>562</v>
      </c>
      <c r="T96" s="11" t="str">
        <f>IFERROR(INDEX(AD:AD,MATCH(J96,J:J,0)),"")</f>
        <v>Ok</v>
      </c>
      <c r="U96" s="12">
        <v>45433</v>
      </c>
      <c r="V96" s="10">
        <v>99</v>
      </c>
      <c r="W96" s="10" t="str">
        <f t="shared" si="41"/>
        <v>N/A</v>
      </c>
      <c r="X96" t="s">
        <v>47</v>
      </c>
      <c r="Y96" t="s">
        <v>24</v>
      </c>
      <c r="Z96">
        <v>100193</v>
      </c>
      <c r="AA96" t="s">
        <v>50</v>
      </c>
      <c r="AB96" t="s">
        <v>63</v>
      </c>
      <c r="AC96" s="9">
        <v>2</v>
      </c>
      <c r="AD96" s="9" t="str">
        <f t="shared" si="42"/>
        <v>N/A</v>
      </c>
      <c r="AE96" s="11" t="e">
        <f t="shared" si="43"/>
        <v>#VALUE!</v>
      </c>
    </row>
    <row r="97" spans="1:31" x14ac:dyDescent="0.3">
      <c r="A97">
        <v>53</v>
      </c>
      <c r="B97">
        <v>4679980</v>
      </c>
      <c r="C97" t="s">
        <v>42</v>
      </c>
      <c r="D97">
        <v>1507694</v>
      </c>
      <c r="E97" t="s">
        <v>45</v>
      </c>
      <c r="F97" t="s">
        <v>20</v>
      </c>
      <c r="G97" t="s">
        <v>142</v>
      </c>
      <c r="H97" t="s">
        <v>143</v>
      </c>
      <c r="I97" t="s">
        <v>302</v>
      </c>
      <c r="J97">
        <v>51144773231</v>
      </c>
      <c r="K97" t="s">
        <v>405</v>
      </c>
      <c r="L97" t="s">
        <v>505</v>
      </c>
      <c r="M97">
        <v>1</v>
      </c>
      <c r="N97" s="10">
        <v>1320</v>
      </c>
      <c r="O97" s="10">
        <f t="shared" si="40"/>
        <v>1320</v>
      </c>
      <c r="P97" s="10">
        <v>0</v>
      </c>
      <c r="Q97" s="10">
        <v>0</v>
      </c>
      <c r="R97" s="10">
        <f>IF(COUNTIF($J$2:J97,J97)=1,SUMIFS($O:$O,$J:$J,J97)+SUMIFS($P:$P,$J:$J,J97)+SUMIFS($Q:$Q,$J:$J,J97),"")</f>
        <v>2046.6599999999999</v>
      </c>
      <c r="S97" s="10">
        <v>2046.6599999999999</v>
      </c>
      <c r="T97" s="11" t="str">
        <f>IFERROR(INDEX(AD:AD,MATCH(J97,J:J,0)),"")</f>
        <v>Ok</v>
      </c>
      <c r="U97" s="12">
        <v>46004</v>
      </c>
      <c r="V97" s="10">
        <v>1320</v>
      </c>
      <c r="W97" s="10" t="str">
        <f t="shared" si="41"/>
        <v>Short Paid</v>
      </c>
      <c r="X97" t="s">
        <v>47</v>
      </c>
      <c r="Y97" t="s">
        <v>24</v>
      </c>
      <c r="Z97">
        <v>100273</v>
      </c>
      <c r="AA97" t="s">
        <v>52</v>
      </c>
      <c r="AB97" t="s">
        <v>63</v>
      </c>
      <c r="AC97" s="9">
        <v>2</v>
      </c>
      <c r="AD97" s="9" t="str">
        <f t="shared" si="42"/>
        <v>Ok</v>
      </c>
      <c r="AE97" s="11">
        <f t="shared" si="43"/>
        <v>0</v>
      </c>
    </row>
    <row r="98" spans="1:31" x14ac:dyDescent="0.3">
      <c r="A98">
        <v>53</v>
      </c>
      <c r="B98">
        <v>4679980</v>
      </c>
      <c r="C98" t="s">
        <v>42</v>
      </c>
      <c r="D98">
        <v>1507694</v>
      </c>
      <c r="E98" t="s">
        <v>45</v>
      </c>
      <c r="F98" t="s">
        <v>20</v>
      </c>
      <c r="G98" t="s">
        <v>142</v>
      </c>
      <c r="H98" t="s">
        <v>143</v>
      </c>
      <c r="I98" t="s">
        <v>296</v>
      </c>
      <c r="J98">
        <v>51144773231</v>
      </c>
      <c r="K98" t="s">
        <v>495</v>
      </c>
      <c r="L98" t="s">
        <v>506</v>
      </c>
      <c r="M98">
        <v>6000</v>
      </c>
      <c r="N98" s="10">
        <v>0.12111</v>
      </c>
      <c r="O98" s="10">
        <f t="shared" si="40"/>
        <v>726.66</v>
      </c>
      <c r="P98" s="10" t="s">
        <v>562</v>
      </c>
      <c r="Q98" s="10" t="s">
        <v>562</v>
      </c>
      <c r="R98" s="10" t="str">
        <f>IF(COUNTIF($J$2:J98,J98)=1,SUMIFS($O:$O,$J:$J,J98)+SUMIFS($P:$P,$J:$J,J98)+SUMIFS($Q:$Q,$J:$J,J98),"")</f>
        <v/>
      </c>
      <c r="S98" s="10" t="s">
        <v>562</v>
      </c>
      <c r="T98" s="11" t="str">
        <f>IFERROR(INDEX(AD:AD,MATCH(J98,J:J,0)),"")</f>
        <v>Ok</v>
      </c>
      <c r="U98" s="12">
        <v>46004</v>
      </c>
      <c r="V98" s="10">
        <v>1320</v>
      </c>
      <c r="W98" s="10" t="str">
        <f t="shared" si="41"/>
        <v>N/A</v>
      </c>
      <c r="X98" t="s">
        <v>47</v>
      </c>
      <c r="Y98" t="s">
        <v>24</v>
      </c>
      <c r="Z98">
        <v>100273</v>
      </c>
      <c r="AA98" t="s">
        <v>52</v>
      </c>
      <c r="AB98" t="s">
        <v>63</v>
      </c>
      <c r="AC98" s="9">
        <v>2</v>
      </c>
      <c r="AD98" s="9" t="str">
        <f t="shared" si="42"/>
        <v>N/A</v>
      </c>
      <c r="AE98" s="11" t="e">
        <f t="shared" si="43"/>
        <v>#VALUE!</v>
      </c>
    </row>
    <row r="99" spans="1:31" x14ac:dyDescent="0.3">
      <c r="A99">
        <v>53</v>
      </c>
      <c r="B99">
        <v>4679145</v>
      </c>
      <c r="C99" t="s">
        <v>42</v>
      </c>
      <c r="D99">
        <v>1507694</v>
      </c>
      <c r="E99" t="s">
        <v>45</v>
      </c>
      <c r="F99" t="s">
        <v>20</v>
      </c>
      <c r="G99" t="s">
        <v>138</v>
      </c>
      <c r="H99" t="s">
        <v>139</v>
      </c>
      <c r="I99" t="s">
        <v>312</v>
      </c>
      <c r="J99">
        <v>51145473904</v>
      </c>
      <c r="K99" t="s">
        <v>431</v>
      </c>
      <c r="L99" t="s">
        <v>507</v>
      </c>
      <c r="M99">
        <v>2</v>
      </c>
      <c r="N99" s="10">
        <v>7</v>
      </c>
      <c r="O99" s="10">
        <f t="shared" ref="O99:O104" si="44">M99*N99</f>
        <v>14</v>
      </c>
      <c r="P99" s="10">
        <v>0</v>
      </c>
      <c r="Q99" s="10">
        <v>1395.93</v>
      </c>
      <c r="R99" s="10">
        <f>IF(COUNTIF($J$2:J99,J99)=1,SUMIFS($O:$O,$J:$J,J99)+SUMIFS($P:$P,$J:$J,J99)+SUMIFS($Q:$Q,$J:$J,J99),"")</f>
        <v>7479.21</v>
      </c>
      <c r="S99" s="10">
        <v>7479.21</v>
      </c>
      <c r="T99" s="11" t="str">
        <f>IFERROR(INDEX(AD:AD,MATCH(J99,J:J,0)),"")</f>
        <v>Ok</v>
      </c>
      <c r="U99" s="12">
        <v>45449</v>
      </c>
      <c r="V99" s="10">
        <v>14</v>
      </c>
      <c r="W99" s="10" t="str">
        <f t="shared" ref="W99:W104" si="45">IF(OR(S99="",V99=""),"N/A",IF(S99&lt;&gt;V99,"Short Paid","Not Paid"))</f>
        <v>Short Paid</v>
      </c>
      <c r="X99" t="s">
        <v>47</v>
      </c>
      <c r="Y99" t="s">
        <v>24</v>
      </c>
      <c r="Z99">
        <v>100203</v>
      </c>
      <c r="AA99" t="s">
        <v>49</v>
      </c>
      <c r="AB99" t="s">
        <v>63</v>
      </c>
      <c r="AC99" s="9">
        <v>2</v>
      </c>
      <c r="AD99" s="9" t="str">
        <f t="shared" ref="AD99:AD104" si="46">IF(AND(R99="",S99=""),"N/A",IF(R99=S99,"Ok","Check"))</f>
        <v>Ok</v>
      </c>
      <c r="AE99" s="11">
        <f t="shared" ref="AE99:AE106" si="47">R99-S99</f>
        <v>0</v>
      </c>
    </row>
    <row r="100" spans="1:31" x14ac:dyDescent="0.3">
      <c r="A100">
        <v>53</v>
      </c>
      <c r="B100">
        <v>4679145</v>
      </c>
      <c r="C100" t="s">
        <v>42</v>
      </c>
      <c r="D100">
        <v>1507694</v>
      </c>
      <c r="E100" t="s">
        <v>45</v>
      </c>
      <c r="F100" t="s">
        <v>20</v>
      </c>
      <c r="G100" t="s">
        <v>138</v>
      </c>
      <c r="H100" t="s">
        <v>139</v>
      </c>
      <c r="I100" t="s">
        <v>415</v>
      </c>
      <c r="J100">
        <v>51145473904</v>
      </c>
      <c r="K100" t="s">
        <v>417</v>
      </c>
      <c r="L100" t="s">
        <v>416</v>
      </c>
      <c r="M100">
        <v>16000</v>
      </c>
      <c r="N100" s="10">
        <v>0.37933</v>
      </c>
      <c r="O100" s="10">
        <f t="shared" si="44"/>
        <v>6069.28</v>
      </c>
      <c r="P100" s="10" t="s">
        <v>562</v>
      </c>
      <c r="Q100" s="10" t="s">
        <v>562</v>
      </c>
      <c r="R100" s="10" t="str">
        <f>IF(COUNTIF($J$2:J100,J100)=1,SUMIFS($O:$O,$J:$J,J100)+SUMIFS($P:$P,$J:$J,J100)+SUMIFS($Q:$Q,$J:$J,J100),"")</f>
        <v/>
      </c>
      <c r="S100" s="10" t="s">
        <v>562</v>
      </c>
      <c r="T100" s="11" t="str">
        <f>IFERROR(INDEX(AD:AD,MATCH(J100,J:J,0)),"")</f>
        <v>Ok</v>
      </c>
      <c r="U100" s="12">
        <v>45449</v>
      </c>
      <c r="V100" s="10">
        <v>14</v>
      </c>
      <c r="W100" s="10" t="str">
        <f t="shared" si="45"/>
        <v>N/A</v>
      </c>
      <c r="X100" t="s">
        <v>47</v>
      </c>
      <c r="Y100" t="s">
        <v>24</v>
      </c>
      <c r="Z100">
        <v>100203</v>
      </c>
      <c r="AA100" t="s">
        <v>49</v>
      </c>
      <c r="AB100" t="s">
        <v>63</v>
      </c>
      <c r="AC100" s="9">
        <v>2</v>
      </c>
      <c r="AD100" s="9" t="str">
        <f t="shared" si="46"/>
        <v>N/A</v>
      </c>
      <c r="AE100" s="11" t="e">
        <f t="shared" si="47"/>
        <v>#VALUE!</v>
      </c>
    </row>
    <row r="101" spans="1:31" x14ac:dyDescent="0.3">
      <c r="A101">
        <v>42</v>
      </c>
      <c r="B101">
        <v>4708643</v>
      </c>
      <c r="C101" t="s">
        <v>42</v>
      </c>
      <c r="D101">
        <v>1588891</v>
      </c>
      <c r="E101" t="s">
        <v>43</v>
      </c>
      <c r="F101" t="s">
        <v>18</v>
      </c>
      <c r="G101" t="s">
        <v>146</v>
      </c>
      <c r="H101" t="s">
        <v>147</v>
      </c>
      <c r="I101" t="s">
        <v>382</v>
      </c>
      <c r="J101">
        <v>51146357608</v>
      </c>
      <c r="K101" t="s">
        <v>436</v>
      </c>
      <c r="L101" t="s">
        <v>508</v>
      </c>
      <c r="M101">
        <v>50</v>
      </c>
      <c r="N101" s="10">
        <v>94.06</v>
      </c>
      <c r="O101" s="10">
        <f t="shared" si="44"/>
        <v>4703</v>
      </c>
      <c r="P101" s="10">
        <v>0</v>
      </c>
      <c r="Q101" s="10">
        <v>0</v>
      </c>
      <c r="R101" s="10">
        <f>IF(COUNTIF($J$2:J101,J101)=1,SUMIFS($O:$O,$J:$J,J101)+SUMIFS($P:$P,$J:$J,J101)+SUMIFS($Q:$Q,$J:$J,J101),"")</f>
        <v>6101.96</v>
      </c>
      <c r="S101" s="10">
        <v>10804.96</v>
      </c>
      <c r="T101" s="11" t="str">
        <f>IFERROR(INDEX(AD:AD,MATCH(J101,J:J,0)),"")</f>
        <v>Check</v>
      </c>
      <c r="U101" s="12">
        <v>45983</v>
      </c>
      <c r="V101" s="10">
        <v>-321.04000000000002</v>
      </c>
      <c r="W101" s="10" t="str">
        <f t="shared" si="45"/>
        <v>Short Paid</v>
      </c>
      <c r="X101" t="s">
        <v>47</v>
      </c>
      <c r="Y101" t="s">
        <v>24</v>
      </c>
      <c r="Z101">
        <v>100123</v>
      </c>
      <c r="AA101" t="s">
        <v>55</v>
      </c>
      <c r="AB101" t="s">
        <v>65</v>
      </c>
      <c r="AC101" s="9">
        <v>2</v>
      </c>
      <c r="AD101" s="9" t="str">
        <f t="shared" si="46"/>
        <v>Check</v>
      </c>
      <c r="AE101" s="11">
        <f t="shared" si="47"/>
        <v>-4702.9999999999991</v>
      </c>
    </row>
    <row r="102" spans="1:31" x14ac:dyDescent="0.3">
      <c r="A102">
        <v>42</v>
      </c>
      <c r="B102">
        <v>4708643</v>
      </c>
      <c r="C102" t="s">
        <v>42</v>
      </c>
      <c r="D102">
        <v>1588891</v>
      </c>
      <c r="E102" t="s">
        <v>43</v>
      </c>
      <c r="F102" t="s">
        <v>18</v>
      </c>
      <c r="G102" t="s">
        <v>146</v>
      </c>
      <c r="H102" t="s">
        <v>147</v>
      </c>
      <c r="I102" t="s">
        <v>384</v>
      </c>
      <c r="J102">
        <v>51146357608</v>
      </c>
      <c r="K102" t="s">
        <v>358</v>
      </c>
      <c r="L102" t="s">
        <v>509</v>
      </c>
      <c r="M102">
        <v>4000</v>
      </c>
      <c r="N102" s="10">
        <v>0.34974</v>
      </c>
      <c r="O102" s="10">
        <f t="shared" si="44"/>
        <v>1398.96</v>
      </c>
      <c r="P102" s="10" t="s">
        <v>562</v>
      </c>
      <c r="Q102" s="10" t="s">
        <v>562</v>
      </c>
      <c r="R102" s="10" t="str">
        <f>IF(COUNTIF($J$2:J102,J102)=1,SUMIFS($O:$O,$J:$J,J102)+SUMIFS($P:$P,$J:$J,J102)+SUMIFS($Q:$Q,$J:$J,J102),"")</f>
        <v/>
      </c>
      <c r="S102" s="10" t="s">
        <v>562</v>
      </c>
      <c r="T102" s="11" t="str">
        <f>IFERROR(INDEX(AD:AD,MATCH(J102,J:J,0)),"")</f>
        <v>Check</v>
      </c>
      <c r="U102" s="12">
        <v>45983</v>
      </c>
      <c r="V102" s="10">
        <v>-321.04000000000002</v>
      </c>
      <c r="W102" s="10" t="str">
        <f t="shared" si="45"/>
        <v>N/A</v>
      </c>
      <c r="X102" t="s">
        <v>47</v>
      </c>
      <c r="Y102" t="s">
        <v>24</v>
      </c>
      <c r="Z102">
        <v>100123</v>
      </c>
      <c r="AA102" t="s">
        <v>55</v>
      </c>
      <c r="AB102" t="s">
        <v>65</v>
      </c>
      <c r="AC102" s="9">
        <v>2</v>
      </c>
      <c r="AD102" s="9" t="str">
        <f t="shared" si="46"/>
        <v>N/A</v>
      </c>
      <c r="AE102" s="11" t="e">
        <f t="shared" si="47"/>
        <v>#VALUE!</v>
      </c>
    </row>
    <row r="103" spans="1:31" x14ac:dyDescent="0.3">
      <c r="A103">
        <v>42</v>
      </c>
      <c r="B103">
        <v>4708365</v>
      </c>
      <c r="C103" t="s">
        <v>42</v>
      </c>
      <c r="D103">
        <v>1588891</v>
      </c>
      <c r="E103" t="s">
        <v>43</v>
      </c>
      <c r="F103" t="s">
        <v>18</v>
      </c>
      <c r="G103" t="s">
        <v>144</v>
      </c>
      <c r="H103" t="s">
        <v>145</v>
      </c>
      <c r="I103" t="s">
        <v>333</v>
      </c>
      <c r="J103">
        <v>51146532109</v>
      </c>
      <c r="K103" t="s">
        <v>278</v>
      </c>
      <c r="L103" t="s">
        <v>424</v>
      </c>
      <c r="M103">
        <v>100000</v>
      </c>
      <c r="N103" s="10">
        <v>1.24E-2</v>
      </c>
      <c r="O103" s="10">
        <f t="shared" si="44"/>
        <v>1240</v>
      </c>
      <c r="P103" s="10">
        <v>0</v>
      </c>
      <c r="Q103" s="10">
        <v>0</v>
      </c>
      <c r="R103" s="10">
        <f>IF(COUNTIF($J$2:J103,J103)=1,SUMIFS($O:$O,$J:$J,J103)+SUMIFS($P:$P,$J:$J,J103)+SUMIFS($Q:$Q,$J:$J,J103),"")</f>
        <v>2034</v>
      </c>
      <c r="S103" s="10">
        <v>2034</v>
      </c>
      <c r="T103" s="11" t="str">
        <f>IFERROR(INDEX(AD:AD,MATCH(J103,J:J,0)),"")</f>
        <v>Ok</v>
      </c>
      <c r="U103" s="12">
        <v>45987</v>
      </c>
      <c r="V103" s="10">
        <v>794</v>
      </c>
      <c r="W103" s="10" t="str">
        <f t="shared" si="45"/>
        <v>Short Paid</v>
      </c>
      <c r="X103" t="s">
        <v>47</v>
      </c>
      <c r="Y103" t="s">
        <v>24</v>
      </c>
      <c r="Z103">
        <v>100113</v>
      </c>
      <c r="AA103" t="s">
        <v>57</v>
      </c>
      <c r="AB103" t="s">
        <v>65</v>
      </c>
      <c r="AC103" s="9">
        <v>2</v>
      </c>
      <c r="AD103" s="9" t="str">
        <f t="shared" si="46"/>
        <v>Ok</v>
      </c>
      <c r="AE103" s="11">
        <f t="shared" si="47"/>
        <v>0</v>
      </c>
    </row>
    <row r="104" spans="1:31" x14ac:dyDescent="0.3">
      <c r="A104">
        <v>42</v>
      </c>
      <c r="B104">
        <v>4708365</v>
      </c>
      <c r="C104" t="s">
        <v>42</v>
      </c>
      <c r="D104">
        <v>1588891</v>
      </c>
      <c r="E104" t="s">
        <v>43</v>
      </c>
      <c r="F104" t="s">
        <v>18</v>
      </c>
      <c r="G104" t="s">
        <v>144</v>
      </c>
      <c r="H104" t="s">
        <v>145</v>
      </c>
      <c r="I104" t="s">
        <v>300</v>
      </c>
      <c r="J104">
        <v>51146532109</v>
      </c>
      <c r="K104" t="s">
        <v>346</v>
      </c>
      <c r="L104" t="s">
        <v>510</v>
      </c>
      <c r="M104">
        <v>40</v>
      </c>
      <c r="N104" s="10">
        <v>19.850000000000001</v>
      </c>
      <c r="O104" s="10">
        <f t="shared" si="44"/>
        <v>794</v>
      </c>
      <c r="P104" s="10" t="s">
        <v>562</v>
      </c>
      <c r="Q104" s="10" t="s">
        <v>562</v>
      </c>
      <c r="R104" s="10" t="str">
        <f>IF(COUNTIF($J$2:J104,J104)=1,SUMIFS($O:$O,$J:$J,J104)+SUMIFS($P:$P,$J:$J,J104)+SUMIFS($Q:$Q,$J:$J,J104),"")</f>
        <v/>
      </c>
      <c r="S104" s="10" t="s">
        <v>562</v>
      </c>
      <c r="T104" s="11" t="str">
        <f>IFERROR(INDEX(AD:AD,MATCH(J104,J:J,0)),"")</f>
        <v>Ok</v>
      </c>
      <c r="U104" s="12">
        <v>45987</v>
      </c>
      <c r="V104" s="10">
        <v>794</v>
      </c>
      <c r="W104" s="10" t="str">
        <f t="shared" si="45"/>
        <v>N/A</v>
      </c>
      <c r="X104" t="s">
        <v>47</v>
      </c>
      <c r="Y104" t="s">
        <v>24</v>
      </c>
      <c r="Z104">
        <v>100113</v>
      </c>
      <c r="AA104" t="s">
        <v>57</v>
      </c>
      <c r="AB104" t="s">
        <v>65</v>
      </c>
      <c r="AC104" s="9">
        <v>2</v>
      </c>
      <c r="AD104" s="9" t="str">
        <f t="shared" si="46"/>
        <v>N/A</v>
      </c>
      <c r="AE104" s="11" t="e">
        <f t="shared" si="47"/>
        <v>#VALUE!</v>
      </c>
    </row>
    <row r="105" spans="1:31" x14ac:dyDescent="0.3">
      <c r="A105">
        <v>42</v>
      </c>
      <c r="B105">
        <v>4711148</v>
      </c>
      <c r="C105" t="s">
        <v>42</v>
      </c>
      <c r="D105">
        <v>1588891</v>
      </c>
      <c r="E105" t="s">
        <v>43</v>
      </c>
      <c r="F105" t="s">
        <v>18</v>
      </c>
      <c r="G105" t="s">
        <v>240</v>
      </c>
      <c r="H105" t="s">
        <v>154</v>
      </c>
      <c r="I105" t="s">
        <v>306</v>
      </c>
      <c r="J105">
        <v>51146691989</v>
      </c>
      <c r="K105" t="s">
        <v>261</v>
      </c>
      <c r="L105" t="s">
        <v>511</v>
      </c>
      <c r="M105">
        <v>16000</v>
      </c>
      <c r="N105" s="10">
        <v>1.2540000000000001E-2</v>
      </c>
      <c r="O105" s="10">
        <f t="shared" ref="O105:O131" si="48">M105*N105</f>
        <v>200.64000000000001</v>
      </c>
      <c r="P105" s="10">
        <v>0</v>
      </c>
      <c r="Q105" s="10">
        <v>0</v>
      </c>
      <c r="R105" s="10">
        <f>IF(COUNTIF($J$2:J105,J105)=1,SUMIFS($O:$O,$J:$J,J105)+SUMIFS($P:$P,$J:$J,J105)+SUMIFS($Q:$Q,$J:$J,J105),"")</f>
        <v>947.34</v>
      </c>
      <c r="S105" s="10">
        <v>947.34</v>
      </c>
      <c r="T105" s="11" t="str">
        <f>IFERROR(INDEX(AD:AD,MATCH(J105,J:J,0)),"")</f>
        <v>Ok</v>
      </c>
      <c r="U105" s="12">
        <v>45986</v>
      </c>
      <c r="V105" s="10">
        <v>-684.16</v>
      </c>
      <c r="W105" s="10" t="str">
        <f t="shared" ref="W105:W131" si="49">IF(OR(S105="",V105=""),"N/A",IF(S105&lt;&gt;V105,"Short Paid","Not Paid"))</f>
        <v>Short Paid</v>
      </c>
      <c r="X105" t="s">
        <v>47</v>
      </c>
      <c r="Y105" t="s">
        <v>24</v>
      </c>
      <c r="Z105">
        <v>100113</v>
      </c>
      <c r="AA105" t="s">
        <v>57</v>
      </c>
      <c r="AB105" t="s">
        <v>65</v>
      </c>
      <c r="AC105" s="9">
        <v>2</v>
      </c>
      <c r="AD105" s="9" t="str">
        <f t="shared" ref="AD105:AD131" si="50">IF(AND(R105="",S105=""),"N/A",IF(R105=S105,"Ok","Check"))</f>
        <v>Ok</v>
      </c>
      <c r="AE105" s="11">
        <f t="shared" si="47"/>
        <v>0</v>
      </c>
    </row>
    <row r="106" spans="1:31" x14ac:dyDescent="0.3">
      <c r="A106">
        <v>42</v>
      </c>
      <c r="B106">
        <v>4711148</v>
      </c>
      <c r="C106" t="s">
        <v>42</v>
      </c>
      <c r="D106">
        <v>1588891</v>
      </c>
      <c r="E106" t="s">
        <v>43</v>
      </c>
      <c r="F106" t="s">
        <v>18</v>
      </c>
      <c r="G106" t="s">
        <v>240</v>
      </c>
      <c r="H106" t="s">
        <v>154</v>
      </c>
      <c r="I106" t="s">
        <v>369</v>
      </c>
      <c r="J106">
        <v>51146691989</v>
      </c>
      <c r="K106" t="s">
        <v>293</v>
      </c>
      <c r="L106" t="s">
        <v>389</v>
      </c>
      <c r="M106">
        <v>3000</v>
      </c>
      <c r="N106" s="10">
        <v>0.24890000000000001</v>
      </c>
      <c r="O106" s="10">
        <f t="shared" si="48"/>
        <v>746.7</v>
      </c>
      <c r="P106" s="10" t="s">
        <v>562</v>
      </c>
      <c r="Q106" s="10" t="s">
        <v>562</v>
      </c>
      <c r="R106" s="10" t="str">
        <f>IF(COUNTIF($J$2:J106,J106)=1,SUMIFS($O:$O,$J:$J,J106)+SUMIFS($P:$P,$J:$J,J106)+SUMIFS($Q:$Q,$J:$J,J106),"")</f>
        <v/>
      </c>
      <c r="S106" s="10" t="s">
        <v>562</v>
      </c>
      <c r="T106" s="11" t="str">
        <f>IFERROR(INDEX(AD:AD,MATCH(J106,J:J,0)),"")</f>
        <v>Ok</v>
      </c>
      <c r="U106" s="12">
        <v>45986</v>
      </c>
      <c r="V106" s="10">
        <v>-684.16</v>
      </c>
      <c r="W106" s="10" t="str">
        <f t="shared" si="49"/>
        <v>N/A</v>
      </c>
      <c r="X106" t="s">
        <v>47</v>
      </c>
      <c r="Y106" t="s">
        <v>24</v>
      </c>
      <c r="Z106">
        <v>100113</v>
      </c>
      <c r="AA106" t="s">
        <v>57</v>
      </c>
      <c r="AB106" t="s">
        <v>65</v>
      </c>
      <c r="AC106" s="9">
        <v>2</v>
      </c>
      <c r="AD106" s="9" t="str">
        <f t="shared" si="50"/>
        <v>N/A</v>
      </c>
      <c r="AE106" s="11" t="e">
        <f t="shared" si="47"/>
        <v>#VALUE!</v>
      </c>
    </row>
    <row r="107" spans="1:31" x14ac:dyDescent="0.3">
      <c r="A107">
        <v>58</v>
      </c>
      <c r="B107">
        <v>4670796</v>
      </c>
      <c r="C107" t="s">
        <v>42</v>
      </c>
      <c r="D107">
        <v>1006248</v>
      </c>
      <c r="E107" t="s">
        <v>44</v>
      </c>
      <c r="F107" t="s">
        <v>20</v>
      </c>
      <c r="G107" t="s">
        <v>237</v>
      </c>
      <c r="H107" t="s">
        <v>131</v>
      </c>
      <c r="I107" t="s">
        <v>368</v>
      </c>
      <c r="J107">
        <v>51147031524</v>
      </c>
      <c r="K107" t="s">
        <v>271</v>
      </c>
      <c r="L107" t="s">
        <v>512</v>
      </c>
      <c r="M107">
        <v>1000</v>
      </c>
      <c r="N107" s="10">
        <v>8.91</v>
      </c>
      <c r="O107" s="10">
        <f t="shared" si="48"/>
        <v>8910</v>
      </c>
      <c r="P107" s="10">
        <v>0</v>
      </c>
      <c r="Q107" s="10">
        <v>0</v>
      </c>
      <c r="R107" s="10">
        <f>IF(COUNTIF($J$2:J107,J107)=1,SUMIFS($O:$O,$J:$J,J107)+SUMIFS($P:$P,$J:$J,J107)+SUMIFS($Q:$Q,$J:$J,J107),"")</f>
        <v>19460.023520000002</v>
      </c>
      <c r="S107" s="10">
        <v>19460.02</v>
      </c>
      <c r="T107" s="11" t="str">
        <f>IFERROR(INDEX(AD:AD,MATCH(J107,J:J,0)),"")</f>
        <v>Check</v>
      </c>
      <c r="U107" s="12">
        <v>46090</v>
      </c>
      <c r="V107" s="10">
        <v>8910</v>
      </c>
      <c r="W107" s="10" t="str">
        <f t="shared" si="49"/>
        <v>Short Paid</v>
      </c>
      <c r="X107" t="s">
        <v>47</v>
      </c>
      <c r="Y107" t="s">
        <v>24</v>
      </c>
      <c r="Z107">
        <v>100203</v>
      </c>
      <c r="AA107" t="s">
        <v>49</v>
      </c>
      <c r="AB107" t="s">
        <v>63</v>
      </c>
      <c r="AC107" s="9">
        <v>2</v>
      </c>
      <c r="AD107" s="9" t="str">
        <f t="shared" si="50"/>
        <v>Check</v>
      </c>
      <c r="AE107" s="11">
        <f t="shared" ref="AE107:AE132" si="51">R107-S107</f>
        <v>3.5200000020267908E-3</v>
      </c>
    </row>
    <row r="108" spans="1:31" x14ac:dyDescent="0.3">
      <c r="A108">
        <v>58</v>
      </c>
      <c r="B108">
        <v>4670796</v>
      </c>
      <c r="C108" t="s">
        <v>42</v>
      </c>
      <c r="D108">
        <v>1006248</v>
      </c>
      <c r="E108" t="s">
        <v>44</v>
      </c>
      <c r="F108" t="s">
        <v>20</v>
      </c>
      <c r="G108" t="s">
        <v>237</v>
      </c>
      <c r="H108" t="s">
        <v>131</v>
      </c>
      <c r="I108" t="s">
        <v>362</v>
      </c>
      <c r="J108">
        <v>51147031524</v>
      </c>
      <c r="K108" t="s">
        <v>430</v>
      </c>
      <c r="L108" t="s">
        <v>513</v>
      </c>
      <c r="M108">
        <v>8</v>
      </c>
      <c r="N108" s="10">
        <v>1318.7529400000001</v>
      </c>
      <c r="O108" s="10">
        <f t="shared" si="48"/>
        <v>10550.023520000001</v>
      </c>
      <c r="P108" s="10" t="s">
        <v>562</v>
      </c>
      <c r="Q108" s="10" t="s">
        <v>562</v>
      </c>
      <c r="R108" s="10" t="str">
        <f>IF(COUNTIF($J$2:J108,J108)=1,SUMIFS($O:$O,$J:$J,J108)+SUMIFS($P:$P,$J:$J,J108)+SUMIFS($Q:$Q,$J:$J,J108),"")</f>
        <v/>
      </c>
      <c r="S108" s="10" t="s">
        <v>562</v>
      </c>
      <c r="T108" s="11" t="str">
        <f>IFERROR(INDEX(AD:AD,MATCH(J108,J:J,0)),"")</f>
        <v>Check</v>
      </c>
      <c r="U108" s="12">
        <v>46090</v>
      </c>
      <c r="V108" s="10">
        <v>8910</v>
      </c>
      <c r="W108" s="10" t="str">
        <f t="shared" si="49"/>
        <v>N/A</v>
      </c>
      <c r="X108" t="s">
        <v>47</v>
      </c>
      <c r="Y108" t="s">
        <v>24</v>
      </c>
      <c r="Z108">
        <v>100203</v>
      </c>
      <c r="AA108" t="s">
        <v>49</v>
      </c>
      <c r="AB108" t="s">
        <v>63</v>
      </c>
      <c r="AC108" s="9">
        <v>2</v>
      </c>
      <c r="AD108" s="9" t="str">
        <f t="shared" si="50"/>
        <v>N/A</v>
      </c>
      <c r="AE108" s="11" t="e">
        <f t="shared" si="51"/>
        <v>#VALUE!</v>
      </c>
    </row>
    <row r="109" spans="1:31" x14ac:dyDescent="0.3">
      <c r="A109">
        <v>42</v>
      </c>
      <c r="B109">
        <v>4708921</v>
      </c>
      <c r="C109" t="s">
        <v>42</v>
      </c>
      <c r="D109">
        <v>1588891</v>
      </c>
      <c r="E109" t="s">
        <v>43</v>
      </c>
      <c r="F109" t="s">
        <v>18</v>
      </c>
      <c r="G109" t="s">
        <v>148</v>
      </c>
      <c r="H109" t="s">
        <v>149</v>
      </c>
      <c r="I109" t="s">
        <v>302</v>
      </c>
      <c r="J109">
        <v>51147050457</v>
      </c>
      <c r="K109" t="s">
        <v>284</v>
      </c>
      <c r="L109" t="s">
        <v>514</v>
      </c>
      <c r="M109">
        <v>360</v>
      </c>
      <c r="N109" s="10">
        <v>0.40755000000000002</v>
      </c>
      <c r="O109" s="10">
        <f t="shared" si="48"/>
        <v>146.71800000000002</v>
      </c>
      <c r="P109" s="10">
        <v>0</v>
      </c>
      <c r="Q109" s="10">
        <v>0</v>
      </c>
      <c r="R109" s="10">
        <f>IF(COUNTIF($J$2:J109,J109)=1,SUMIFS($O:$O,$J:$J,J109)+SUMIFS($P:$P,$J:$J,J109)+SUMIFS($Q:$Q,$J:$J,J109),"")</f>
        <v>564.74299999999994</v>
      </c>
      <c r="S109" s="10">
        <v>982.78</v>
      </c>
      <c r="T109" s="11" t="str">
        <f>IFERROR(INDEX(AD:AD,MATCH(J109,J:J,0)),"")</f>
        <v>Check</v>
      </c>
      <c r="U109" s="12">
        <v>45994</v>
      </c>
      <c r="V109" s="10">
        <v>-63.94</v>
      </c>
      <c r="W109" s="10" t="str">
        <f t="shared" si="49"/>
        <v>Short Paid</v>
      </c>
      <c r="X109" t="s">
        <v>47</v>
      </c>
      <c r="Y109" t="s">
        <v>24</v>
      </c>
      <c r="Z109">
        <v>100153</v>
      </c>
      <c r="AA109" t="s">
        <v>53</v>
      </c>
      <c r="AB109" t="s">
        <v>65</v>
      </c>
      <c r="AC109" s="9">
        <v>2</v>
      </c>
      <c r="AD109" s="9" t="str">
        <f t="shared" si="50"/>
        <v>Check</v>
      </c>
      <c r="AE109" s="11">
        <f t="shared" si="51"/>
        <v>-418.03700000000003</v>
      </c>
    </row>
    <row r="110" spans="1:31" x14ac:dyDescent="0.3">
      <c r="A110">
        <v>42</v>
      </c>
      <c r="B110">
        <v>4708921</v>
      </c>
      <c r="C110" t="s">
        <v>42</v>
      </c>
      <c r="D110">
        <v>1588891</v>
      </c>
      <c r="E110" t="s">
        <v>43</v>
      </c>
      <c r="F110" t="s">
        <v>18</v>
      </c>
      <c r="G110" t="s">
        <v>148</v>
      </c>
      <c r="H110" t="s">
        <v>149</v>
      </c>
      <c r="I110" t="s">
        <v>366</v>
      </c>
      <c r="J110">
        <v>51147050457</v>
      </c>
      <c r="K110" t="s">
        <v>346</v>
      </c>
      <c r="L110" t="s">
        <v>515</v>
      </c>
      <c r="M110">
        <v>2500</v>
      </c>
      <c r="N110" s="10">
        <v>0.16721</v>
      </c>
      <c r="O110" s="10">
        <f t="shared" si="48"/>
        <v>418.02499999999998</v>
      </c>
      <c r="P110" s="10" t="s">
        <v>562</v>
      </c>
      <c r="Q110" s="10" t="s">
        <v>562</v>
      </c>
      <c r="R110" s="10" t="str">
        <f>IF(COUNTIF($J$2:J110,J110)=1,SUMIFS($O:$O,$J:$J,J110)+SUMIFS($P:$P,$J:$J,J110)+SUMIFS($Q:$Q,$J:$J,J110),"")</f>
        <v/>
      </c>
      <c r="S110" s="10" t="s">
        <v>562</v>
      </c>
      <c r="T110" s="11" t="str">
        <f>IFERROR(INDEX(AD:AD,MATCH(J110,J:J,0)),"")</f>
        <v>Check</v>
      </c>
      <c r="U110" s="12">
        <v>45994</v>
      </c>
      <c r="V110" s="10">
        <v>-63.94</v>
      </c>
      <c r="W110" s="10" t="str">
        <f t="shared" si="49"/>
        <v>N/A</v>
      </c>
      <c r="X110" t="s">
        <v>47</v>
      </c>
      <c r="Y110" t="s">
        <v>24</v>
      </c>
      <c r="Z110">
        <v>100153</v>
      </c>
      <c r="AA110" t="s">
        <v>53</v>
      </c>
      <c r="AB110" t="s">
        <v>65</v>
      </c>
      <c r="AC110" s="9">
        <v>2</v>
      </c>
      <c r="AD110" s="9" t="str">
        <f t="shared" si="50"/>
        <v>N/A</v>
      </c>
      <c r="AE110" s="11" t="e">
        <f t="shared" si="51"/>
        <v>#VALUE!</v>
      </c>
    </row>
    <row r="111" spans="1:31" x14ac:dyDescent="0.3">
      <c r="A111">
        <v>42</v>
      </c>
      <c r="B111">
        <v>4710869</v>
      </c>
      <c r="C111" t="s">
        <v>42</v>
      </c>
      <c r="D111">
        <v>1588891</v>
      </c>
      <c r="E111" t="s">
        <v>43</v>
      </c>
      <c r="F111" t="s">
        <v>18</v>
      </c>
      <c r="G111" t="s">
        <v>152</v>
      </c>
      <c r="H111" t="s">
        <v>153</v>
      </c>
      <c r="I111" t="s">
        <v>413</v>
      </c>
      <c r="J111">
        <v>51147210100</v>
      </c>
      <c r="K111" t="s">
        <v>286</v>
      </c>
      <c r="L111" t="s">
        <v>374</v>
      </c>
      <c r="M111">
        <v>15000</v>
      </c>
      <c r="N111" s="10">
        <v>1.95E-2</v>
      </c>
      <c r="O111" s="10">
        <f t="shared" si="48"/>
        <v>292.5</v>
      </c>
      <c r="P111" s="10">
        <v>0</v>
      </c>
      <c r="Q111" s="10">
        <v>0</v>
      </c>
      <c r="R111" s="10">
        <f>IF(COUNTIF($J$2:J111,J111)=1,SUMIFS($O:$O,$J:$J,J111)+SUMIFS($P:$P,$J:$J,J111)+SUMIFS($Q:$Q,$J:$J,J111),"")</f>
        <v>548.96103999999991</v>
      </c>
      <c r="S111" s="10">
        <v>548.96</v>
      </c>
      <c r="T111" s="11" t="str">
        <f>IFERROR(INDEX(AD:AD,MATCH(J111,J:J,0)),"")</f>
        <v>Check</v>
      </c>
      <c r="U111" s="12">
        <v>45988</v>
      </c>
      <c r="V111" s="10">
        <v>-91.42</v>
      </c>
      <c r="W111" s="10" t="str">
        <f t="shared" si="49"/>
        <v>Short Paid</v>
      </c>
      <c r="X111" t="s">
        <v>47</v>
      </c>
      <c r="Y111" t="s">
        <v>24</v>
      </c>
      <c r="Z111">
        <v>100283</v>
      </c>
      <c r="AA111" t="s">
        <v>48</v>
      </c>
      <c r="AB111" t="s">
        <v>65</v>
      </c>
      <c r="AC111" s="9">
        <v>2</v>
      </c>
      <c r="AD111" s="9" t="str">
        <f t="shared" si="50"/>
        <v>Check</v>
      </c>
      <c r="AE111" s="11">
        <f t="shared" si="51"/>
        <v>1.0399999998753628E-3</v>
      </c>
    </row>
    <row r="112" spans="1:31" x14ac:dyDescent="0.3">
      <c r="A112">
        <v>42</v>
      </c>
      <c r="B112">
        <v>4710869</v>
      </c>
      <c r="C112" t="s">
        <v>42</v>
      </c>
      <c r="D112">
        <v>1588891</v>
      </c>
      <c r="E112" t="s">
        <v>43</v>
      </c>
      <c r="F112" t="s">
        <v>18</v>
      </c>
      <c r="G112" t="s">
        <v>152</v>
      </c>
      <c r="H112" t="s">
        <v>153</v>
      </c>
      <c r="I112" t="s">
        <v>422</v>
      </c>
      <c r="J112">
        <v>51147210100</v>
      </c>
      <c r="K112" t="s">
        <v>308</v>
      </c>
      <c r="L112" t="s">
        <v>409</v>
      </c>
      <c r="M112">
        <v>1012</v>
      </c>
      <c r="N112" s="10">
        <v>0.25341999999999998</v>
      </c>
      <c r="O112" s="10">
        <f t="shared" si="48"/>
        <v>256.46103999999997</v>
      </c>
      <c r="P112" s="10" t="s">
        <v>562</v>
      </c>
      <c r="Q112" s="10" t="s">
        <v>562</v>
      </c>
      <c r="R112" s="10" t="str">
        <f>IF(COUNTIF($J$2:J112,J112)=1,SUMIFS($O:$O,$J:$J,J112)+SUMIFS($P:$P,$J:$J,J112)+SUMIFS($Q:$Q,$J:$J,J112),"")</f>
        <v/>
      </c>
      <c r="S112" s="10" t="s">
        <v>562</v>
      </c>
      <c r="T112" s="11" t="str">
        <f>IFERROR(INDEX(AD:AD,MATCH(J112,J:J,0)),"")</f>
        <v>Check</v>
      </c>
      <c r="U112" s="12">
        <v>45988</v>
      </c>
      <c r="V112" s="10">
        <v>-91.42</v>
      </c>
      <c r="W112" s="10" t="str">
        <f t="shared" si="49"/>
        <v>N/A</v>
      </c>
      <c r="X112" t="s">
        <v>47</v>
      </c>
      <c r="Y112" t="s">
        <v>24</v>
      </c>
      <c r="Z112">
        <v>100283</v>
      </c>
      <c r="AA112" t="s">
        <v>48</v>
      </c>
      <c r="AB112" t="s">
        <v>65</v>
      </c>
      <c r="AC112" s="9">
        <v>2</v>
      </c>
      <c r="AD112" s="9" t="str">
        <f t="shared" si="50"/>
        <v>N/A</v>
      </c>
      <c r="AE112" s="11" t="e">
        <f t="shared" si="51"/>
        <v>#VALUE!</v>
      </c>
    </row>
    <row r="113" spans="1:31" x14ac:dyDescent="0.3">
      <c r="A113">
        <v>42</v>
      </c>
      <c r="B113">
        <v>4713931</v>
      </c>
      <c r="C113" t="s">
        <v>42</v>
      </c>
      <c r="D113">
        <v>1588891</v>
      </c>
      <c r="E113" t="s">
        <v>43</v>
      </c>
      <c r="F113" t="s">
        <v>18</v>
      </c>
      <c r="G113" t="s">
        <v>169</v>
      </c>
      <c r="H113" t="s">
        <v>170</v>
      </c>
      <c r="I113" t="s">
        <v>354</v>
      </c>
      <c r="J113">
        <v>51147430129</v>
      </c>
      <c r="K113" t="s">
        <v>257</v>
      </c>
      <c r="L113" t="s">
        <v>516</v>
      </c>
      <c r="M113">
        <v>60000</v>
      </c>
      <c r="N113" s="10">
        <v>9.4100000000000003E-2</v>
      </c>
      <c r="O113" s="10">
        <f t="shared" si="48"/>
        <v>5646</v>
      </c>
      <c r="P113" s="10">
        <v>0</v>
      </c>
      <c r="Q113" s="10">
        <v>0</v>
      </c>
      <c r="R113" s="10">
        <f>IF(COUNTIF($J$2:J113,J113)=1,SUMIFS($O:$O,$J:$J,J113)+SUMIFS($P:$P,$J:$J,J113)+SUMIFS($Q:$Q,$J:$J,J113),"")</f>
        <v>6539.4750000000004</v>
      </c>
      <c r="S113" s="10">
        <v>6539.48</v>
      </c>
      <c r="T113" s="11" t="str">
        <f>IFERROR(INDEX(AD:AD,MATCH(J113,J:J,0)),"")</f>
        <v>Check</v>
      </c>
      <c r="U113" s="12">
        <v>45994</v>
      </c>
      <c r="V113" s="10">
        <v>-124.38</v>
      </c>
      <c r="W113" s="10" t="str">
        <f t="shared" si="49"/>
        <v>Short Paid</v>
      </c>
      <c r="X113" t="s">
        <v>47</v>
      </c>
      <c r="Y113" t="s">
        <v>24</v>
      </c>
      <c r="Z113">
        <v>100113</v>
      </c>
      <c r="AA113" t="s">
        <v>57</v>
      </c>
      <c r="AB113" t="s">
        <v>65</v>
      </c>
      <c r="AC113" s="9">
        <v>2</v>
      </c>
      <c r="AD113" s="9" t="str">
        <f t="shared" si="50"/>
        <v>Check</v>
      </c>
      <c r="AE113" s="11">
        <f t="shared" si="51"/>
        <v>-4.9999999991996447E-3</v>
      </c>
    </row>
    <row r="114" spans="1:31" x14ac:dyDescent="0.3">
      <c r="A114">
        <v>42</v>
      </c>
      <c r="B114">
        <v>4713931</v>
      </c>
      <c r="C114" t="s">
        <v>42</v>
      </c>
      <c r="D114">
        <v>1588891</v>
      </c>
      <c r="E114" t="s">
        <v>43</v>
      </c>
      <c r="F114" t="s">
        <v>18</v>
      </c>
      <c r="G114" t="s">
        <v>169</v>
      </c>
      <c r="H114" t="s">
        <v>170</v>
      </c>
      <c r="I114" t="s">
        <v>400</v>
      </c>
      <c r="J114">
        <v>51147430129</v>
      </c>
      <c r="K114" t="s">
        <v>358</v>
      </c>
      <c r="L114" t="s">
        <v>517</v>
      </c>
      <c r="M114">
        <v>2250</v>
      </c>
      <c r="N114" s="10">
        <v>0.39710000000000001</v>
      </c>
      <c r="O114" s="10">
        <f t="shared" si="48"/>
        <v>893.47500000000002</v>
      </c>
      <c r="P114" s="10" t="s">
        <v>562</v>
      </c>
      <c r="Q114" s="10" t="s">
        <v>562</v>
      </c>
      <c r="R114" s="10" t="str">
        <f>IF(COUNTIF($J$2:J114,J114)=1,SUMIFS($O:$O,$J:$J,J114)+SUMIFS($P:$P,$J:$J,J114)+SUMIFS($Q:$Q,$J:$J,J114),"")</f>
        <v/>
      </c>
      <c r="S114" s="10" t="s">
        <v>562</v>
      </c>
      <c r="T114" s="11" t="str">
        <f>IFERROR(INDEX(AD:AD,MATCH(J114,J:J,0)),"")</f>
        <v>Check</v>
      </c>
      <c r="U114" s="12">
        <v>45994</v>
      </c>
      <c r="V114" s="10">
        <v>-124.38</v>
      </c>
      <c r="W114" s="10" t="str">
        <f t="shared" si="49"/>
        <v>N/A</v>
      </c>
      <c r="X114" t="s">
        <v>47</v>
      </c>
      <c r="Y114" t="s">
        <v>24</v>
      </c>
      <c r="Z114">
        <v>100113</v>
      </c>
      <c r="AA114" t="s">
        <v>57</v>
      </c>
      <c r="AB114" t="s">
        <v>65</v>
      </c>
      <c r="AC114" s="9">
        <v>2</v>
      </c>
      <c r="AD114" s="9" t="str">
        <f t="shared" si="50"/>
        <v>N/A</v>
      </c>
      <c r="AE114" s="11" t="e">
        <f t="shared" si="51"/>
        <v>#VALUE!</v>
      </c>
    </row>
    <row r="115" spans="1:31" x14ac:dyDescent="0.3">
      <c r="A115">
        <v>42</v>
      </c>
      <c r="B115">
        <v>4713096</v>
      </c>
      <c r="C115" t="s">
        <v>42</v>
      </c>
      <c r="D115">
        <v>1588891</v>
      </c>
      <c r="E115" t="s">
        <v>43</v>
      </c>
      <c r="F115" t="s">
        <v>18</v>
      </c>
      <c r="G115" t="s">
        <v>163</v>
      </c>
      <c r="H115" t="s">
        <v>164</v>
      </c>
      <c r="I115" t="s">
        <v>356</v>
      </c>
      <c r="J115">
        <v>51147431332</v>
      </c>
      <c r="K115" t="s">
        <v>345</v>
      </c>
      <c r="L115" t="s">
        <v>518</v>
      </c>
      <c r="M115">
        <v>7200</v>
      </c>
      <c r="N115" s="10">
        <v>3.7600000000000001E-2</v>
      </c>
      <c r="O115" s="10">
        <f t="shared" si="48"/>
        <v>270.72000000000003</v>
      </c>
      <c r="P115" s="10">
        <v>0</v>
      </c>
      <c r="Q115" s="10">
        <v>0</v>
      </c>
      <c r="R115" s="10">
        <f>IF(COUNTIF($J$2:J115,J115)=1,SUMIFS($O:$O,$J:$J,J115)+SUMIFS($P:$P,$J:$J,J115)+SUMIFS($Q:$Q,$J:$J,J115),"")</f>
        <v>1194.72</v>
      </c>
      <c r="S115" s="10">
        <v>1194.72</v>
      </c>
      <c r="T115" s="11" t="str">
        <f>IFERROR(INDEX(AD:AD,MATCH(J115,J:J,0)),"")</f>
        <v>Ok</v>
      </c>
      <c r="U115" s="12">
        <v>45994</v>
      </c>
      <c r="V115" s="10">
        <v>-15.12</v>
      </c>
      <c r="W115" s="10" t="str">
        <f t="shared" si="49"/>
        <v>Short Paid</v>
      </c>
      <c r="X115" t="s">
        <v>47</v>
      </c>
      <c r="Y115" t="s">
        <v>24</v>
      </c>
      <c r="Z115">
        <v>100243</v>
      </c>
      <c r="AA115" t="s">
        <v>54</v>
      </c>
      <c r="AB115" t="s">
        <v>65</v>
      </c>
      <c r="AC115" s="9">
        <v>2</v>
      </c>
      <c r="AD115" s="9" t="str">
        <f t="shared" si="50"/>
        <v>Ok</v>
      </c>
      <c r="AE115" s="11">
        <f t="shared" si="51"/>
        <v>0</v>
      </c>
    </row>
    <row r="116" spans="1:31" x14ac:dyDescent="0.3">
      <c r="A116">
        <v>42</v>
      </c>
      <c r="B116">
        <v>4713096</v>
      </c>
      <c r="C116" t="s">
        <v>42</v>
      </c>
      <c r="D116">
        <v>1588891</v>
      </c>
      <c r="E116" t="s">
        <v>43</v>
      </c>
      <c r="F116" t="s">
        <v>18</v>
      </c>
      <c r="G116" t="s">
        <v>163</v>
      </c>
      <c r="H116" t="s">
        <v>164</v>
      </c>
      <c r="I116" t="s">
        <v>279</v>
      </c>
      <c r="J116">
        <v>51147431332</v>
      </c>
      <c r="K116" t="s">
        <v>350</v>
      </c>
      <c r="L116" t="s">
        <v>407</v>
      </c>
      <c r="M116">
        <v>280000</v>
      </c>
      <c r="N116" s="10">
        <v>3.3E-3</v>
      </c>
      <c r="O116" s="10">
        <f t="shared" si="48"/>
        <v>924</v>
      </c>
      <c r="P116" s="10" t="s">
        <v>562</v>
      </c>
      <c r="Q116" s="10" t="s">
        <v>562</v>
      </c>
      <c r="R116" s="10" t="str">
        <f>IF(COUNTIF($J$2:J116,J116)=1,SUMIFS($O:$O,$J:$J,J116)+SUMIFS($P:$P,$J:$J,J116)+SUMIFS($Q:$Q,$J:$J,J116),"")</f>
        <v/>
      </c>
      <c r="S116" s="10" t="s">
        <v>562</v>
      </c>
      <c r="T116" s="11" t="str">
        <f>IFERROR(INDEX(AD:AD,MATCH(J116,J:J,0)),"")</f>
        <v>Ok</v>
      </c>
      <c r="U116" s="12">
        <v>45994</v>
      </c>
      <c r="V116" s="10">
        <v>-15.12</v>
      </c>
      <c r="W116" s="10" t="str">
        <f t="shared" si="49"/>
        <v>N/A</v>
      </c>
      <c r="X116" t="s">
        <v>47</v>
      </c>
      <c r="Y116" t="s">
        <v>24</v>
      </c>
      <c r="Z116">
        <v>100243</v>
      </c>
      <c r="AA116" t="s">
        <v>54</v>
      </c>
      <c r="AB116" t="s">
        <v>65</v>
      </c>
      <c r="AC116" s="9">
        <v>2</v>
      </c>
      <c r="AD116" s="9" t="str">
        <f t="shared" si="50"/>
        <v>N/A</v>
      </c>
      <c r="AE116" s="11" t="e">
        <f t="shared" si="51"/>
        <v>#VALUE!</v>
      </c>
    </row>
    <row r="117" spans="1:31" x14ac:dyDescent="0.3">
      <c r="A117">
        <v>42</v>
      </c>
      <c r="B117">
        <v>4713652</v>
      </c>
      <c r="C117" t="s">
        <v>42</v>
      </c>
      <c r="D117">
        <v>1588891</v>
      </c>
      <c r="E117" t="s">
        <v>43</v>
      </c>
      <c r="F117" t="s">
        <v>18</v>
      </c>
      <c r="G117" t="s">
        <v>167</v>
      </c>
      <c r="H117" t="s">
        <v>168</v>
      </c>
      <c r="I117" t="s">
        <v>338</v>
      </c>
      <c r="J117">
        <v>51147455550</v>
      </c>
      <c r="K117" t="s">
        <v>350</v>
      </c>
      <c r="L117" t="s">
        <v>407</v>
      </c>
      <c r="M117">
        <v>700000</v>
      </c>
      <c r="N117" s="10">
        <v>3.2499999999999999E-3</v>
      </c>
      <c r="O117" s="10">
        <f t="shared" si="48"/>
        <v>2275</v>
      </c>
      <c r="P117" s="10">
        <v>0</v>
      </c>
      <c r="Q117" s="10">
        <v>0</v>
      </c>
      <c r="R117" s="10">
        <f>IF(COUNTIF($J$2:J117,J117)=1,SUMIFS($O:$O,$J:$J,J117)+SUMIFS($P:$P,$J:$J,J117)+SUMIFS($Q:$Q,$J:$J,J117),"")</f>
        <v>2774.06</v>
      </c>
      <c r="S117" s="10">
        <v>2774.06</v>
      </c>
      <c r="T117" s="11" t="str">
        <f>IFERROR(INDEX(AD:AD,MATCH(J117,J:J,0)),"")</f>
        <v>Ok</v>
      </c>
      <c r="U117" s="12">
        <v>45994</v>
      </c>
      <c r="V117" s="10">
        <v>-29.18</v>
      </c>
      <c r="W117" s="10" t="str">
        <f t="shared" si="49"/>
        <v>Short Paid</v>
      </c>
      <c r="X117" t="s">
        <v>47</v>
      </c>
      <c r="Y117" t="s">
        <v>24</v>
      </c>
      <c r="Z117">
        <v>100283</v>
      </c>
      <c r="AA117" t="s">
        <v>48</v>
      </c>
      <c r="AB117" t="s">
        <v>65</v>
      </c>
      <c r="AC117" s="9">
        <v>2</v>
      </c>
      <c r="AD117" s="9" t="str">
        <f t="shared" si="50"/>
        <v>Ok</v>
      </c>
      <c r="AE117" s="11">
        <f t="shared" si="51"/>
        <v>0</v>
      </c>
    </row>
    <row r="118" spans="1:31" x14ac:dyDescent="0.3">
      <c r="A118">
        <v>42</v>
      </c>
      <c r="B118">
        <v>4713652</v>
      </c>
      <c r="C118" t="s">
        <v>42</v>
      </c>
      <c r="D118">
        <v>1588891</v>
      </c>
      <c r="E118" t="s">
        <v>43</v>
      </c>
      <c r="F118" t="s">
        <v>18</v>
      </c>
      <c r="G118" t="s">
        <v>167</v>
      </c>
      <c r="H118" t="s">
        <v>168</v>
      </c>
      <c r="I118" t="s">
        <v>364</v>
      </c>
      <c r="J118">
        <v>51147455550</v>
      </c>
      <c r="K118" t="s">
        <v>297</v>
      </c>
      <c r="L118" t="s">
        <v>519</v>
      </c>
      <c r="M118">
        <v>2000</v>
      </c>
      <c r="N118" s="10">
        <v>0.24953</v>
      </c>
      <c r="O118" s="10">
        <f t="shared" si="48"/>
        <v>499.06</v>
      </c>
      <c r="P118" s="10" t="s">
        <v>562</v>
      </c>
      <c r="Q118" s="10" t="s">
        <v>562</v>
      </c>
      <c r="R118" s="10" t="str">
        <f>IF(COUNTIF($J$2:J118,J118)=1,SUMIFS($O:$O,$J:$J,J118)+SUMIFS($P:$P,$J:$J,J118)+SUMIFS($Q:$Q,$J:$J,J118),"")</f>
        <v/>
      </c>
      <c r="S118" s="10" t="s">
        <v>562</v>
      </c>
      <c r="T118" s="11" t="str">
        <f>IFERROR(INDEX(AD:AD,MATCH(J118,J:J,0)),"")</f>
        <v>Ok</v>
      </c>
      <c r="U118" s="12">
        <v>45994</v>
      </c>
      <c r="V118" s="10">
        <v>-29.18</v>
      </c>
      <c r="W118" s="10" t="str">
        <f t="shared" si="49"/>
        <v>N/A</v>
      </c>
      <c r="X118" t="s">
        <v>47</v>
      </c>
      <c r="Y118" t="s">
        <v>24</v>
      </c>
      <c r="Z118">
        <v>100283</v>
      </c>
      <c r="AA118" t="s">
        <v>48</v>
      </c>
      <c r="AB118" t="s">
        <v>65</v>
      </c>
      <c r="AC118" s="9">
        <v>2</v>
      </c>
      <c r="AD118" s="9" t="str">
        <f t="shared" si="50"/>
        <v>N/A</v>
      </c>
      <c r="AE118" s="11" t="e">
        <f t="shared" si="51"/>
        <v>#VALUE!</v>
      </c>
    </row>
    <row r="119" spans="1:31" x14ac:dyDescent="0.3">
      <c r="A119">
        <v>42</v>
      </c>
      <c r="B119">
        <v>4714487</v>
      </c>
      <c r="C119" t="s">
        <v>42</v>
      </c>
      <c r="D119">
        <v>1588891</v>
      </c>
      <c r="E119" t="s">
        <v>43</v>
      </c>
      <c r="F119" t="s">
        <v>18</v>
      </c>
      <c r="G119" t="s">
        <v>173</v>
      </c>
      <c r="H119" t="s">
        <v>174</v>
      </c>
      <c r="I119" t="s">
        <v>388</v>
      </c>
      <c r="J119">
        <v>51147725367</v>
      </c>
      <c r="K119" t="s">
        <v>350</v>
      </c>
      <c r="L119" t="s">
        <v>520</v>
      </c>
      <c r="M119">
        <v>2100</v>
      </c>
      <c r="N119" s="10">
        <v>0.26124999999999998</v>
      </c>
      <c r="O119" s="10">
        <f t="shared" si="48"/>
        <v>548.625</v>
      </c>
      <c r="P119" s="10">
        <v>0</v>
      </c>
      <c r="Q119" s="10">
        <v>0</v>
      </c>
      <c r="R119" s="10">
        <f>IF(COUNTIF($J$2:J119,J119)=1,SUMIFS($O:$O,$J:$J,J119)+SUMIFS($P:$P,$J:$J,J119)+SUMIFS($Q:$Q,$J:$J,J119),"")</f>
        <v>1889.0249999999999</v>
      </c>
      <c r="S119" s="10">
        <v>2071.91</v>
      </c>
      <c r="T119" s="11" t="str">
        <f>IFERROR(INDEX(AD:AD,MATCH(J119,J:J,0)),"")</f>
        <v>Check</v>
      </c>
      <c r="U119" s="12">
        <v>45994</v>
      </c>
      <c r="V119" s="10">
        <v>-17.489999999999998</v>
      </c>
      <c r="W119" s="10" t="str">
        <f t="shared" si="49"/>
        <v>Short Paid</v>
      </c>
      <c r="X119" t="s">
        <v>47</v>
      </c>
      <c r="Y119" t="s">
        <v>24</v>
      </c>
      <c r="Z119">
        <v>100153</v>
      </c>
      <c r="AA119" t="s">
        <v>53</v>
      </c>
      <c r="AB119" t="s">
        <v>65</v>
      </c>
      <c r="AC119" s="9">
        <v>2</v>
      </c>
      <c r="AD119" s="9" t="str">
        <f t="shared" si="50"/>
        <v>Check</v>
      </c>
      <c r="AE119" s="11">
        <f t="shared" si="51"/>
        <v>-182.88499999999999</v>
      </c>
    </row>
    <row r="120" spans="1:31" x14ac:dyDescent="0.3">
      <c r="A120">
        <v>42</v>
      </c>
      <c r="B120">
        <v>4714487</v>
      </c>
      <c r="C120" t="s">
        <v>42</v>
      </c>
      <c r="D120">
        <v>1588891</v>
      </c>
      <c r="E120" t="s">
        <v>43</v>
      </c>
      <c r="F120" t="s">
        <v>18</v>
      </c>
      <c r="G120" t="s">
        <v>173</v>
      </c>
      <c r="H120" t="s">
        <v>174</v>
      </c>
      <c r="I120" t="s">
        <v>359</v>
      </c>
      <c r="J120">
        <v>51147725367</v>
      </c>
      <c r="K120" t="s">
        <v>319</v>
      </c>
      <c r="L120" t="s">
        <v>318</v>
      </c>
      <c r="M120">
        <v>12000</v>
      </c>
      <c r="N120" s="10">
        <v>0.11169999999999999</v>
      </c>
      <c r="O120" s="10">
        <f t="shared" si="48"/>
        <v>1340.3999999999999</v>
      </c>
      <c r="P120" s="10" t="s">
        <v>562</v>
      </c>
      <c r="Q120" s="10" t="s">
        <v>562</v>
      </c>
      <c r="R120" s="10" t="str">
        <f>IF(COUNTIF($J$2:J120,J120)=1,SUMIFS($O:$O,$J:$J,J120)+SUMIFS($P:$P,$J:$J,J120)+SUMIFS($Q:$Q,$J:$J,J120),"")</f>
        <v/>
      </c>
      <c r="S120" s="10" t="s">
        <v>562</v>
      </c>
      <c r="T120" s="11" t="str">
        <f>IFERROR(INDEX(AD:AD,MATCH(J120,J:J,0)),"")</f>
        <v>Check</v>
      </c>
      <c r="U120" s="12">
        <v>45994</v>
      </c>
      <c r="V120" s="10">
        <v>-17.489999999999998</v>
      </c>
      <c r="W120" s="10" t="str">
        <f t="shared" si="49"/>
        <v>N/A</v>
      </c>
      <c r="X120" t="s">
        <v>47</v>
      </c>
      <c r="Y120" t="s">
        <v>24</v>
      </c>
      <c r="Z120">
        <v>100153</v>
      </c>
      <c r="AA120" t="s">
        <v>53</v>
      </c>
      <c r="AB120" t="s">
        <v>65</v>
      </c>
      <c r="AC120" s="9">
        <v>2</v>
      </c>
      <c r="AD120" s="9" t="str">
        <f t="shared" si="50"/>
        <v>N/A</v>
      </c>
      <c r="AE120" s="11" t="e">
        <f t="shared" si="51"/>
        <v>#VALUE!</v>
      </c>
    </row>
    <row r="121" spans="1:31" x14ac:dyDescent="0.3">
      <c r="A121">
        <v>42</v>
      </c>
      <c r="B121">
        <v>4714209</v>
      </c>
      <c r="C121" t="s">
        <v>42</v>
      </c>
      <c r="D121">
        <v>1588891</v>
      </c>
      <c r="E121" t="s">
        <v>43</v>
      </c>
      <c r="F121" t="s">
        <v>18</v>
      </c>
      <c r="G121" t="s">
        <v>171</v>
      </c>
      <c r="H121" t="s">
        <v>172</v>
      </c>
      <c r="I121" t="s">
        <v>281</v>
      </c>
      <c r="J121">
        <v>51147819798</v>
      </c>
      <c r="K121" t="s">
        <v>319</v>
      </c>
      <c r="L121" t="s">
        <v>318</v>
      </c>
      <c r="M121">
        <v>10000</v>
      </c>
      <c r="N121" s="10">
        <v>0.11169999999999999</v>
      </c>
      <c r="O121" s="10">
        <f t="shared" si="48"/>
        <v>1117</v>
      </c>
      <c r="P121" s="10">
        <v>0</v>
      </c>
      <c r="Q121" s="10">
        <v>0</v>
      </c>
      <c r="R121" s="10">
        <f>IF(COUNTIF($J$2:J121,J121)=1,SUMIFS($O:$O,$J:$J,J121)+SUMIFS($P:$P,$J:$J,J121)+SUMIFS($Q:$Q,$J:$J,J121),"")</f>
        <v>5297</v>
      </c>
      <c r="S121" s="10">
        <v>5297</v>
      </c>
      <c r="T121" s="11" t="str">
        <f>IFERROR(INDEX(AD:AD,MATCH(J121,J:J,0)),"")</f>
        <v>Ok</v>
      </c>
      <c r="U121" s="12">
        <v>45994</v>
      </c>
      <c r="V121" s="10">
        <v>783.62</v>
      </c>
      <c r="W121" s="10" t="str">
        <f t="shared" si="49"/>
        <v>Short Paid</v>
      </c>
      <c r="X121" t="s">
        <v>47</v>
      </c>
      <c r="Y121" t="s">
        <v>24</v>
      </c>
      <c r="Z121">
        <v>100123</v>
      </c>
      <c r="AA121" t="s">
        <v>55</v>
      </c>
      <c r="AB121" t="s">
        <v>65</v>
      </c>
      <c r="AC121" s="9">
        <v>2</v>
      </c>
      <c r="AD121" s="9" t="str">
        <f t="shared" si="50"/>
        <v>Ok</v>
      </c>
      <c r="AE121" s="11">
        <f t="shared" si="51"/>
        <v>0</v>
      </c>
    </row>
    <row r="122" spans="1:31" x14ac:dyDescent="0.3">
      <c r="A122">
        <v>42</v>
      </c>
      <c r="B122">
        <v>4714209</v>
      </c>
      <c r="C122" t="s">
        <v>42</v>
      </c>
      <c r="D122">
        <v>1588891</v>
      </c>
      <c r="E122" t="s">
        <v>43</v>
      </c>
      <c r="F122" t="s">
        <v>18</v>
      </c>
      <c r="G122" t="s">
        <v>171</v>
      </c>
      <c r="H122" t="s">
        <v>172</v>
      </c>
      <c r="I122" t="s">
        <v>368</v>
      </c>
      <c r="J122">
        <v>51147819798</v>
      </c>
      <c r="K122" t="s">
        <v>271</v>
      </c>
      <c r="L122" t="s">
        <v>521</v>
      </c>
      <c r="M122">
        <v>2500</v>
      </c>
      <c r="N122" s="10">
        <v>1.6719999999999999</v>
      </c>
      <c r="O122" s="10">
        <f t="shared" si="48"/>
        <v>4180</v>
      </c>
      <c r="P122" s="10" t="s">
        <v>562</v>
      </c>
      <c r="Q122" s="10" t="s">
        <v>562</v>
      </c>
      <c r="R122" s="10" t="str">
        <f>IF(COUNTIF($J$2:J122,J122)=1,SUMIFS($O:$O,$J:$J,J122)+SUMIFS($P:$P,$J:$J,J122)+SUMIFS($Q:$Q,$J:$J,J122),"")</f>
        <v/>
      </c>
      <c r="S122" s="10" t="s">
        <v>562</v>
      </c>
      <c r="T122" s="11" t="str">
        <f>IFERROR(INDEX(AD:AD,MATCH(J122,J:J,0)),"")</f>
        <v>Ok</v>
      </c>
      <c r="U122" s="12">
        <v>45994</v>
      </c>
      <c r="V122" s="10">
        <v>783.62</v>
      </c>
      <c r="W122" s="10" t="str">
        <f t="shared" si="49"/>
        <v>N/A</v>
      </c>
      <c r="X122" t="s">
        <v>47</v>
      </c>
      <c r="Y122" t="s">
        <v>24</v>
      </c>
      <c r="Z122">
        <v>100123</v>
      </c>
      <c r="AA122" t="s">
        <v>55</v>
      </c>
      <c r="AB122" t="s">
        <v>65</v>
      </c>
      <c r="AC122" s="9">
        <v>2</v>
      </c>
      <c r="AD122" s="9" t="str">
        <f t="shared" si="50"/>
        <v>N/A</v>
      </c>
      <c r="AE122" s="11" t="e">
        <f t="shared" si="51"/>
        <v>#VALUE!</v>
      </c>
    </row>
    <row r="123" spans="1:31" x14ac:dyDescent="0.3">
      <c r="A123">
        <v>42</v>
      </c>
      <c r="B123">
        <v>4712261</v>
      </c>
      <c r="C123" t="s">
        <v>42</v>
      </c>
      <c r="D123">
        <v>1588891</v>
      </c>
      <c r="E123" t="s">
        <v>43</v>
      </c>
      <c r="F123" t="s">
        <v>18</v>
      </c>
      <c r="G123" t="s">
        <v>157</v>
      </c>
      <c r="H123" t="s">
        <v>158</v>
      </c>
      <c r="I123" t="s">
        <v>381</v>
      </c>
      <c r="J123">
        <v>51147992205</v>
      </c>
      <c r="K123" t="s">
        <v>358</v>
      </c>
      <c r="L123" t="s">
        <v>509</v>
      </c>
      <c r="M123">
        <v>151</v>
      </c>
      <c r="N123" s="10">
        <v>0.34974</v>
      </c>
      <c r="O123" s="10">
        <f t="shared" si="48"/>
        <v>52.810740000000003</v>
      </c>
      <c r="P123" s="10">
        <v>0</v>
      </c>
      <c r="Q123" s="10">
        <v>0</v>
      </c>
      <c r="R123" s="10">
        <f>IF(COUNTIF($J$2:J123,J123)=1,SUMIFS($O:$O,$J:$J,J123)+SUMIFS($P:$P,$J:$J,J123)+SUMIFS($Q:$Q,$J:$J,J123),"")</f>
        <v>799.51074000000006</v>
      </c>
      <c r="S123" s="10">
        <v>799.51</v>
      </c>
      <c r="T123" s="11" t="str">
        <f>IFERROR(INDEX(AD:AD,MATCH(J123,J:J,0)),"")</f>
        <v>Check</v>
      </c>
      <c r="U123" s="12">
        <v>45992</v>
      </c>
      <c r="V123" s="10">
        <v>-12.12</v>
      </c>
      <c r="W123" s="10" t="str">
        <f t="shared" si="49"/>
        <v>Short Paid</v>
      </c>
      <c r="X123" t="s">
        <v>47</v>
      </c>
      <c r="Y123" t="s">
        <v>24</v>
      </c>
      <c r="Z123">
        <v>100193</v>
      </c>
      <c r="AA123" t="s">
        <v>50</v>
      </c>
      <c r="AB123" t="s">
        <v>65</v>
      </c>
      <c r="AC123" s="9">
        <v>2</v>
      </c>
      <c r="AD123" s="9" t="str">
        <f t="shared" si="50"/>
        <v>Check</v>
      </c>
      <c r="AE123" s="11">
        <f t="shared" si="51"/>
        <v>7.4000000006435585E-4</v>
      </c>
    </row>
    <row r="124" spans="1:31" x14ac:dyDescent="0.3">
      <c r="A124">
        <v>42</v>
      </c>
      <c r="B124">
        <v>4712261</v>
      </c>
      <c r="C124" t="s">
        <v>42</v>
      </c>
      <c r="D124">
        <v>1588891</v>
      </c>
      <c r="E124" t="s">
        <v>43</v>
      </c>
      <c r="F124" t="s">
        <v>18</v>
      </c>
      <c r="G124" t="s">
        <v>157</v>
      </c>
      <c r="H124" t="s">
        <v>158</v>
      </c>
      <c r="I124" t="s">
        <v>331</v>
      </c>
      <c r="J124">
        <v>51147992205</v>
      </c>
      <c r="K124" t="s">
        <v>293</v>
      </c>
      <c r="L124" t="s">
        <v>389</v>
      </c>
      <c r="M124">
        <v>3000</v>
      </c>
      <c r="N124" s="10">
        <v>0.24890000000000001</v>
      </c>
      <c r="O124" s="10">
        <f t="shared" si="48"/>
        <v>746.7</v>
      </c>
      <c r="P124" s="10" t="s">
        <v>562</v>
      </c>
      <c r="Q124" s="10" t="s">
        <v>562</v>
      </c>
      <c r="R124" s="10" t="str">
        <f>IF(COUNTIF($J$2:J124,J124)=1,SUMIFS($O:$O,$J:$J,J124)+SUMIFS($P:$P,$J:$J,J124)+SUMIFS($Q:$Q,$J:$J,J124),"")</f>
        <v/>
      </c>
      <c r="S124" s="10" t="s">
        <v>562</v>
      </c>
      <c r="T124" s="11" t="str">
        <f>IFERROR(INDEX(AD:AD,MATCH(J124,J:J,0)),"")</f>
        <v>Check</v>
      </c>
      <c r="U124" s="12">
        <v>45992</v>
      </c>
      <c r="V124" s="10">
        <v>-12.12</v>
      </c>
      <c r="W124" s="10" t="str">
        <f t="shared" si="49"/>
        <v>N/A</v>
      </c>
      <c r="X124" t="s">
        <v>47</v>
      </c>
      <c r="Y124" t="s">
        <v>24</v>
      </c>
      <c r="Z124">
        <v>100193</v>
      </c>
      <c r="AA124" t="s">
        <v>50</v>
      </c>
      <c r="AB124" t="s">
        <v>65</v>
      </c>
      <c r="AC124" s="9">
        <v>2</v>
      </c>
      <c r="AD124" s="9" t="str">
        <f t="shared" si="50"/>
        <v>N/A</v>
      </c>
      <c r="AE124" s="11" t="e">
        <f t="shared" si="51"/>
        <v>#VALUE!</v>
      </c>
    </row>
    <row r="125" spans="1:31" x14ac:dyDescent="0.3">
      <c r="A125">
        <v>42</v>
      </c>
      <c r="B125">
        <v>4712539</v>
      </c>
      <c r="C125" t="s">
        <v>42</v>
      </c>
      <c r="D125">
        <v>1588891</v>
      </c>
      <c r="E125" t="s">
        <v>43</v>
      </c>
      <c r="F125" t="s">
        <v>18</v>
      </c>
      <c r="G125" t="s">
        <v>159</v>
      </c>
      <c r="H125" t="s">
        <v>160</v>
      </c>
      <c r="I125" t="s">
        <v>330</v>
      </c>
      <c r="J125">
        <v>51148019434</v>
      </c>
      <c r="K125" t="s">
        <v>345</v>
      </c>
      <c r="L125" t="s">
        <v>380</v>
      </c>
      <c r="M125">
        <v>75000</v>
      </c>
      <c r="N125" s="10">
        <v>1.619E-2</v>
      </c>
      <c r="O125" s="10">
        <f t="shared" si="48"/>
        <v>1214.25</v>
      </c>
      <c r="P125" s="10">
        <v>0</v>
      </c>
      <c r="Q125" s="10">
        <v>0</v>
      </c>
      <c r="R125" s="10">
        <f>IF(COUNTIF($J$2:J125,J125)=1,SUMIFS($O:$O,$J:$J,J125)+SUMIFS($P:$P,$J:$J,J125)+SUMIFS($Q:$Q,$J:$J,J125),"")</f>
        <v>1713.31</v>
      </c>
      <c r="S125" s="10">
        <v>1713.31</v>
      </c>
      <c r="T125" s="11" t="str">
        <f>IFERROR(INDEX(AD:AD,MATCH(J125,J:J,0)),"")</f>
        <v>Ok</v>
      </c>
      <c r="U125" s="12">
        <v>45987</v>
      </c>
      <c r="V125" s="10">
        <v>-29.18</v>
      </c>
      <c r="W125" s="10" t="str">
        <f t="shared" si="49"/>
        <v>Short Paid</v>
      </c>
      <c r="X125" t="s">
        <v>47</v>
      </c>
      <c r="Y125" t="s">
        <v>24</v>
      </c>
      <c r="Z125">
        <v>100203</v>
      </c>
      <c r="AA125" t="s">
        <v>49</v>
      </c>
      <c r="AB125" t="s">
        <v>65</v>
      </c>
      <c r="AC125" s="9">
        <v>2</v>
      </c>
      <c r="AD125" s="9" t="str">
        <f t="shared" si="50"/>
        <v>Ok</v>
      </c>
      <c r="AE125" s="11">
        <f t="shared" si="51"/>
        <v>0</v>
      </c>
    </row>
    <row r="126" spans="1:31" x14ac:dyDescent="0.3">
      <c r="A126">
        <v>42</v>
      </c>
      <c r="B126">
        <v>4712539</v>
      </c>
      <c r="C126" t="s">
        <v>42</v>
      </c>
      <c r="D126">
        <v>1588891</v>
      </c>
      <c r="E126" t="s">
        <v>43</v>
      </c>
      <c r="F126" t="s">
        <v>18</v>
      </c>
      <c r="G126" t="s">
        <v>159</v>
      </c>
      <c r="H126" t="s">
        <v>160</v>
      </c>
      <c r="I126" t="s">
        <v>279</v>
      </c>
      <c r="J126">
        <v>51148019434</v>
      </c>
      <c r="K126" t="s">
        <v>297</v>
      </c>
      <c r="L126" t="s">
        <v>519</v>
      </c>
      <c r="M126">
        <v>2000</v>
      </c>
      <c r="N126" s="10">
        <v>0.24953</v>
      </c>
      <c r="O126" s="10">
        <f t="shared" si="48"/>
        <v>499.06</v>
      </c>
      <c r="P126" s="10" t="s">
        <v>562</v>
      </c>
      <c r="Q126" s="10" t="s">
        <v>562</v>
      </c>
      <c r="R126" s="10" t="str">
        <f>IF(COUNTIF($J$2:J126,J126)=1,SUMIFS($O:$O,$J:$J,J126)+SUMIFS($P:$P,$J:$J,J126)+SUMIFS($Q:$Q,$J:$J,J126),"")</f>
        <v/>
      </c>
      <c r="S126" s="10" t="s">
        <v>562</v>
      </c>
      <c r="T126" s="11" t="str">
        <f>IFERROR(INDEX(AD:AD,MATCH(J126,J:J,0)),"")</f>
        <v>Ok</v>
      </c>
      <c r="U126" s="12">
        <v>45987</v>
      </c>
      <c r="V126" s="10">
        <v>-29.18</v>
      </c>
      <c r="W126" s="10" t="str">
        <f t="shared" si="49"/>
        <v>N/A</v>
      </c>
      <c r="X126" t="s">
        <v>47</v>
      </c>
      <c r="Y126" t="s">
        <v>24</v>
      </c>
      <c r="Z126">
        <v>100203</v>
      </c>
      <c r="AA126" t="s">
        <v>49</v>
      </c>
      <c r="AB126" t="s">
        <v>65</v>
      </c>
      <c r="AC126" s="9">
        <v>2</v>
      </c>
      <c r="AD126" s="9" t="str">
        <f t="shared" si="50"/>
        <v>N/A</v>
      </c>
      <c r="AE126" s="11" t="e">
        <f t="shared" si="51"/>
        <v>#VALUE!</v>
      </c>
    </row>
    <row r="127" spans="1:31" x14ac:dyDescent="0.3">
      <c r="A127">
        <v>42</v>
      </c>
      <c r="B127">
        <v>4711983</v>
      </c>
      <c r="C127" t="s">
        <v>42</v>
      </c>
      <c r="D127">
        <v>1588891</v>
      </c>
      <c r="E127" t="s">
        <v>43</v>
      </c>
      <c r="F127" t="s">
        <v>18</v>
      </c>
      <c r="G127" t="s">
        <v>155</v>
      </c>
      <c r="H127" t="s">
        <v>156</v>
      </c>
      <c r="I127" t="s">
        <v>302</v>
      </c>
      <c r="J127">
        <v>51148019476</v>
      </c>
      <c r="K127" t="s">
        <v>261</v>
      </c>
      <c r="L127" t="s">
        <v>511</v>
      </c>
      <c r="M127">
        <v>16000</v>
      </c>
      <c r="N127" s="10">
        <v>1.2540000000000001E-2</v>
      </c>
      <c r="O127" s="10">
        <f t="shared" si="48"/>
        <v>200.64000000000001</v>
      </c>
      <c r="P127" s="10">
        <v>0</v>
      </c>
      <c r="Q127" s="10">
        <v>0</v>
      </c>
      <c r="R127" s="10">
        <f>IF(COUNTIF($J$2:J127,J127)=1,SUMIFS($O:$O,$J:$J,J127)+SUMIFS($P:$P,$J:$J,J127)+SUMIFS($Q:$Q,$J:$J,J127),"")</f>
        <v>698.44</v>
      </c>
      <c r="S127" s="10">
        <v>698.44</v>
      </c>
      <c r="T127" s="11" t="str">
        <f>IFERROR(INDEX(AD:AD,MATCH(J127,J:J,0)),"")</f>
        <v>Ok</v>
      </c>
      <c r="U127" s="12">
        <v>45986</v>
      </c>
      <c r="V127" s="10">
        <v>-684.16</v>
      </c>
      <c r="W127" s="10" t="str">
        <f t="shared" si="49"/>
        <v>Short Paid</v>
      </c>
      <c r="X127" t="s">
        <v>47</v>
      </c>
      <c r="Y127" t="s">
        <v>24</v>
      </c>
      <c r="Z127">
        <v>100163</v>
      </c>
      <c r="AA127" t="s">
        <v>51</v>
      </c>
      <c r="AB127" t="s">
        <v>65</v>
      </c>
      <c r="AC127" s="9">
        <v>2</v>
      </c>
      <c r="AD127" s="9" t="str">
        <f t="shared" si="50"/>
        <v>Ok</v>
      </c>
      <c r="AE127" s="11">
        <f t="shared" si="51"/>
        <v>0</v>
      </c>
    </row>
    <row r="128" spans="1:31" x14ac:dyDescent="0.3">
      <c r="A128">
        <v>42</v>
      </c>
      <c r="B128">
        <v>4711983</v>
      </c>
      <c r="C128" t="s">
        <v>42</v>
      </c>
      <c r="D128">
        <v>1588891</v>
      </c>
      <c r="E128" t="s">
        <v>43</v>
      </c>
      <c r="F128" t="s">
        <v>18</v>
      </c>
      <c r="G128" t="s">
        <v>155</v>
      </c>
      <c r="H128" t="s">
        <v>156</v>
      </c>
      <c r="I128" t="s">
        <v>287</v>
      </c>
      <c r="J128">
        <v>51148019476</v>
      </c>
      <c r="K128" t="s">
        <v>293</v>
      </c>
      <c r="L128" t="s">
        <v>389</v>
      </c>
      <c r="M128">
        <v>2000</v>
      </c>
      <c r="N128" s="10">
        <v>0.24890000000000001</v>
      </c>
      <c r="O128" s="10">
        <f t="shared" si="48"/>
        <v>497.8</v>
      </c>
      <c r="P128" s="10" t="s">
        <v>562</v>
      </c>
      <c r="Q128" s="10" t="s">
        <v>562</v>
      </c>
      <c r="R128" s="10" t="str">
        <f>IF(COUNTIF($J$2:J128,J128)=1,SUMIFS($O:$O,$J:$J,J128)+SUMIFS($P:$P,$J:$J,J128)+SUMIFS($Q:$Q,$J:$J,J128),"")</f>
        <v/>
      </c>
      <c r="S128" s="10" t="s">
        <v>562</v>
      </c>
      <c r="T128" s="11" t="str">
        <f>IFERROR(INDEX(AD:AD,MATCH(J128,J:J,0)),"")</f>
        <v>Ok</v>
      </c>
      <c r="U128" s="12">
        <v>45986</v>
      </c>
      <c r="V128" s="10">
        <v>-684.16</v>
      </c>
      <c r="W128" s="10" t="str">
        <f t="shared" si="49"/>
        <v>N/A</v>
      </c>
      <c r="X128" t="s">
        <v>47</v>
      </c>
      <c r="Y128" t="s">
        <v>24</v>
      </c>
      <c r="Z128">
        <v>100163</v>
      </c>
      <c r="AA128" t="s">
        <v>51</v>
      </c>
      <c r="AB128" t="s">
        <v>65</v>
      </c>
      <c r="AC128" s="9">
        <v>2</v>
      </c>
      <c r="AD128" s="9" t="str">
        <f t="shared" si="50"/>
        <v>N/A</v>
      </c>
      <c r="AE128" s="11" t="e">
        <f t="shared" si="51"/>
        <v>#VALUE!</v>
      </c>
    </row>
    <row r="129" spans="1:31" x14ac:dyDescent="0.3">
      <c r="A129">
        <v>42</v>
      </c>
      <c r="B129">
        <v>4712817</v>
      </c>
      <c r="C129" t="s">
        <v>42</v>
      </c>
      <c r="D129">
        <v>1588891</v>
      </c>
      <c r="E129" t="s">
        <v>43</v>
      </c>
      <c r="F129" t="s">
        <v>18</v>
      </c>
      <c r="G129" t="s">
        <v>161</v>
      </c>
      <c r="H129" t="s">
        <v>162</v>
      </c>
      <c r="I129" t="s">
        <v>289</v>
      </c>
      <c r="J129">
        <v>51148051813</v>
      </c>
      <c r="K129" t="s">
        <v>358</v>
      </c>
      <c r="L129" t="s">
        <v>522</v>
      </c>
      <c r="M129">
        <v>325</v>
      </c>
      <c r="N129" s="10">
        <v>0.19894999999999999</v>
      </c>
      <c r="O129" s="10">
        <f t="shared" si="48"/>
        <v>64.658749999999998</v>
      </c>
      <c r="P129" s="10">
        <v>0</v>
      </c>
      <c r="Q129" s="10">
        <v>0</v>
      </c>
      <c r="R129" s="10">
        <f>IF(COUNTIF($J$2:J129,J129)=1,SUMIFS($O:$O,$J:$J,J129)+SUMIFS($P:$P,$J:$J,J129)+SUMIFS($Q:$Q,$J:$J,J129),"")</f>
        <v>8533.6587500000005</v>
      </c>
      <c r="S129" s="10">
        <v>8533.66</v>
      </c>
      <c r="T129" s="11" t="str">
        <f>IFERROR(INDEX(AD:AD,MATCH(J129,J:J,0)),"")</f>
        <v>Check</v>
      </c>
      <c r="U129" s="12">
        <v>45993</v>
      </c>
      <c r="V129" s="10">
        <v>-27.04</v>
      </c>
      <c r="W129" s="10" t="str">
        <f t="shared" si="49"/>
        <v>Short Paid</v>
      </c>
      <c r="X129" t="s">
        <v>47</v>
      </c>
      <c r="Y129" t="s">
        <v>24</v>
      </c>
      <c r="Z129">
        <v>100233</v>
      </c>
      <c r="AA129" t="s">
        <v>56</v>
      </c>
      <c r="AB129" t="s">
        <v>65</v>
      </c>
      <c r="AC129" s="9">
        <v>2</v>
      </c>
      <c r="AD129" s="9" t="str">
        <f t="shared" si="50"/>
        <v>Check</v>
      </c>
      <c r="AE129" s="11">
        <f t="shared" si="51"/>
        <v>-1.2499999993451638E-3</v>
      </c>
    </row>
    <row r="130" spans="1:31" x14ac:dyDescent="0.3">
      <c r="A130">
        <v>42</v>
      </c>
      <c r="B130">
        <v>4712817</v>
      </c>
      <c r="C130" t="s">
        <v>42</v>
      </c>
      <c r="D130">
        <v>1588891</v>
      </c>
      <c r="E130" t="s">
        <v>43</v>
      </c>
      <c r="F130" t="s">
        <v>18</v>
      </c>
      <c r="G130" t="s">
        <v>161</v>
      </c>
      <c r="H130" t="s">
        <v>162</v>
      </c>
      <c r="I130" t="s">
        <v>376</v>
      </c>
      <c r="J130">
        <v>51148051813</v>
      </c>
      <c r="K130" t="s">
        <v>257</v>
      </c>
      <c r="L130" t="s">
        <v>516</v>
      </c>
      <c r="M130">
        <v>90000</v>
      </c>
      <c r="N130" s="10">
        <v>9.4100000000000003E-2</v>
      </c>
      <c r="O130" s="10">
        <f t="shared" si="48"/>
        <v>8469</v>
      </c>
      <c r="P130" s="10" t="s">
        <v>562</v>
      </c>
      <c r="Q130" s="10" t="s">
        <v>562</v>
      </c>
      <c r="R130" s="10" t="str">
        <f>IF(COUNTIF($J$2:J130,J130)=1,SUMIFS($O:$O,$J:$J,J130)+SUMIFS($P:$P,$J:$J,J130)+SUMIFS($Q:$Q,$J:$J,J130),"")</f>
        <v/>
      </c>
      <c r="S130" s="10" t="s">
        <v>562</v>
      </c>
      <c r="T130" s="11" t="str">
        <f>IFERROR(INDEX(AD:AD,MATCH(J130,J:J,0)),"")</f>
        <v>Check</v>
      </c>
      <c r="U130" s="12">
        <v>45993</v>
      </c>
      <c r="V130" s="10">
        <v>-27.04</v>
      </c>
      <c r="W130" s="10" t="str">
        <f t="shared" si="49"/>
        <v>N/A</v>
      </c>
      <c r="X130" t="s">
        <v>47</v>
      </c>
      <c r="Y130" t="s">
        <v>24</v>
      </c>
      <c r="Z130">
        <v>100233</v>
      </c>
      <c r="AA130" t="s">
        <v>56</v>
      </c>
      <c r="AB130" t="s">
        <v>65</v>
      </c>
      <c r="AC130" s="9">
        <v>2</v>
      </c>
      <c r="AD130" s="9" t="str">
        <f t="shared" si="50"/>
        <v>N/A</v>
      </c>
      <c r="AE130" s="11" t="e">
        <f t="shared" si="51"/>
        <v>#VALUE!</v>
      </c>
    </row>
    <row r="131" spans="1:31" x14ac:dyDescent="0.3">
      <c r="A131">
        <v>42</v>
      </c>
      <c r="B131">
        <v>4715044</v>
      </c>
      <c r="C131" t="s">
        <v>42</v>
      </c>
      <c r="D131">
        <v>1588891</v>
      </c>
      <c r="E131" t="s">
        <v>43</v>
      </c>
      <c r="F131" t="s">
        <v>18</v>
      </c>
      <c r="G131" t="s">
        <v>177</v>
      </c>
      <c r="H131" t="s">
        <v>178</v>
      </c>
      <c r="I131" t="s">
        <v>333</v>
      </c>
      <c r="J131">
        <v>51148058545</v>
      </c>
      <c r="K131" t="s">
        <v>350</v>
      </c>
      <c r="L131" t="s">
        <v>523</v>
      </c>
      <c r="M131">
        <v>44000</v>
      </c>
      <c r="N131" s="10">
        <v>9.6100000000000005E-3</v>
      </c>
      <c r="O131" s="10">
        <f t="shared" si="48"/>
        <v>422.84000000000003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1567.7599999999998</v>
      </c>
      <c r="S131" s="10">
        <v>1567.76</v>
      </c>
      <c r="T131" s="11" t="str">
        <f>IFERROR(INDEX(AD:AD,MATCH(J131,J:J,0)),"")</f>
        <v>Ok</v>
      </c>
      <c r="U131" s="12">
        <v>45994</v>
      </c>
      <c r="V131" s="10">
        <v>-361.68</v>
      </c>
      <c r="W131" s="10" t="str">
        <f t="shared" si="49"/>
        <v>Short Paid</v>
      </c>
      <c r="X131" t="s">
        <v>47</v>
      </c>
      <c r="Y131" t="s">
        <v>24</v>
      </c>
      <c r="Z131">
        <v>100193</v>
      </c>
      <c r="AA131" t="s">
        <v>50</v>
      </c>
      <c r="AB131" t="s">
        <v>65</v>
      </c>
      <c r="AC131" s="9">
        <v>2</v>
      </c>
      <c r="AD131" s="9" t="str">
        <f t="shared" si="50"/>
        <v>Ok</v>
      </c>
      <c r="AE131" s="11">
        <f t="shared" si="51"/>
        <v>0</v>
      </c>
    </row>
    <row r="132" spans="1:31" x14ac:dyDescent="0.3">
      <c r="A132">
        <v>42</v>
      </c>
      <c r="B132">
        <v>4715044</v>
      </c>
      <c r="C132" t="s">
        <v>42</v>
      </c>
      <c r="D132">
        <v>1588891</v>
      </c>
      <c r="E132" t="s">
        <v>43</v>
      </c>
      <c r="F132" t="s">
        <v>18</v>
      </c>
      <c r="G132" t="s">
        <v>177</v>
      </c>
      <c r="H132" t="s">
        <v>178</v>
      </c>
      <c r="I132" t="s">
        <v>321</v>
      </c>
      <c r="J132">
        <v>51148058545</v>
      </c>
      <c r="K132" t="s">
        <v>396</v>
      </c>
      <c r="L132" t="s">
        <v>395</v>
      </c>
      <c r="M132">
        <v>12000</v>
      </c>
      <c r="N132" s="10">
        <v>9.5409999999999995E-2</v>
      </c>
      <c r="O132" s="10">
        <f t="shared" ref="O132:O134" si="52">M132*N132</f>
        <v>1144.9199999999998</v>
      </c>
      <c r="P132" s="10" t="s">
        <v>562</v>
      </c>
      <c r="Q132" s="10" t="s">
        <v>562</v>
      </c>
      <c r="R132" s="10" t="str">
        <f>IF(COUNTIF($J$2:J132,J132)=1,SUMIFS($O:$O,$J:$J,J132)+SUMIFS($P:$P,$J:$J,J132)+SUMIFS($Q:$Q,$J:$J,J132),"")</f>
        <v/>
      </c>
      <c r="S132" s="10" t="s">
        <v>562</v>
      </c>
      <c r="T132" s="11" t="str">
        <f>IFERROR(INDEX(AD:AD,MATCH(J132,J:J,0)),"")</f>
        <v>Ok</v>
      </c>
      <c r="U132" s="12">
        <v>45994</v>
      </c>
      <c r="V132" s="10">
        <v>-361.68</v>
      </c>
      <c r="W132" s="10" t="str">
        <f t="shared" ref="W132:W134" si="53">IF(OR(S132="",V132=""),"N/A",IF(S132&lt;&gt;V132,"Short Paid","Not Paid"))</f>
        <v>N/A</v>
      </c>
      <c r="X132" t="s">
        <v>47</v>
      </c>
      <c r="Y132" t="s">
        <v>24</v>
      </c>
      <c r="Z132">
        <v>100193</v>
      </c>
      <c r="AA132" t="s">
        <v>50</v>
      </c>
      <c r="AB132" t="s">
        <v>65</v>
      </c>
      <c r="AC132" s="9">
        <v>2</v>
      </c>
      <c r="AD132" s="9" t="str">
        <f t="shared" ref="AD132:AD134" si="54">IF(AND(R132="",S132=""),"N/A",IF(R132=S132,"Ok","Check"))</f>
        <v>N/A</v>
      </c>
      <c r="AE132" s="11" t="e">
        <f t="shared" si="51"/>
        <v>#VALUE!</v>
      </c>
    </row>
    <row r="133" spans="1:31" x14ac:dyDescent="0.3">
      <c r="A133">
        <v>42</v>
      </c>
      <c r="B133">
        <v>4714765</v>
      </c>
      <c r="C133" t="s">
        <v>42</v>
      </c>
      <c r="D133">
        <v>1588891</v>
      </c>
      <c r="E133" t="s">
        <v>43</v>
      </c>
      <c r="F133" t="s">
        <v>18</v>
      </c>
      <c r="G133" t="s">
        <v>175</v>
      </c>
      <c r="H133" t="s">
        <v>176</v>
      </c>
      <c r="I133" t="s">
        <v>429</v>
      </c>
      <c r="J133">
        <v>51148607916</v>
      </c>
      <c r="K133" t="s">
        <v>286</v>
      </c>
      <c r="L133" t="s">
        <v>363</v>
      </c>
      <c r="M133">
        <v>16000</v>
      </c>
      <c r="N133" s="10">
        <v>1.8200000000000001E-2</v>
      </c>
      <c r="O133" s="10">
        <f t="shared" si="52"/>
        <v>291.2</v>
      </c>
      <c r="P133" s="10">
        <v>0</v>
      </c>
      <c r="Q133" s="10">
        <v>0</v>
      </c>
      <c r="R133" s="10">
        <f>IF(COUNTIF($J$2:J133,J133)=1,SUMIFS($O:$O,$J:$J,J133)+SUMIFS($P:$P,$J:$J,J133)+SUMIFS($Q:$Q,$J:$J,J133),"")</f>
        <v>716</v>
      </c>
      <c r="S133" s="10">
        <v>716</v>
      </c>
      <c r="T133" s="11" t="str">
        <f>IFERROR(INDEX(AD:AD,MATCH(J133,J:J,0)),"")</f>
        <v>Ok</v>
      </c>
      <c r="U133" s="12">
        <v>45994</v>
      </c>
      <c r="V133" s="10">
        <v>-20.16</v>
      </c>
      <c r="W133" s="10" t="str">
        <f t="shared" si="53"/>
        <v>Short Paid</v>
      </c>
      <c r="X133" t="s">
        <v>47</v>
      </c>
      <c r="Y133" t="s">
        <v>24</v>
      </c>
      <c r="Z133">
        <v>100163</v>
      </c>
      <c r="AA133" t="s">
        <v>51</v>
      </c>
      <c r="AB133" t="s">
        <v>65</v>
      </c>
      <c r="AC133" s="9">
        <v>2</v>
      </c>
      <c r="AD133" s="9" t="str">
        <f t="shared" si="54"/>
        <v>Ok</v>
      </c>
      <c r="AE133" s="11">
        <f t="shared" ref="AE133:AE134" si="55">R133-S133</f>
        <v>0</v>
      </c>
    </row>
    <row r="134" spans="1:31" x14ac:dyDescent="0.3">
      <c r="A134">
        <v>42</v>
      </c>
      <c r="B134">
        <v>4714765</v>
      </c>
      <c r="C134" t="s">
        <v>42</v>
      </c>
      <c r="D134">
        <v>1588891</v>
      </c>
      <c r="E134" t="s">
        <v>43</v>
      </c>
      <c r="F134" t="s">
        <v>18</v>
      </c>
      <c r="G134" t="s">
        <v>175</v>
      </c>
      <c r="H134" t="s">
        <v>176</v>
      </c>
      <c r="I134" t="s">
        <v>315</v>
      </c>
      <c r="J134">
        <v>51148607916</v>
      </c>
      <c r="K134" t="s">
        <v>419</v>
      </c>
      <c r="L134" t="s">
        <v>524</v>
      </c>
      <c r="M134">
        <v>2000</v>
      </c>
      <c r="N134" s="10">
        <v>0.21240000000000001</v>
      </c>
      <c r="O134" s="10">
        <f t="shared" si="52"/>
        <v>424.8</v>
      </c>
      <c r="P134" s="10" t="s">
        <v>562</v>
      </c>
      <c r="Q134" s="10" t="s">
        <v>562</v>
      </c>
      <c r="R134" s="10" t="str">
        <f>IF(COUNTIF($J$2:J134,J134)=1,SUMIFS($O:$O,$J:$J,J134)+SUMIFS($P:$P,$J:$J,J134)+SUMIFS($Q:$Q,$J:$J,J134),"")</f>
        <v/>
      </c>
      <c r="S134" s="10" t="s">
        <v>562</v>
      </c>
      <c r="T134" s="11" t="str">
        <f>IFERROR(INDEX(AD:AD,MATCH(J134,J:J,0)),"")</f>
        <v>Ok</v>
      </c>
      <c r="U134" s="12">
        <v>45994</v>
      </c>
      <c r="V134" s="10">
        <v>-20.16</v>
      </c>
      <c r="W134" s="10" t="str">
        <f t="shared" si="53"/>
        <v>N/A</v>
      </c>
      <c r="X134" t="s">
        <v>47</v>
      </c>
      <c r="Y134" t="s">
        <v>24</v>
      </c>
      <c r="Z134">
        <v>100163</v>
      </c>
      <c r="AA134" t="s">
        <v>51</v>
      </c>
      <c r="AB134" t="s">
        <v>65</v>
      </c>
      <c r="AC134" s="9">
        <v>2</v>
      </c>
      <c r="AD134" s="9" t="str">
        <f t="shared" si="54"/>
        <v>N/A</v>
      </c>
      <c r="AE134" s="11" t="e">
        <f t="shared" si="55"/>
        <v>#VALUE!</v>
      </c>
    </row>
    <row r="135" spans="1:31" x14ac:dyDescent="0.3">
      <c r="A135">
        <v>42</v>
      </c>
      <c r="B135">
        <v>4713374</v>
      </c>
      <c r="C135" t="s">
        <v>42</v>
      </c>
      <c r="D135">
        <v>1588891</v>
      </c>
      <c r="E135" t="s">
        <v>43</v>
      </c>
      <c r="F135" t="s">
        <v>18</v>
      </c>
      <c r="G135" t="s">
        <v>165</v>
      </c>
      <c r="H135" t="s">
        <v>166</v>
      </c>
      <c r="I135" t="s">
        <v>289</v>
      </c>
      <c r="J135">
        <v>51149849671</v>
      </c>
      <c r="K135" t="s">
        <v>286</v>
      </c>
      <c r="L135" t="s">
        <v>525</v>
      </c>
      <c r="M135">
        <v>6000</v>
      </c>
      <c r="N135" s="10">
        <v>2.3820000000000001E-2</v>
      </c>
      <c r="O135" s="10">
        <f t="shared" ref="O135:O138" si="56">M135*N135</f>
        <v>142.92000000000002</v>
      </c>
      <c r="P135" s="10">
        <v>0</v>
      </c>
      <c r="Q135" s="10">
        <v>0</v>
      </c>
      <c r="R135" s="10">
        <f>IF(COUNTIF($J$2:J135,J135)=1,SUMIFS($O:$O,$J:$J,J135)+SUMIFS($P:$P,$J:$J,J135)+SUMIFS($Q:$Q,$J:$J,J135),"")</f>
        <v>8611.92</v>
      </c>
      <c r="S135" s="10">
        <v>8611.92</v>
      </c>
      <c r="T135" s="11" t="str">
        <f>IFERROR(INDEX(AD:AD,MATCH(J135,J:J,0)),"")</f>
        <v>Ok</v>
      </c>
      <c r="U135" s="12">
        <v>45988</v>
      </c>
      <c r="V135" s="10">
        <v>-12.54</v>
      </c>
      <c r="W135" s="10" t="str">
        <f t="shared" ref="W135:W138" si="57">IF(OR(S135="",V135=""),"N/A",IF(S135&lt;&gt;V135,"Short Paid","Not Paid"))</f>
        <v>Short Paid</v>
      </c>
      <c r="X135" t="s">
        <v>47</v>
      </c>
      <c r="Y135" t="s">
        <v>24</v>
      </c>
      <c r="Z135">
        <v>100273</v>
      </c>
      <c r="AA135" t="s">
        <v>52</v>
      </c>
      <c r="AB135" t="s">
        <v>65</v>
      </c>
      <c r="AC135" s="9">
        <v>2</v>
      </c>
      <c r="AD135" s="9" t="str">
        <f t="shared" ref="AD135:AD138" si="58">IF(AND(R135="",S135=""),"N/A",IF(R135=S135,"Ok","Check"))</f>
        <v>Ok</v>
      </c>
      <c r="AE135" s="11">
        <f t="shared" ref="AE135:AE140" si="59">R135-S135</f>
        <v>0</v>
      </c>
    </row>
    <row r="136" spans="1:31" x14ac:dyDescent="0.3">
      <c r="A136">
        <v>42</v>
      </c>
      <c r="B136">
        <v>4713374</v>
      </c>
      <c r="C136" t="s">
        <v>42</v>
      </c>
      <c r="D136">
        <v>1588891</v>
      </c>
      <c r="E136" t="s">
        <v>43</v>
      </c>
      <c r="F136" t="s">
        <v>18</v>
      </c>
      <c r="G136" t="s">
        <v>165</v>
      </c>
      <c r="H136" t="s">
        <v>166</v>
      </c>
      <c r="I136" t="s">
        <v>422</v>
      </c>
      <c r="J136">
        <v>51149849671</v>
      </c>
      <c r="K136" t="s">
        <v>257</v>
      </c>
      <c r="L136" t="s">
        <v>516</v>
      </c>
      <c r="M136">
        <v>90000</v>
      </c>
      <c r="N136" s="10">
        <v>9.4100000000000003E-2</v>
      </c>
      <c r="O136" s="10">
        <f t="shared" si="56"/>
        <v>8469</v>
      </c>
      <c r="P136" s="10" t="s">
        <v>562</v>
      </c>
      <c r="Q136" s="10" t="s">
        <v>562</v>
      </c>
      <c r="R136" s="10" t="str">
        <f>IF(COUNTIF($J$2:J136,J136)=1,SUMIFS($O:$O,$J:$J,J136)+SUMIFS($P:$P,$J:$J,J136)+SUMIFS($Q:$Q,$J:$J,J136),"")</f>
        <v/>
      </c>
      <c r="S136" s="10" t="s">
        <v>562</v>
      </c>
      <c r="T136" s="11" t="str">
        <f>IFERROR(INDEX(AD:AD,MATCH(J136,J:J,0)),"")</f>
        <v>Ok</v>
      </c>
      <c r="U136" s="12">
        <v>45988</v>
      </c>
      <c r="V136" s="10">
        <v>-12.54</v>
      </c>
      <c r="W136" s="10" t="str">
        <f t="shared" si="57"/>
        <v>N/A</v>
      </c>
      <c r="X136" t="s">
        <v>47</v>
      </c>
      <c r="Y136" t="s">
        <v>24</v>
      </c>
      <c r="Z136">
        <v>100273</v>
      </c>
      <c r="AA136" t="s">
        <v>52</v>
      </c>
      <c r="AB136" t="s">
        <v>65</v>
      </c>
      <c r="AC136" s="9">
        <v>2</v>
      </c>
      <c r="AD136" s="9" t="str">
        <f t="shared" si="58"/>
        <v>N/A</v>
      </c>
      <c r="AE136" s="11" t="e">
        <f t="shared" si="59"/>
        <v>#VALUE!</v>
      </c>
    </row>
    <row r="137" spans="1:31" x14ac:dyDescent="0.3">
      <c r="A137">
        <v>32</v>
      </c>
      <c r="B137">
        <v>4750664</v>
      </c>
      <c r="C137" t="s">
        <v>42</v>
      </c>
      <c r="D137">
        <v>1130746</v>
      </c>
      <c r="E137" t="s">
        <v>68</v>
      </c>
      <c r="F137" t="s">
        <v>20</v>
      </c>
      <c r="G137" t="s">
        <v>186</v>
      </c>
      <c r="H137" t="s">
        <v>187</v>
      </c>
      <c r="I137" t="s">
        <v>394</v>
      </c>
      <c r="J137">
        <v>51149999687</v>
      </c>
      <c r="K137" t="s">
        <v>428</v>
      </c>
      <c r="L137" t="s">
        <v>526</v>
      </c>
      <c r="M137">
        <v>1000</v>
      </c>
      <c r="N137" s="10">
        <v>1.32</v>
      </c>
      <c r="O137" s="10">
        <f t="shared" si="56"/>
        <v>1320</v>
      </c>
      <c r="P137" s="10">
        <v>0</v>
      </c>
      <c r="Q137" s="10">
        <v>0</v>
      </c>
      <c r="R137" s="10">
        <f>IF(COUNTIF($J$2:J137,J137)=1,SUMIFS($O:$O,$J:$J,J137)+SUMIFS($P:$P,$J:$J,J137)+SUMIFS($Q:$Q,$J:$J,J137),"")</f>
        <v>62680.847999999998</v>
      </c>
      <c r="S137" s="10">
        <v>62987.57</v>
      </c>
      <c r="T137" s="11" t="str">
        <f>IFERROR(INDEX(AD:AD,MATCH(J137,J:J,0)),"")</f>
        <v>Check</v>
      </c>
      <c r="U137" s="12">
        <v>46104</v>
      </c>
      <c r="V137" s="10">
        <v>61667.57</v>
      </c>
      <c r="W137" s="10" t="str">
        <f t="shared" si="57"/>
        <v>Short Paid</v>
      </c>
      <c r="X137" t="s">
        <v>47</v>
      </c>
      <c r="Y137" t="s">
        <v>24</v>
      </c>
      <c r="Z137">
        <v>100153</v>
      </c>
      <c r="AA137" t="s">
        <v>53</v>
      </c>
      <c r="AB137" t="s">
        <v>63</v>
      </c>
      <c r="AC137" s="9">
        <v>2</v>
      </c>
      <c r="AD137" s="9" t="str">
        <f t="shared" si="58"/>
        <v>Check</v>
      </c>
      <c r="AE137" s="11">
        <f t="shared" si="59"/>
        <v>-306.72200000000157</v>
      </c>
    </row>
    <row r="138" spans="1:31" x14ac:dyDescent="0.3">
      <c r="A138">
        <v>32</v>
      </c>
      <c r="B138">
        <v>4750664</v>
      </c>
      <c r="C138" t="s">
        <v>42</v>
      </c>
      <c r="D138">
        <v>1130746</v>
      </c>
      <c r="E138" t="s">
        <v>68</v>
      </c>
      <c r="F138" t="s">
        <v>20</v>
      </c>
      <c r="G138" t="s">
        <v>186</v>
      </c>
      <c r="H138" t="s">
        <v>187</v>
      </c>
      <c r="I138" t="s">
        <v>373</v>
      </c>
      <c r="J138">
        <v>51149999687</v>
      </c>
      <c r="K138" t="s">
        <v>257</v>
      </c>
      <c r="L138" t="s">
        <v>527</v>
      </c>
      <c r="M138">
        <v>480</v>
      </c>
      <c r="N138" s="10">
        <v>127.8351</v>
      </c>
      <c r="O138" s="10">
        <f t="shared" si="56"/>
        <v>61360.847999999998</v>
      </c>
      <c r="P138" s="10" t="s">
        <v>562</v>
      </c>
      <c r="Q138" s="10" t="s">
        <v>562</v>
      </c>
      <c r="R138" s="10" t="str">
        <f>IF(COUNTIF($J$2:J138,J138)=1,SUMIFS($O:$O,$J:$J,J138)+SUMIFS($P:$P,$J:$J,J138)+SUMIFS($Q:$Q,$J:$J,J138),"")</f>
        <v/>
      </c>
      <c r="S138" s="10" t="s">
        <v>562</v>
      </c>
      <c r="T138" s="11" t="str">
        <f>IFERROR(INDEX(AD:AD,MATCH(J138,J:J,0)),"")</f>
        <v>Check</v>
      </c>
      <c r="U138" s="12">
        <v>46104</v>
      </c>
      <c r="V138" s="10">
        <v>61667.57</v>
      </c>
      <c r="W138" s="10" t="str">
        <f t="shared" si="57"/>
        <v>N/A</v>
      </c>
      <c r="X138" t="s">
        <v>47</v>
      </c>
      <c r="Y138" t="s">
        <v>24</v>
      </c>
      <c r="Z138">
        <v>100153</v>
      </c>
      <c r="AA138" t="s">
        <v>53</v>
      </c>
      <c r="AB138" t="s">
        <v>63</v>
      </c>
      <c r="AC138" s="9">
        <v>2</v>
      </c>
      <c r="AD138" s="9" t="str">
        <f t="shared" si="58"/>
        <v>N/A</v>
      </c>
      <c r="AE138" s="11" t="e">
        <f t="shared" si="59"/>
        <v>#VALUE!</v>
      </c>
    </row>
    <row r="139" spans="1:31" x14ac:dyDescent="0.3">
      <c r="A139">
        <v>39</v>
      </c>
      <c r="B139">
        <v>4719218</v>
      </c>
      <c r="C139" t="s">
        <v>42</v>
      </c>
      <c r="D139">
        <v>1130746</v>
      </c>
      <c r="E139" t="s">
        <v>68</v>
      </c>
      <c r="F139" t="s">
        <v>20</v>
      </c>
      <c r="G139" t="s">
        <v>241</v>
      </c>
      <c r="H139" t="s">
        <v>185</v>
      </c>
      <c r="I139" t="s">
        <v>388</v>
      </c>
      <c r="J139">
        <v>51150171950</v>
      </c>
      <c r="K139" t="s">
        <v>308</v>
      </c>
      <c r="L139" t="s">
        <v>457</v>
      </c>
      <c r="M139">
        <v>600</v>
      </c>
      <c r="N139" s="10">
        <v>282.14499999999998</v>
      </c>
      <c r="O139" s="10">
        <f t="shared" ref="O139:O142" si="60">M139*N139</f>
        <v>169287</v>
      </c>
      <c r="P139" s="10">
        <v>0</v>
      </c>
      <c r="Q139" s="10">
        <v>0</v>
      </c>
      <c r="R139" s="10">
        <f>IF(COUNTIF($J$2:J139,J139)=1,SUMIFS($O:$O,$J:$J,J139)+SUMIFS($P:$P,$J:$J,J139)+SUMIFS($Q:$Q,$J:$J,J139),"")</f>
        <v>170933.34</v>
      </c>
      <c r="S139" s="10">
        <v>170933.34</v>
      </c>
      <c r="T139" s="11" t="str">
        <f>IFERROR(INDEX(AD:AD,MATCH(J139,J:J,0)),"")</f>
        <v>Ok</v>
      </c>
      <c r="U139" s="12">
        <v>46094</v>
      </c>
      <c r="V139" s="10">
        <v>169287</v>
      </c>
      <c r="W139" s="10" t="str">
        <f t="shared" ref="W139:W142" si="61">IF(OR(S139="",V139=""),"N/A",IF(S139&lt;&gt;V139,"Short Paid","Not Paid"))</f>
        <v>Short Paid</v>
      </c>
      <c r="X139" t="s">
        <v>47</v>
      </c>
      <c r="Y139" t="s">
        <v>24</v>
      </c>
      <c r="Z139">
        <v>100283</v>
      </c>
      <c r="AA139" t="s">
        <v>48</v>
      </c>
      <c r="AB139" t="s">
        <v>63</v>
      </c>
      <c r="AC139" s="9">
        <v>2</v>
      </c>
      <c r="AD139" s="9" t="str">
        <f t="shared" ref="AD139:AD142" si="62">IF(AND(R139="",S139=""),"N/A",IF(R139=S139,"Ok","Check"))</f>
        <v>Ok</v>
      </c>
      <c r="AE139" s="11">
        <f t="shared" si="59"/>
        <v>0</v>
      </c>
    </row>
    <row r="140" spans="1:31" x14ac:dyDescent="0.3">
      <c r="A140">
        <v>39</v>
      </c>
      <c r="B140">
        <v>4719218</v>
      </c>
      <c r="C140" t="s">
        <v>42</v>
      </c>
      <c r="D140">
        <v>1130746</v>
      </c>
      <c r="E140" t="s">
        <v>68</v>
      </c>
      <c r="F140" t="s">
        <v>20</v>
      </c>
      <c r="G140" t="s">
        <v>241</v>
      </c>
      <c r="H140" t="s">
        <v>185</v>
      </c>
      <c r="I140" t="s">
        <v>315</v>
      </c>
      <c r="J140">
        <v>51150171950</v>
      </c>
      <c r="K140" t="s">
        <v>308</v>
      </c>
      <c r="L140" t="s">
        <v>410</v>
      </c>
      <c r="M140">
        <v>2000</v>
      </c>
      <c r="N140" s="10">
        <v>0.82316999999999996</v>
      </c>
      <c r="O140" s="10">
        <f t="shared" si="60"/>
        <v>1646.34</v>
      </c>
      <c r="P140" s="10" t="s">
        <v>562</v>
      </c>
      <c r="Q140" s="10" t="s">
        <v>562</v>
      </c>
      <c r="R140" s="10" t="str">
        <f>IF(COUNTIF($J$2:J140,J140)=1,SUMIFS($O:$O,$J:$J,J140)+SUMIFS($P:$P,$J:$J,J140)+SUMIFS($Q:$Q,$J:$J,J140),"")</f>
        <v/>
      </c>
      <c r="S140" s="10" t="s">
        <v>562</v>
      </c>
      <c r="T140" s="11" t="str">
        <f>IFERROR(INDEX(AD:AD,MATCH(J140,J:J,0)),"")</f>
        <v>Ok</v>
      </c>
      <c r="U140" s="12">
        <v>46094</v>
      </c>
      <c r="V140" s="10">
        <v>169287</v>
      </c>
      <c r="W140" s="10" t="str">
        <f t="shared" si="61"/>
        <v>N/A</v>
      </c>
      <c r="X140" t="s">
        <v>47</v>
      </c>
      <c r="Y140" t="s">
        <v>24</v>
      </c>
      <c r="Z140">
        <v>100283</v>
      </c>
      <c r="AA140" t="s">
        <v>48</v>
      </c>
      <c r="AB140" t="s">
        <v>63</v>
      </c>
      <c r="AC140" s="9">
        <v>2</v>
      </c>
      <c r="AD140" s="9" t="str">
        <f t="shared" si="62"/>
        <v>N/A</v>
      </c>
      <c r="AE140" s="11" t="e">
        <f t="shared" si="59"/>
        <v>#VALUE!</v>
      </c>
    </row>
    <row r="141" spans="1:31" x14ac:dyDescent="0.3">
      <c r="A141">
        <v>30</v>
      </c>
      <c r="B141">
        <v>4760404</v>
      </c>
      <c r="C141" t="s">
        <v>42</v>
      </c>
      <c r="D141">
        <v>1588891</v>
      </c>
      <c r="E141" t="s">
        <v>43</v>
      </c>
      <c r="F141" t="s">
        <v>18</v>
      </c>
      <c r="G141" t="s">
        <v>242</v>
      </c>
      <c r="H141" t="s">
        <v>188</v>
      </c>
      <c r="I141" t="s">
        <v>368</v>
      </c>
      <c r="J141">
        <v>51151617062</v>
      </c>
      <c r="K141" t="s">
        <v>275</v>
      </c>
      <c r="L141" t="s">
        <v>432</v>
      </c>
      <c r="M141">
        <v>40000</v>
      </c>
      <c r="N141" s="10">
        <v>0.28159000000000001</v>
      </c>
      <c r="O141" s="10">
        <f t="shared" si="60"/>
        <v>11263.6</v>
      </c>
      <c r="P141" s="10">
        <v>0</v>
      </c>
      <c r="Q141" s="10">
        <v>0</v>
      </c>
      <c r="R141" s="10">
        <f>IF(COUNTIF($J$2:J141,J141)=1,SUMIFS($O:$O,$J:$J,J141)+SUMIFS($P:$P,$J:$J,J141)+SUMIFS($Q:$Q,$J:$J,J141),"")</f>
        <v>66543.400000000009</v>
      </c>
      <c r="S141" s="10">
        <v>66543.400000000009</v>
      </c>
      <c r="T141" s="11" t="str">
        <f>IFERROR(INDEX(AD:AD,MATCH(J141,J:J,0)),"")</f>
        <v>Ok</v>
      </c>
      <c r="U141" s="12">
        <v>45996</v>
      </c>
      <c r="V141" s="10">
        <v>1324.4</v>
      </c>
      <c r="W141" s="10" t="str">
        <f t="shared" si="61"/>
        <v>Short Paid</v>
      </c>
      <c r="X141" t="s">
        <v>47</v>
      </c>
      <c r="Y141" t="s">
        <v>24</v>
      </c>
      <c r="Z141">
        <v>100243</v>
      </c>
      <c r="AA141" t="s">
        <v>54</v>
      </c>
      <c r="AB141" t="s">
        <v>65</v>
      </c>
      <c r="AC141" s="9">
        <v>2</v>
      </c>
      <c r="AD141" s="9" t="str">
        <f t="shared" si="62"/>
        <v>Ok</v>
      </c>
      <c r="AE141" s="11">
        <f t="shared" ref="AE141:AE144" si="63">R141-S141</f>
        <v>0</v>
      </c>
    </row>
    <row r="142" spans="1:31" x14ac:dyDescent="0.3">
      <c r="A142">
        <v>30</v>
      </c>
      <c r="B142">
        <v>4760404</v>
      </c>
      <c r="C142" t="s">
        <v>42</v>
      </c>
      <c r="D142">
        <v>1588891</v>
      </c>
      <c r="E142" t="s">
        <v>43</v>
      </c>
      <c r="F142" t="s">
        <v>18</v>
      </c>
      <c r="G142" t="s">
        <v>242</v>
      </c>
      <c r="H142" t="s">
        <v>188</v>
      </c>
      <c r="I142" t="s">
        <v>341</v>
      </c>
      <c r="J142">
        <v>51151617062</v>
      </c>
      <c r="K142" t="s">
        <v>402</v>
      </c>
      <c r="L142" t="s">
        <v>420</v>
      </c>
      <c r="M142">
        <v>540</v>
      </c>
      <c r="N142" s="10">
        <v>102.37</v>
      </c>
      <c r="O142" s="10">
        <f t="shared" si="60"/>
        <v>55279.8</v>
      </c>
      <c r="P142" s="10" t="s">
        <v>562</v>
      </c>
      <c r="Q142" s="10" t="s">
        <v>562</v>
      </c>
      <c r="R142" s="10" t="str">
        <f>IF(COUNTIF($J$2:J142,J142)=1,SUMIFS($O:$O,$J:$J,J142)+SUMIFS($P:$P,$J:$J,J142)+SUMIFS($Q:$Q,$J:$J,J142),"")</f>
        <v/>
      </c>
      <c r="S142" s="10" t="s">
        <v>562</v>
      </c>
      <c r="T142" s="11" t="str">
        <f>IFERROR(INDEX(AD:AD,MATCH(J142,J:J,0)),"")</f>
        <v>Ok</v>
      </c>
      <c r="U142" s="12">
        <v>45996</v>
      </c>
      <c r="V142" s="10">
        <v>1324.4</v>
      </c>
      <c r="W142" s="10" t="str">
        <f t="shared" si="61"/>
        <v>N/A</v>
      </c>
      <c r="X142" t="s">
        <v>47</v>
      </c>
      <c r="Y142" t="s">
        <v>24</v>
      </c>
      <c r="Z142">
        <v>100243</v>
      </c>
      <c r="AA142" t="s">
        <v>54</v>
      </c>
      <c r="AB142" t="s">
        <v>65</v>
      </c>
      <c r="AC142" s="9">
        <v>2</v>
      </c>
      <c r="AD142" s="9" t="str">
        <f t="shared" si="62"/>
        <v>N/A</v>
      </c>
      <c r="AE142" s="11" t="e">
        <f t="shared" si="63"/>
        <v>#VALUE!</v>
      </c>
    </row>
    <row r="143" spans="1:31" x14ac:dyDescent="0.3">
      <c r="A143">
        <v>27</v>
      </c>
      <c r="B143">
        <v>4791015</v>
      </c>
      <c r="C143" t="s">
        <v>42</v>
      </c>
      <c r="D143">
        <v>1588891</v>
      </c>
      <c r="E143" t="s">
        <v>43</v>
      </c>
      <c r="F143" t="s">
        <v>23</v>
      </c>
      <c r="G143" t="s">
        <v>189</v>
      </c>
      <c r="H143" t="s">
        <v>190</v>
      </c>
      <c r="I143" t="s">
        <v>376</v>
      </c>
      <c r="J143">
        <v>51152002252</v>
      </c>
      <c r="K143" t="s">
        <v>425</v>
      </c>
      <c r="L143" t="s">
        <v>530</v>
      </c>
      <c r="M143">
        <v>1263</v>
      </c>
      <c r="N143" s="10">
        <v>3.1764700000000001</v>
      </c>
      <c r="O143" s="10">
        <f t="shared" ref="O143:O144" si="64">M143*N143</f>
        <v>4011.8816100000004</v>
      </c>
      <c r="P143" s="10">
        <v>0</v>
      </c>
      <c r="Q143" s="10">
        <v>0</v>
      </c>
      <c r="R143" s="10">
        <f>IF(COUNTIF($J$2:J143,J143)=1,SUMIFS($O:$O,$J:$J,J143)+SUMIFS($P:$P,$J:$J,J143)+SUMIFS($Q:$Q,$J:$J,J143),"")</f>
        <v>5420.3816100000004</v>
      </c>
      <c r="S143" s="10">
        <v>5420.38</v>
      </c>
      <c r="T143" s="11" t="str">
        <f>IFERROR(INDEX(AD:AD,MATCH(J143,J:J,0)),"")</f>
        <v>Check</v>
      </c>
      <c r="U143" s="12">
        <v>45995</v>
      </c>
      <c r="V143" s="10">
        <v>1270.5899999999999</v>
      </c>
      <c r="W143" s="10" t="str">
        <f t="shared" ref="W143:W144" si="65">IF(OR(S143="",V143=""),"N/A",IF(S143&lt;&gt;V143,"Short Paid","Not Paid"))</f>
        <v>Short Paid</v>
      </c>
      <c r="X143" t="s">
        <v>47</v>
      </c>
      <c r="Y143" t="s">
        <v>46</v>
      </c>
      <c r="Z143">
        <v>100213</v>
      </c>
      <c r="AA143" t="s">
        <v>251</v>
      </c>
      <c r="AB143" t="s">
        <v>246</v>
      </c>
      <c r="AC143" s="9">
        <v>2</v>
      </c>
      <c r="AD143" s="9" t="str">
        <f t="shared" ref="AD143:AD144" si="66">IF(AND(R143="",S143=""),"N/A",IF(R143=S143,"Ok","Check"))</f>
        <v>Check</v>
      </c>
      <c r="AE143" s="11">
        <f t="shared" si="63"/>
        <v>1.6100000002552406E-3</v>
      </c>
    </row>
    <row r="144" spans="1:31" x14ac:dyDescent="0.3">
      <c r="A144">
        <v>27</v>
      </c>
      <c r="B144">
        <v>4791015</v>
      </c>
      <c r="C144" t="s">
        <v>42</v>
      </c>
      <c r="D144">
        <v>1588891</v>
      </c>
      <c r="E144" t="s">
        <v>43</v>
      </c>
      <c r="F144" t="s">
        <v>23</v>
      </c>
      <c r="G144" t="s">
        <v>189</v>
      </c>
      <c r="H144" t="s">
        <v>190</v>
      </c>
      <c r="I144" t="s">
        <v>325</v>
      </c>
      <c r="J144">
        <v>51152002252</v>
      </c>
      <c r="K144" t="s">
        <v>257</v>
      </c>
      <c r="L144" t="s">
        <v>332</v>
      </c>
      <c r="M144">
        <v>45000</v>
      </c>
      <c r="N144" s="10">
        <v>3.1300000000000001E-2</v>
      </c>
      <c r="O144" s="10">
        <f t="shared" si="64"/>
        <v>1408.5</v>
      </c>
      <c r="P144" s="10" t="s">
        <v>562</v>
      </c>
      <c r="Q144" s="10" t="s">
        <v>562</v>
      </c>
      <c r="R144" s="10" t="str">
        <f>IF(COUNTIF($J$2:J144,J144)=1,SUMIFS($O:$O,$J:$J,J144)+SUMIFS($P:$P,$J:$J,J144)+SUMIFS($Q:$Q,$J:$J,J144),"")</f>
        <v/>
      </c>
      <c r="S144" s="10" t="s">
        <v>562</v>
      </c>
      <c r="T144" s="11" t="str">
        <f>IFERROR(INDEX(AD:AD,MATCH(J144,J:J,0)),"")</f>
        <v>Check</v>
      </c>
      <c r="U144" s="12">
        <v>45995</v>
      </c>
      <c r="V144" s="10">
        <v>1270.5899999999999</v>
      </c>
      <c r="W144" s="10" t="str">
        <f t="shared" si="65"/>
        <v>N/A</v>
      </c>
      <c r="X144" t="s">
        <v>47</v>
      </c>
      <c r="Y144" t="s">
        <v>46</v>
      </c>
      <c r="Z144">
        <v>100213</v>
      </c>
      <c r="AA144" t="s">
        <v>251</v>
      </c>
      <c r="AB144" t="s">
        <v>246</v>
      </c>
      <c r="AC144" s="9">
        <v>2</v>
      </c>
      <c r="AD144" s="9" t="str">
        <f t="shared" si="66"/>
        <v>N/A</v>
      </c>
      <c r="AE144" s="11" t="e">
        <f t="shared" si="63"/>
        <v>#VALUE!</v>
      </c>
    </row>
    <row r="145" spans="1:31" x14ac:dyDescent="0.3">
      <c r="A145">
        <v>9</v>
      </c>
      <c r="B145">
        <v>4908452</v>
      </c>
      <c r="C145" t="s">
        <v>42</v>
      </c>
      <c r="D145">
        <v>1230147</v>
      </c>
      <c r="E145" t="s">
        <v>559</v>
      </c>
      <c r="F145" t="s">
        <v>20</v>
      </c>
      <c r="G145" t="s">
        <v>206</v>
      </c>
      <c r="H145" t="s">
        <v>207</v>
      </c>
      <c r="I145" t="s">
        <v>393</v>
      </c>
      <c r="J145">
        <v>51153930640</v>
      </c>
      <c r="K145" t="s">
        <v>303</v>
      </c>
      <c r="L145" t="s">
        <v>531</v>
      </c>
      <c r="M145">
        <v>2</v>
      </c>
      <c r="N145" s="10">
        <v>302</v>
      </c>
      <c r="O145" s="10">
        <f t="shared" ref="O145:O146" si="67">M145*N145</f>
        <v>604</v>
      </c>
      <c r="P145" s="10">
        <v>0</v>
      </c>
      <c r="Q145" s="10">
        <v>0</v>
      </c>
      <c r="R145" s="10">
        <f>IF(COUNTIF($J$2:J145,J145)=1,SUMIFS($O:$O,$J:$J,J145)+SUMIFS($P:$P,$J:$J,J145)+SUMIFS($Q:$Q,$J:$J,J145),"")</f>
        <v>987</v>
      </c>
      <c r="S145" s="10">
        <v>4343.38</v>
      </c>
      <c r="T145" s="11" t="str">
        <f>IFERROR(INDEX(AD:AD,MATCH(J145,J:J,0)),"")</f>
        <v>Check</v>
      </c>
      <c r="U145" s="12">
        <v>46114</v>
      </c>
      <c r="V145" s="10">
        <v>3960.38</v>
      </c>
      <c r="W145" s="10" t="str">
        <f t="shared" ref="W145:W146" si="68">IF(OR(S145="",V145=""),"N/A",IF(S145&lt;&gt;V145,"Short Paid","Not Paid"))</f>
        <v>Short Paid</v>
      </c>
      <c r="X145" t="s">
        <v>47</v>
      </c>
      <c r="Y145" t="s">
        <v>24</v>
      </c>
      <c r="Z145">
        <v>100283</v>
      </c>
      <c r="AA145" t="s">
        <v>48</v>
      </c>
      <c r="AB145" t="s">
        <v>63</v>
      </c>
      <c r="AC145" s="9">
        <v>2</v>
      </c>
      <c r="AD145" s="9" t="str">
        <f t="shared" ref="AD145:AD146" si="69">IF(AND(R145="",S145=""),"N/A",IF(R145=S145,"Ok","Check"))</f>
        <v>Check</v>
      </c>
      <c r="AE145" s="11">
        <f t="shared" ref="AE145:AE146" si="70">R145-S145</f>
        <v>-3356.38</v>
      </c>
    </row>
    <row r="146" spans="1:31" x14ac:dyDescent="0.3">
      <c r="A146">
        <v>9</v>
      </c>
      <c r="B146">
        <v>4908452</v>
      </c>
      <c r="C146" t="s">
        <v>42</v>
      </c>
      <c r="D146">
        <v>1230147</v>
      </c>
      <c r="E146" t="s">
        <v>559</v>
      </c>
      <c r="F146" t="s">
        <v>20</v>
      </c>
      <c r="G146" t="s">
        <v>206</v>
      </c>
      <c r="H146" t="s">
        <v>207</v>
      </c>
      <c r="I146" t="s">
        <v>287</v>
      </c>
      <c r="J146">
        <v>51153930640</v>
      </c>
      <c r="K146" t="s">
        <v>255</v>
      </c>
      <c r="L146" t="s">
        <v>532</v>
      </c>
      <c r="M146">
        <v>10</v>
      </c>
      <c r="N146" s="10">
        <v>38.299999999999997</v>
      </c>
      <c r="O146" s="10">
        <f t="shared" si="67"/>
        <v>383</v>
      </c>
      <c r="P146" s="10" t="s">
        <v>562</v>
      </c>
      <c r="Q146" s="10" t="s">
        <v>562</v>
      </c>
      <c r="R146" s="10" t="str">
        <f>IF(COUNTIF($J$2:J146,J146)=1,SUMIFS($O:$O,$J:$J,J146)+SUMIFS($P:$P,$J:$J,J146)+SUMIFS($Q:$Q,$J:$J,J146),"")</f>
        <v/>
      </c>
      <c r="S146" s="10" t="s">
        <v>562</v>
      </c>
      <c r="T146" s="11" t="str">
        <f>IFERROR(INDEX(AD:AD,MATCH(J146,J:J,0)),"")</f>
        <v>Check</v>
      </c>
      <c r="U146" s="12">
        <v>46114</v>
      </c>
      <c r="V146" s="10">
        <v>3960.38</v>
      </c>
      <c r="W146" s="10" t="str">
        <f t="shared" si="68"/>
        <v>N/A</v>
      </c>
      <c r="X146" t="s">
        <v>47</v>
      </c>
      <c r="Y146" t="s">
        <v>24</v>
      </c>
      <c r="Z146">
        <v>100283</v>
      </c>
      <c r="AA146" t="s">
        <v>48</v>
      </c>
      <c r="AB146" t="s">
        <v>63</v>
      </c>
      <c r="AC146" s="9">
        <v>2</v>
      </c>
      <c r="AD146" s="9" t="str">
        <f t="shared" si="69"/>
        <v>N/A</v>
      </c>
      <c r="AE146" s="11" t="e">
        <f t="shared" si="70"/>
        <v>#VALUE!</v>
      </c>
    </row>
    <row r="147" spans="1:31" x14ac:dyDescent="0.3">
      <c r="A147">
        <v>22</v>
      </c>
      <c r="B147">
        <v>4837489</v>
      </c>
      <c r="C147" t="s">
        <v>42</v>
      </c>
      <c r="D147">
        <v>1009681</v>
      </c>
      <c r="E147" t="s">
        <v>74</v>
      </c>
      <c r="F147" t="s">
        <v>37</v>
      </c>
      <c r="G147" t="s">
        <v>191</v>
      </c>
      <c r="H147" t="s">
        <v>192</v>
      </c>
      <c r="I147" t="s">
        <v>429</v>
      </c>
      <c r="J147">
        <v>51154290105</v>
      </c>
      <c r="K147" t="s">
        <v>257</v>
      </c>
      <c r="L147" t="s">
        <v>533</v>
      </c>
      <c r="M147">
        <v>72000</v>
      </c>
      <c r="N147" s="10">
        <v>3.4500000000000003E-2</v>
      </c>
      <c r="O147" s="10">
        <f t="shared" ref="O147:O153" si="71">M147*N147</f>
        <v>2484</v>
      </c>
      <c r="P147" s="10">
        <v>2801.94</v>
      </c>
      <c r="Q147" s="10">
        <v>0</v>
      </c>
      <c r="R147" s="10">
        <f>IF(COUNTIF($J$2:J147,J147)=1,SUMIFS($O:$O,$J:$J,J147)+SUMIFS($P:$P,$J:$J,J147)+SUMIFS($Q:$Q,$J:$J,J147),"")</f>
        <v>50116.98</v>
      </c>
      <c r="S147" s="10">
        <v>50116.990000000005</v>
      </c>
      <c r="T147" s="11" t="str">
        <f>IFERROR(INDEX(AD:AD,MATCH(J147,J:J,0)),"")</f>
        <v>Check</v>
      </c>
      <c r="U147" s="12">
        <v>46132</v>
      </c>
      <c r="V147" s="10">
        <v>47632.98</v>
      </c>
      <c r="W147" s="10" t="str">
        <f t="shared" ref="W147:W153" si="72">IF(OR(S147="",V147=""),"N/A",IF(S147&lt;&gt;V147,"Short Paid","Not Paid"))</f>
        <v>Short Paid</v>
      </c>
      <c r="X147" t="s">
        <v>47</v>
      </c>
      <c r="Y147" t="s">
        <v>24</v>
      </c>
      <c r="Z147">
        <v>100193</v>
      </c>
      <c r="AA147" t="s">
        <v>50</v>
      </c>
      <c r="AB147" t="s">
        <v>248</v>
      </c>
      <c r="AC147" s="9">
        <v>2</v>
      </c>
      <c r="AD147" s="9" t="str">
        <f t="shared" ref="AD147:AD153" si="73">IF(AND(R147="",S147=""),"N/A",IF(R147=S147,"Ok","Check"))</f>
        <v>Check</v>
      </c>
      <c r="AE147" s="11">
        <f t="shared" ref="AE147:AE153" si="74">R147-S147</f>
        <v>-1.0000000002037268E-2</v>
      </c>
    </row>
    <row r="148" spans="1:31" x14ac:dyDescent="0.3">
      <c r="A148">
        <v>22</v>
      </c>
      <c r="B148">
        <v>4837489</v>
      </c>
      <c r="C148" t="s">
        <v>42</v>
      </c>
      <c r="D148">
        <v>1009681</v>
      </c>
      <c r="E148" t="s">
        <v>74</v>
      </c>
      <c r="F148" t="s">
        <v>37</v>
      </c>
      <c r="G148" t="s">
        <v>191</v>
      </c>
      <c r="H148" t="s">
        <v>192</v>
      </c>
      <c r="I148" t="s">
        <v>288</v>
      </c>
      <c r="J148">
        <v>51154290105</v>
      </c>
      <c r="K148" t="s">
        <v>535</v>
      </c>
      <c r="L148" t="s">
        <v>534</v>
      </c>
      <c r="M148">
        <v>96</v>
      </c>
      <c r="N148" s="10">
        <v>466.99</v>
      </c>
      <c r="O148" s="10">
        <f t="shared" si="71"/>
        <v>44831.040000000001</v>
      </c>
      <c r="P148" s="10" t="s">
        <v>562</v>
      </c>
      <c r="Q148" s="10" t="s">
        <v>562</v>
      </c>
      <c r="R148" s="10" t="str">
        <f>IF(COUNTIF($J$2:J148,J148)=1,SUMIFS($O:$O,$J:$J,J148)+SUMIFS($P:$P,$J:$J,J148)+SUMIFS($Q:$Q,$J:$J,J148),"")</f>
        <v/>
      </c>
      <c r="S148" s="10" t="s">
        <v>562</v>
      </c>
      <c r="T148" s="11" t="str">
        <f>IFERROR(INDEX(AD:AD,MATCH(J148,J:J,0)),"")</f>
        <v>Check</v>
      </c>
      <c r="U148" s="12">
        <v>46132</v>
      </c>
      <c r="V148" s="10">
        <v>47632.98</v>
      </c>
      <c r="W148" s="10" t="str">
        <f t="shared" si="72"/>
        <v>N/A</v>
      </c>
      <c r="X148" t="s">
        <v>47</v>
      </c>
      <c r="Y148" t="s">
        <v>24</v>
      </c>
      <c r="Z148">
        <v>100193</v>
      </c>
      <c r="AA148" t="s">
        <v>50</v>
      </c>
      <c r="AB148" t="s">
        <v>248</v>
      </c>
      <c r="AC148" s="9">
        <v>2</v>
      </c>
      <c r="AD148" s="9" t="str">
        <f t="shared" si="73"/>
        <v>N/A</v>
      </c>
      <c r="AE148" s="11" t="e">
        <f t="shared" si="74"/>
        <v>#VALUE!</v>
      </c>
    </row>
    <row r="149" spans="1:31" x14ac:dyDescent="0.3">
      <c r="A149">
        <v>22</v>
      </c>
      <c r="B149">
        <v>4838324</v>
      </c>
      <c r="C149" t="s">
        <v>42</v>
      </c>
      <c r="D149">
        <v>1507694</v>
      </c>
      <c r="E149" t="s">
        <v>45</v>
      </c>
      <c r="F149" t="s">
        <v>20</v>
      </c>
      <c r="G149" t="s">
        <v>193</v>
      </c>
      <c r="H149" t="s">
        <v>194</v>
      </c>
      <c r="I149" t="s">
        <v>313</v>
      </c>
      <c r="J149">
        <v>51154355952</v>
      </c>
      <c r="K149" t="s">
        <v>293</v>
      </c>
      <c r="L149" t="s">
        <v>383</v>
      </c>
      <c r="M149">
        <v>16000</v>
      </c>
      <c r="N149" s="10">
        <v>0.21</v>
      </c>
      <c r="O149" s="10">
        <f t="shared" si="71"/>
        <v>3360</v>
      </c>
      <c r="P149" s="10">
        <v>0</v>
      </c>
      <c r="Q149" s="10">
        <v>0</v>
      </c>
      <c r="R149" s="10">
        <f>IF(COUNTIF($J$2:J149,J149)=1,SUMIFS($O:$O,$J:$J,J149)+SUMIFS($P:$P,$J:$J,J149)+SUMIFS($Q:$Q,$J:$J,J149),"")</f>
        <v>30461.859999999997</v>
      </c>
      <c r="S149" s="10">
        <v>33461.86</v>
      </c>
      <c r="T149" s="11" t="str">
        <f>IFERROR(INDEX(AD:AD,MATCH(J149,J:J,0)),"")</f>
        <v>Check</v>
      </c>
      <c r="U149" s="12">
        <v>46072</v>
      </c>
      <c r="V149" s="10">
        <v>5500</v>
      </c>
      <c r="W149" s="10" t="str">
        <f t="shared" si="72"/>
        <v>Short Paid</v>
      </c>
      <c r="X149" t="s">
        <v>47</v>
      </c>
      <c r="Y149" t="s">
        <v>24</v>
      </c>
      <c r="Z149">
        <v>100243</v>
      </c>
      <c r="AA149" t="s">
        <v>54</v>
      </c>
      <c r="AB149" t="s">
        <v>63</v>
      </c>
      <c r="AC149" s="9">
        <v>3</v>
      </c>
      <c r="AD149" s="9" t="str">
        <f t="shared" si="73"/>
        <v>Check</v>
      </c>
      <c r="AE149" s="11">
        <f t="shared" si="74"/>
        <v>-3000.0000000000036</v>
      </c>
    </row>
    <row r="150" spans="1:31" x14ac:dyDescent="0.3">
      <c r="A150">
        <v>22</v>
      </c>
      <c r="B150">
        <v>4838324</v>
      </c>
      <c r="C150" t="s">
        <v>42</v>
      </c>
      <c r="D150">
        <v>1507694</v>
      </c>
      <c r="E150" t="s">
        <v>45</v>
      </c>
      <c r="F150" t="s">
        <v>20</v>
      </c>
      <c r="G150" t="s">
        <v>193</v>
      </c>
      <c r="H150" t="s">
        <v>194</v>
      </c>
      <c r="I150" t="s">
        <v>384</v>
      </c>
      <c r="J150">
        <v>51154355952</v>
      </c>
      <c r="K150" t="s">
        <v>537</v>
      </c>
      <c r="L150" t="s">
        <v>536</v>
      </c>
      <c r="M150">
        <v>1</v>
      </c>
      <c r="N150" s="10">
        <v>2500</v>
      </c>
      <c r="O150" s="10">
        <f t="shared" si="71"/>
        <v>2500</v>
      </c>
      <c r="P150" s="10" t="s">
        <v>562</v>
      </c>
      <c r="Q150" s="10" t="s">
        <v>562</v>
      </c>
      <c r="R150" s="10" t="str">
        <f>IF(COUNTIF($J$2:J150,J150)=1,SUMIFS($O:$O,$J:$J,J150)+SUMIFS($P:$P,$J:$J,J150)+SUMIFS($Q:$Q,$J:$J,J150),"")</f>
        <v/>
      </c>
      <c r="S150" s="10" t="s">
        <v>562</v>
      </c>
      <c r="T150" s="11" t="str">
        <f>IFERROR(INDEX(AD:AD,MATCH(J150,J:J,0)),"")</f>
        <v>Check</v>
      </c>
      <c r="U150" s="12">
        <v>46072</v>
      </c>
      <c r="V150" s="10">
        <v>5500</v>
      </c>
      <c r="W150" s="10" t="str">
        <f t="shared" si="72"/>
        <v>N/A</v>
      </c>
      <c r="X150" t="s">
        <v>47</v>
      </c>
      <c r="Y150" t="s">
        <v>24</v>
      </c>
      <c r="Z150">
        <v>100243</v>
      </c>
      <c r="AA150" t="s">
        <v>54</v>
      </c>
      <c r="AB150" t="s">
        <v>63</v>
      </c>
      <c r="AC150" s="9">
        <v>3</v>
      </c>
      <c r="AD150" s="9" t="str">
        <f t="shared" si="73"/>
        <v>N/A</v>
      </c>
      <c r="AE150" s="11" t="e">
        <f t="shared" si="74"/>
        <v>#VALUE!</v>
      </c>
    </row>
    <row r="151" spans="1:31" x14ac:dyDescent="0.3">
      <c r="A151">
        <v>22</v>
      </c>
      <c r="B151">
        <v>4838324</v>
      </c>
      <c r="C151" t="s">
        <v>42</v>
      </c>
      <c r="D151">
        <v>1507694</v>
      </c>
      <c r="E151" t="s">
        <v>45</v>
      </c>
      <c r="F151" t="s">
        <v>20</v>
      </c>
      <c r="G151" t="s">
        <v>193</v>
      </c>
      <c r="H151" t="s">
        <v>194</v>
      </c>
      <c r="I151" t="s">
        <v>384</v>
      </c>
      <c r="J151">
        <v>51154355952</v>
      </c>
      <c r="K151" t="s">
        <v>537</v>
      </c>
      <c r="L151" t="s">
        <v>538</v>
      </c>
      <c r="M151">
        <v>87</v>
      </c>
      <c r="N151" s="10">
        <v>282.77999999999997</v>
      </c>
      <c r="O151" s="10">
        <f t="shared" si="71"/>
        <v>24601.859999999997</v>
      </c>
      <c r="P151" s="10" t="s">
        <v>562</v>
      </c>
      <c r="Q151" s="10" t="s">
        <v>562</v>
      </c>
      <c r="R151" s="10" t="str">
        <f>IF(COUNTIF($J$2:J151,J151)=1,SUMIFS($O:$O,$J:$J,J151)+SUMIFS($P:$P,$J:$J,J151)+SUMIFS($Q:$Q,$J:$J,J151),"")</f>
        <v/>
      </c>
      <c r="S151" s="10" t="s">
        <v>562</v>
      </c>
      <c r="T151" s="11" t="str">
        <f>IFERROR(INDEX(AD:AD,MATCH(J151,J:J,0)),"")</f>
        <v>Check</v>
      </c>
      <c r="U151" s="12">
        <v>46072</v>
      </c>
      <c r="V151" s="10">
        <v>5500</v>
      </c>
      <c r="W151" s="10" t="str">
        <f t="shared" si="72"/>
        <v>N/A</v>
      </c>
      <c r="X151" t="s">
        <v>47</v>
      </c>
      <c r="Y151" t="s">
        <v>24</v>
      </c>
      <c r="Z151">
        <v>100243</v>
      </c>
      <c r="AA151" t="s">
        <v>54</v>
      </c>
      <c r="AB151" t="s">
        <v>63</v>
      </c>
      <c r="AC151" s="9">
        <v>3</v>
      </c>
      <c r="AD151" s="9" t="str">
        <f t="shared" si="73"/>
        <v>N/A</v>
      </c>
      <c r="AE151" s="11" t="e">
        <f t="shared" si="74"/>
        <v>#VALUE!</v>
      </c>
    </row>
    <row r="152" spans="1:31" x14ac:dyDescent="0.3">
      <c r="A152">
        <v>22</v>
      </c>
      <c r="B152">
        <v>4838880</v>
      </c>
      <c r="C152" t="s">
        <v>42</v>
      </c>
      <c r="D152">
        <v>1444099</v>
      </c>
      <c r="E152" t="s">
        <v>75</v>
      </c>
      <c r="F152" t="s">
        <v>37</v>
      </c>
      <c r="G152" t="s">
        <v>195</v>
      </c>
      <c r="H152" t="s">
        <v>196</v>
      </c>
      <c r="I152" t="s">
        <v>338</v>
      </c>
      <c r="J152">
        <v>51154397150</v>
      </c>
      <c r="K152" t="s">
        <v>261</v>
      </c>
      <c r="L152" t="s">
        <v>539</v>
      </c>
      <c r="M152">
        <v>14000</v>
      </c>
      <c r="N152" s="10">
        <v>9.9299999999999999E-2</v>
      </c>
      <c r="O152" s="10">
        <f t="shared" si="71"/>
        <v>1390.2</v>
      </c>
      <c r="P152" s="10">
        <v>0</v>
      </c>
      <c r="Q152" s="10">
        <v>83.76</v>
      </c>
      <c r="R152" s="10">
        <f>IF(COUNTIF($J$2:J152,J152)=1,SUMIFS($O:$O,$J:$J,J152)+SUMIFS($P:$P,$J:$J,J152)+SUMIFS($Q:$Q,$J:$J,J152),"")</f>
        <v>1650.3</v>
      </c>
      <c r="S152" s="10">
        <v>1658.3000000000002</v>
      </c>
      <c r="T152" s="11" t="str">
        <f>IFERROR(INDEX(AD:AD,MATCH(J152,J:J,0)),"")</f>
        <v>Check</v>
      </c>
      <c r="U152" s="12">
        <v>46101</v>
      </c>
      <c r="V152" s="10">
        <v>268.10000000000002</v>
      </c>
      <c r="W152" s="10" t="str">
        <f t="shared" si="72"/>
        <v>Short Paid</v>
      </c>
      <c r="X152" t="s">
        <v>47</v>
      </c>
      <c r="Y152" t="s">
        <v>24</v>
      </c>
      <c r="Z152">
        <v>100283</v>
      </c>
      <c r="AA152" t="s">
        <v>48</v>
      </c>
      <c r="AB152" t="s">
        <v>248</v>
      </c>
      <c r="AC152" s="9">
        <v>2</v>
      </c>
      <c r="AD152" s="9" t="str">
        <f t="shared" si="73"/>
        <v>Check</v>
      </c>
      <c r="AE152" s="11">
        <f t="shared" si="74"/>
        <v>-8.0000000000002274</v>
      </c>
    </row>
    <row r="153" spans="1:31" x14ac:dyDescent="0.3">
      <c r="A153">
        <v>22</v>
      </c>
      <c r="B153">
        <v>4838880</v>
      </c>
      <c r="C153" t="s">
        <v>42</v>
      </c>
      <c r="D153">
        <v>1444099</v>
      </c>
      <c r="E153" t="s">
        <v>75</v>
      </c>
      <c r="F153" t="s">
        <v>37</v>
      </c>
      <c r="G153" t="s">
        <v>195</v>
      </c>
      <c r="H153" t="s">
        <v>196</v>
      </c>
      <c r="I153" t="s">
        <v>330</v>
      </c>
      <c r="J153">
        <v>51154397150</v>
      </c>
      <c r="K153" t="s">
        <v>305</v>
      </c>
      <c r="L153" t="s">
        <v>540</v>
      </c>
      <c r="M153">
        <v>3</v>
      </c>
      <c r="N153" s="10">
        <v>58.78</v>
      </c>
      <c r="O153" s="10">
        <f t="shared" si="71"/>
        <v>176.34</v>
      </c>
      <c r="P153" s="10" t="s">
        <v>562</v>
      </c>
      <c r="Q153" s="10" t="s">
        <v>562</v>
      </c>
      <c r="R153" s="10" t="str">
        <f>IF(COUNTIF($J$2:J153,J153)=1,SUMIFS($O:$O,$J:$J,J153)+SUMIFS($P:$P,$J:$J,J153)+SUMIFS($Q:$Q,$J:$J,J153),"")</f>
        <v/>
      </c>
      <c r="S153" s="10" t="s">
        <v>562</v>
      </c>
      <c r="T153" s="11" t="str">
        <f>IFERROR(INDEX(AD:AD,MATCH(J153,J:J,0)),"")</f>
        <v>Check</v>
      </c>
      <c r="U153" s="12">
        <v>46101</v>
      </c>
      <c r="V153" s="10">
        <v>268.10000000000002</v>
      </c>
      <c r="W153" s="10" t="str">
        <f t="shared" si="72"/>
        <v>N/A</v>
      </c>
      <c r="X153" t="s">
        <v>47</v>
      </c>
      <c r="Y153" t="s">
        <v>24</v>
      </c>
      <c r="Z153">
        <v>100283</v>
      </c>
      <c r="AA153" t="s">
        <v>48</v>
      </c>
      <c r="AB153" t="s">
        <v>248</v>
      </c>
      <c r="AC153" s="9">
        <v>2</v>
      </c>
      <c r="AD153" s="9" t="str">
        <f t="shared" si="73"/>
        <v>N/A</v>
      </c>
      <c r="AE153" s="11" t="e">
        <f t="shared" si="74"/>
        <v>#VALUE!</v>
      </c>
    </row>
    <row r="154" spans="1:31" x14ac:dyDescent="0.3">
      <c r="A154">
        <v>16</v>
      </c>
      <c r="B154">
        <v>4867822</v>
      </c>
      <c r="C154" t="s">
        <v>42</v>
      </c>
      <c r="D154">
        <v>1006248</v>
      </c>
      <c r="E154" t="s">
        <v>44</v>
      </c>
      <c r="F154" t="s">
        <v>20</v>
      </c>
      <c r="G154" t="s">
        <v>199</v>
      </c>
      <c r="H154" t="s">
        <v>200</v>
      </c>
      <c r="I154" t="s">
        <v>326</v>
      </c>
      <c r="J154">
        <v>51155848406</v>
      </c>
      <c r="K154" t="s">
        <v>399</v>
      </c>
      <c r="L154" t="s">
        <v>542</v>
      </c>
      <c r="M154">
        <v>190000</v>
      </c>
      <c r="N154" s="10">
        <v>1.5350000000000001E-2</v>
      </c>
      <c r="O154" s="10">
        <f t="shared" ref="O154:O155" si="75">M154*N154</f>
        <v>2916.5</v>
      </c>
      <c r="P154" s="10">
        <v>82.5</v>
      </c>
      <c r="Q154" s="10">
        <v>186.99</v>
      </c>
      <c r="R154" s="10">
        <f>IF(COUNTIF($J$2:J154,J154)=1,SUMIFS($O:$O,$J:$J,J154)+SUMIFS($P:$P,$J:$J,J154)+SUMIFS($Q:$Q,$J:$J,J154),"")</f>
        <v>3998.99</v>
      </c>
      <c r="S154" s="10">
        <v>3998.99</v>
      </c>
      <c r="T154" s="11" t="str">
        <f>IFERROR(INDEX(AD:AD,MATCH(J154,J:J,0)),"")</f>
        <v>Ok</v>
      </c>
      <c r="U154" s="12">
        <v>46097</v>
      </c>
      <c r="V154" s="10">
        <v>2916.5</v>
      </c>
      <c r="W154" s="10" t="str">
        <f t="shared" ref="W154:W155" si="76">IF(OR(S154="",V154=""),"N/A",IF(S154&lt;&gt;V154,"Short Paid","Not Paid"))</f>
        <v>Short Paid</v>
      </c>
      <c r="X154" t="s">
        <v>47</v>
      </c>
      <c r="Y154" t="s">
        <v>24</v>
      </c>
      <c r="Z154">
        <v>100163</v>
      </c>
      <c r="AA154" t="s">
        <v>51</v>
      </c>
      <c r="AB154" t="s">
        <v>63</v>
      </c>
      <c r="AC154" s="9">
        <v>2</v>
      </c>
      <c r="AD154" s="9" t="str">
        <f t="shared" ref="AD154:AD155" si="77">IF(AND(R154="",S154=""),"N/A",IF(R154=S154,"Ok","Check"))</f>
        <v>Ok</v>
      </c>
      <c r="AE154" s="11">
        <f t="shared" ref="AE154:AE157" si="78">R154-S154</f>
        <v>0</v>
      </c>
    </row>
    <row r="155" spans="1:31" x14ac:dyDescent="0.3">
      <c r="A155">
        <v>16</v>
      </c>
      <c r="B155">
        <v>4867822</v>
      </c>
      <c r="C155" t="s">
        <v>42</v>
      </c>
      <c r="D155">
        <v>1006248</v>
      </c>
      <c r="E155" t="s">
        <v>44</v>
      </c>
      <c r="F155" t="s">
        <v>20</v>
      </c>
      <c r="G155" t="s">
        <v>199</v>
      </c>
      <c r="H155" t="s">
        <v>200</v>
      </c>
      <c r="I155" t="s">
        <v>256</v>
      </c>
      <c r="J155">
        <v>51155848406</v>
      </c>
      <c r="K155" t="s">
        <v>257</v>
      </c>
      <c r="L155" t="s">
        <v>352</v>
      </c>
      <c r="M155">
        <v>30000</v>
      </c>
      <c r="N155" s="10">
        <v>2.7099999999999999E-2</v>
      </c>
      <c r="O155" s="10">
        <f t="shared" si="75"/>
        <v>813</v>
      </c>
      <c r="P155" s="10" t="s">
        <v>562</v>
      </c>
      <c r="Q155" s="10" t="s">
        <v>562</v>
      </c>
      <c r="R155" s="10" t="str">
        <f>IF(COUNTIF($J$2:J155,J155)=1,SUMIFS($O:$O,$J:$J,J155)+SUMIFS($P:$P,$J:$J,J155)+SUMIFS($Q:$Q,$J:$J,J155),"")</f>
        <v/>
      </c>
      <c r="S155" s="10" t="s">
        <v>562</v>
      </c>
      <c r="T155" s="11" t="str">
        <f>IFERROR(INDEX(AD:AD,MATCH(J155,J:J,0)),"")</f>
        <v>Ok</v>
      </c>
      <c r="U155" s="12">
        <v>46097</v>
      </c>
      <c r="V155" s="10">
        <v>2916.5</v>
      </c>
      <c r="W155" s="10" t="str">
        <f t="shared" si="76"/>
        <v>N/A</v>
      </c>
      <c r="X155" t="s">
        <v>47</v>
      </c>
      <c r="Y155" t="s">
        <v>24</v>
      </c>
      <c r="Z155">
        <v>100163</v>
      </c>
      <c r="AA155" t="s">
        <v>51</v>
      </c>
      <c r="AB155" t="s">
        <v>63</v>
      </c>
      <c r="AC155" s="9">
        <v>2</v>
      </c>
      <c r="AD155" s="9" t="str">
        <f t="shared" si="77"/>
        <v>N/A</v>
      </c>
      <c r="AE155" s="11" t="e">
        <f t="shared" si="78"/>
        <v>#VALUE!</v>
      </c>
    </row>
    <row r="156" spans="1:31" x14ac:dyDescent="0.3">
      <c r="A156">
        <v>17</v>
      </c>
      <c r="B156">
        <v>4861143</v>
      </c>
      <c r="C156" t="s">
        <v>42</v>
      </c>
      <c r="D156">
        <v>1815641</v>
      </c>
      <c r="E156" t="s">
        <v>76</v>
      </c>
      <c r="F156" t="s">
        <v>20</v>
      </c>
      <c r="G156" t="s">
        <v>197</v>
      </c>
      <c r="H156" t="s">
        <v>198</v>
      </c>
      <c r="I156" t="s">
        <v>340</v>
      </c>
      <c r="J156">
        <v>51155875980</v>
      </c>
      <c r="K156" t="s">
        <v>278</v>
      </c>
      <c r="L156" t="s">
        <v>424</v>
      </c>
      <c r="M156">
        <v>40000</v>
      </c>
      <c r="N156" s="10">
        <v>1.506E-2</v>
      </c>
      <c r="O156" s="10">
        <f t="shared" ref="O156:O159" si="79">M156*N156</f>
        <v>602.4</v>
      </c>
      <c r="P156" s="10">
        <v>49.7</v>
      </c>
      <c r="Q156" s="10">
        <v>16827.16</v>
      </c>
      <c r="R156" s="10">
        <f>IF(COUNTIF($J$2:J156,J156)=1,SUMIFS($O:$O,$J:$J,J156)+SUMIFS($P:$P,$J:$J,J156)+SUMIFS($Q:$Q,$J:$J,J156),"")</f>
        <v>68011.259999999995</v>
      </c>
      <c r="S156" s="10">
        <v>68023.570000000007</v>
      </c>
      <c r="T156" s="11" t="str">
        <f>IFERROR(INDEX(AD:AD,MATCH(J156,J:J,0)),"")</f>
        <v>Check</v>
      </c>
      <c r="U156" s="12">
        <v>46071</v>
      </c>
      <c r="V156" s="10">
        <v>67371.47</v>
      </c>
      <c r="W156" s="10" t="str">
        <f t="shared" ref="W156:W159" si="80">IF(OR(S156="",V156=""),"N/A",IF(S156&lt;&gt;V156,"Short Paid","Not Paid"))</f>
        <v>Short Paid</v>
      </c>
      <c r="X156" t="s">
        <v>47</v>
      </c>
      <c r="Y156" t="s">
        <v>24</v>
      </c>
      <c r="Z156">
        <v>100283</v>
      </c>
      <c r="AA156" t="s">
        <v>48</v>
      </c>
      <c r="AB156" t="s">
        <v>63</v>
      </c>
      <c r="AC156" s="9">
        <v>2</v>
      </c>
      <c r="AD156" s="9" t="str">
        <f t="shared" ref="AD156:AD159" si="81">IF(AND(R156="",S156=""),"N/A",IF(R156=S156,"Ok","Check"))</f>
        <v>Check</v>
      </c>
      <c r="AE156" s="11">
        <f t="shared" si="78"/>
        <v>-12.310000000012224</v>
      </c>
    </row>
    <row r="157" spans="1:31" x14ac:dyDescent="0.3">
      <c r="A157">
        <v>17</v>
      </c>
      <c r="B157">
        <v>4861143</v>
      </c>
      <c r="C157" t="s">
        <v>42</v>
      </c>
      <c r="D157">
        <v>1815641</v>
      </c>
      <c r="E157" t="s">
        <v>76</v>
      </c>
      <c r="F157" t="s">
        <v>20</v>
      </c>
      <c r="G157" t="s">
        <v>197</v>
      </c>
      <c r="H157" t="s">
        <v>198</v>
      </c>
      <c r="I157" t="s">
        <v>341</v>
      </c>
      <c r="J157">
        <v>51155875980</v>
      </c>
      <c r="K157" t="s">
        <v>439</v>
      </c>
      <c r="L157" t="s">
        <v>543</v>
      </c>
      <c r="M157">
        <v>2</v>
      </c>
      <c r="N157" s="10">
        <v>25266</v>
      </c>
      <c r="O157" s="10">
        <f t="shared" si="79"/>
        <v>50532</v>
      </c>
      <c r="P157" s="10" t="s">
        <v>562</v>
      </c>
      <c r="Q157" s="10" t="s">
        <v>562</v>
      </c>
      <c r="R157" s="10" t="str">
        <f>IF(COUNTIF($J$2:J157,J157)=1,SUMIFS($O:$O,$J:$J,J157)+SUMIFS($P:$P,$J:$J,J157)+SUMIFS($Q:$Q,$J:$J,J157),"")</f>
        <v/>
      </c>
      <c r="S157" s="10" t="s">
        <v>562</v>
      </c>
      <c r="T157" s="11" t="str">
        <f>IFERROR(INDEX(AD:AD,MATCH(J157,J:J,0)),"")</f>
        <v>Check</v>
      </c>
      <c r="U157" s="12">
        <v>46071</v>
      </c>
      <c r="V157" s="10">
        <v>67371.47</v>
      </c>
      <c r="W157" s="10" t="str">
        <f t="shared" si="80"/>
        <v>N/A</v>
      </c>
      <c r="X157" t="s">
        <v>47</v>
      </c>
      <c r="Y157" t="s">
        <v>24</v>
      </c>
      <c r="Z157">
        <v>100283</v>
      </c>
      <c r="AA157" t="s">
        <v>48</v>
      </c>
      <c r="AB157" t="s">
        <v>63</v>
      </c>
      <c r="AC157" s="9">
        <v>2</v>
      </c>
      <c r="AD157" s="9" t="str">
        <f t="shared" si="81"/>
        <v>N/A</v>
      </c>
      <c r="AE157" s="11" t="e">
        <f t="shared" si="78"/>
        <v>#VALUE!</v>
      </c>
    </row>
    <row r="158" spans="1:31" x14ac:dyDescent="0.3">
      <c r="A158">
        <v>16</v>
      </c>
      <c r="B158">
        <v>4868379</v>
      </c>
      <c r="C158" t="s">
        <v>42</v>
      </c>
      <c r="D158">
        <v>1006248</v>
      </c>
      <c r="E158" t="s">
        <v>44</v>
      </c>
      <c r="F158" t="s">
        <v>20</v>
      </c>
      <c r="G158" t="s">
        <v>201</v>
      </c>
      <c r="H158" t="s">
        <v>202</v>
      </c>
      <c r="I158" t="s">
        <v>365</v>
      </c>
      <c r="J158">
        <v>51155956454</v>
      </c>
      <c r="K158" t="s">
        <v>399</v>
      </c>
      <c r="L158" t="s">
        <v>542</v>
      </c>
      <c r="M158">
        <v>114000</v>
      </c>
      <c r="N158" s="10">
        <v>1.5350000000000001E-2</v>
      </c>
      <c r="O158" s="10">
        <f t="shared" si="79"/>
        <v>1749.9</v>
      </c>
      <c r="P158" s="10">
        <v>1064.8399999999999</v>
      </c>
      <c r="Q158" s="10">
        <v>2413.5300000000002</v>
      </c>
      <c r="R158" s="10">
        <f>IF(COUNTIF($J$2:J158,J158)=1,SUMIFS($O:$O,$J:$J,J158)+SUMIFS($P:$P,$J:$J,J158)+SUMIFS($Q:$Q,$J:$J,J158),"")</f>
        <v>15721.87</v>
      </c>
      <c r="S158" s="10">
        <v>15721.869999999999</v>
      </c>
      <c r="T158" s="11" t="str">
        <f>IFERROR(INDEX(AD:AD,MATCH(J158,J:J,0)),"")</f>
        <v>Ok</v>
      </c>
      <c r="U158" s="12">
        <v>46062</v>
      </c>
      <c r="V158" s="10">
        <v>1749.9</v>
      </c>
      <c r="W158" s="10" t="str">
        <f t="shared" si="80"/>
        <v>Short Paid</v>
      </c>
      <c r="X158" t="s">
        <v>47</v>
      </c>
      <c r="Y158" t="s">
        <v>24</v>
      </c>
      <c r="Z158">
        <v>100203</v>
      </c>
      <c r="AA158" t="s">
        <v>49</v>
      </c>
      <c r="AB158" t="s">
        <v>63</v>
      </c>
      <c r="AC158" s="9">
        <v>2</v>
      </c>
      <c r="AD158" s="9" t="str">
        <f t="shared" si="81"/>
        <v>Ok</v>
      </c>
      <c r="AE158" s="11">
        <f t="shared" ref="AE158:AE159" si="82">R158-S158</f>
        <v>0</v>
      </c>
    </row>
    <row r="159" spans="1:31" x14ac:dyDescent="0.3">
      <c r="A159">
        <v>16</v>
      </c>
      <c r="B159">
        <v>4868379</v>
      </c>
      <c r="C159" t="s">
        <v>42</v>
      </c>
      <c r="D159">
        <v>1006248</v>
      </c>
      <c r="E159" t="s">
        <v>44</v>
      </c>
      <c r="F159" t="s">
        <v>20</v>
      </c>
      <c r="G159" t="s">
        <v>201</v>
      </c>
      <c r="H159" t="s">
        <v>202</v>
      </c>
      <c r="I159" t="s">
        <v>368</v>
      </c>
      <c r="J159">
        <v>51155956454</v>
      </c>
      <c r="K159" t="s">
        <v>417</v>
      </c>
      <c r="L159" t="s">
        <v>416</v>
      </c>
      <c r="M159">
        <v>13000</v>
      </c>
      <c r="N159" s="10">
        <v>0.80720000000000003</v>
      </c>
      <c r="O159" s="10">
        <f t="shared" si="79"/>
        <v>10493.6</v>
      </c>
      <c r="P159" s="10" t="s">
        <v>562</v>
      </c>
      <c r="Q159" s="10" t="s">
        <v>562</v>
      </c>
      <c r="R159" s="10" t="str">
        <f>IF(COUNTIF($J$2:J159,J159)=1,SUMIFS($O:$O,$J:$J,J159)+SUMIFS($P:$P,$J:$J,J159)+SUMIFS($Q:$Q,$J:$J,J159),"")</f>
        <v/>
      </c>
      <c r="S159" s="10" t="s">
        <v>562</v>
      </c>
      <c r="T159" s="11" t="str">
        <f>IFERROR(INDEX(AD:AD,MATCH(J159,J:J,0)),"")</f>
        <v>Ok</v>
      </c>
      <c r="U159" s="12">
        <v>46062</v>
      </c>
      <c r="V159" s="10">
        <v>1749.9</v>
      </c>
      <c r="W159" s="10" t="str">
        <f t="shared" si="80"/>
        <v>N/A</v>
      </c>
      <c r="X159" t="s">
        <v>47</v>
      </c>
      <c r="Y159" t="s">
        <v>24</v>
      </c>
      <c r="Z159">
        <v>100203</v>
      </c>
      <c r="AA159" t="s">
        <v>49</v>
      </c>
      <c r="AB159" t="s">
        <v>63</v>
      </c>
      <c r="AC159" s="9">
        <v>2</v>
      </c>
      <c r="AD159" s="9" t="str">
        <f t="shared" si="81"/>
        <v>N/A</v>
      </c>
      <c r="AE159" s="11" t="e">
        <f t="shared" si="82"/>
        <v>#VALUE!</v>
      </c>
    </row>
    <row r="160" spans="1:31" x14ac:dyDescent="0.3">
      <c r="A160">
        <v>3</v>
      </c>
      <c r="B160">
        <v>4954647</v>
      </c>
      <c r="C160" t="s">
        <v>42</v>
      </c>
      <c r="D160">
        <v>1012428</v>
      </c>
      <c r="E160" t="s">
        <v>560</v>
      </c>
      <c r="F160" t="s">
        <v>17</v>
      </c>
      <c r="G160" t="s">
        <v>210</v>
      </c>
      <c r="H160" t="s">
        <v>211</v>
      </c>
      <c r="I160" t="s">
        <v>323</v>
      </c>
      <c r="J160">
        <v>51158533134</v>
      </c>
      <c r="K160" t="s">
        <v>546</v>
      </c>
      <c r="L160" t="s">
        <v>545</v>
      </c>
      <c r="M160">
        <v>2</v>
      </c>
      <c r="N160" s="10">
        <v>6331.76</v>
      </c>
      <c r="O160" s="10">
        <f t="shared" ref="O160:O169" si="83">M160*N160</f>
        <v>12663.52</v>
      </c>
      <c r="P160" s="10">
        <v>899.84</v>
      </c>
      <c r="Q160" s="10">
        <v>899.11</v>
      </c>
      <c r="R160" s="10">
        <f>IF(COUNTIF($J$2:J160,J160)=1,SUMIFS($O:$O,$J:$J,J160)+SUMIFS($P:$P,$J:$J,J160)+SUMIFS($Q:$Q,$J:$J,J160),"")</f>
        <v>20290.79</v>
      </c>
      <c r="S160" s="10">
        <v>20310.68</v>
      </c>
      <c r="T160" s="11" t="str">
        <f>IFERROR(INDEX(AD:AD,MATCH(J160,J:J,0)),"")</f>
        <v>Check</v>
      </c>
      <c r="U160" s="12">
        <v>46134</v>
      </c>
      <c r="V160" s="10">
        <v>14482.36</v>
      </c>
      <c r="W160" s="10" t="str">
        <f t="shared" ref="W160:W169" si="84">IF(OR(S160="",V160=""),"N/A",IF(S160&lt;&gt;V160,"Short Paid","Not Paid"))</f>
        <v>Short Paid</v>
      </c>
      <c r="X160" t="s">
        <v>47</v>
      </c>
      <c r="Y160" t="s">
        <v>46</v>
      </c>
      <c r="Z160">
        <v>100253</v>
      </c>
      <c r="AA160" t="s">
        <v>252</v>
      </c>
      <c r="AB160" t="s">
        <v>67</v>
      </c>
      <c r="AC160" s="9">
        <v>6</v>
      </c>
      <c r="AD160" s="9" t="str">
        <f t="shared" ref="AD160:AD169" si="85">IF(AND(R160="",S160=""),"N/A",IF(R160=S160,"Ok","Check"))</f>
        <v>Check</v>
      </c>
      <c r="AE160" s="11">
        <f t="shared" ref="AE160:AE169" si="86">R160-S160</f>
        <v>-19.889999999999418</v>
      </c>
    </row>
    <row r="161" spans="1:31" x14ac:dyDescent="0.3">
      <c r="A161">
        <v>3</v>
      </c>
      <c r="B161">
        <v>4954647</v>
      </c>
      <c r="C161" t="s">
        <v>42</v>
      </c>
      <c r="D161">
        <v>1012428</v>
      </c>
      <c r="E161" t="s">
        <v>560</v>
      </c>
      <c r="F161" t="s">
        <v>17</v>
      </c>
      <c r="G161" t="s">
        <v>210</v>
      </c>
      <c r="H161" t="s">
        <v>211</v>
      </c>
      <c r="I161" t="s">
        <v>276</v>
      </c>
      <c r="J161">
        <v>51158533134</v>
      </c>
      <c r="K161" t="s">
        <v>261</v>
      </c>
      <c r="L161" t="s">
        <v>460</v>
      </c>
      <c r="M161">
        <v>20000</v>
      </c>
      <c r="N161" s="10">
        <v>1.4500000000000001E-2</v>
      </c>
      <c r="O161" s="10">
        <f t="shared" si="83"/>
        <v>290</v>
      </c>
      <c r="P161" s="10" t="s">
        <v>562</v>
      </c>
      <c r="Q161" s="10" t="s">
        <v>562</v>
      </c>
      <c r="R161" s="10" t="str">
        <f>IF(COUNTIF($J$2:J161,J161)=1,SUMIFS($O:$O,$J:$J,J161)+SUMIFS($P:$P,$J:$J,J161)+SUMIFS($Q:$Q,$J:$J,J161),"")</f>
        <v/>
      </c>
      <c r="S161" s="10" t="s">
        <v>562</v>
      </c>
      <c r="T161" s="11" t="str">
        <f>IFERROR(INDEX(AD:AD,MATCH(J161,J:J,0)),"")</f>
        <v>Check</v>
      </c>
      <c r="U161" s="12">
        <v>46134</v>
      </c>
      <c r="V161" s="10">
        <v>14482.36</v>
      </c>
      <c r="W161" s="10" t="str">
        <f t="shared" si="84"/>
        <v>N/A</v>
      </c>
      <c r="X161" t="s">
        <v>47</v>
      </c>
      <c r="Y161" t="s">
        <v>46</v>
      </c>
      <c r="Z161">
        <v>100253</v>
      </c>
      <c r="AA161" t="s">
        <v>252</v>
      </c>
      <c r="AB161" t="s">
        <v>67</v>
      </c>
      <c r="AC161" s="9">
        <v>6</v>
      </c>
      <c r="AD161" s="9" t="str">
        <f t="shared" si="85"/>
        <v>N/A</v>
      </c>
      <c r="AE161" s="11" t="e">
        <f t="shared" si="86"/>
        <v>#VALUE!</v>
      </c>
    </row>
    <row r="162" spans="1:31" x14ac:dyDescent="0.3">
      <c r="A162">
        <v>3</v>
      </c>
      <c r="B162">
        <v>4954647</v>
      </c>
      <c r="C162" t="s">
        <v>42</v>
      </c>
      <c r="D162">
        <v>1012428</v>
      </c>
      <c r="E162" t="s">
        <v>560</v>
      </c>
      <c r="F162" t="s">
        <v>17</v>
      </c>
      <c r="G162" t="s">
        <v>210</v>
      </c>
      <c r="H162" t="s">
        <v>211</v>
      </c>
      <c r="I162" t="s">
        <v>276</v>
      </c>
      <c r="J162">
        <v>51158533134</v>
      </c>
      <c r="K162" t="s">
        <v>261</v>
      </c>
      <c r="L162" t="s">
        <v>541</v>
      </c>
      <c r="M162">
        <v>16000</v>
      </c>
      <c r="N162" s="10">
        <v>6.1399999999999996E-3</v>
      </c>
      <c r="O162" s="10">
        <f t="shared" si="83"/>
        <v>98.24</v>
      </c>
      <c r="P162" s="10" t="s">
        <v>562</v>
      </c>
      <c r="Q162" s="10" t="s">
        <v>562</v>
      </c>
      <c r="R162" s="10" t="str">
        <f>IF(COUNTIF($J$2:J162,J162)=1,SUMIFS($O:$O,$J:$J,J162)+SUMIFS($P:$P,$J:$J,J162)+SUMIFS($Q:$Q,$J:$J,J162),"")</f>
        <v/>
      </c>
      <c r="S162" s="10" t="s">
        <v>562</v>
      </c>
      <c r="T162" s="11" t="str">
        <f>IFERROR(INDEX(AD:AD,MATCH(J162,J:J,0)),"")</f>
        <v>Check</v>
      </c>
      <c r="U162" s="12">
        <v>46134</v>
      </c>
      <c r="V162" s="10">
        <v>14482.36</v>
      </c>
      <c r="W162" s="10" t="str">
        <f t="shared" si="84"/>
        <v>N/A</v>
      </c>
      <c r="X162" t="s">
        <v>47</v>
      </c>
      <c r="Y162" t="s">
        <v>46</v>
      </c>
      <c r="Z162">
        <v>100253</v>
      </c>
      <c r="AA162" t="s">
        <v>252</v>
      </c>
      <c r="AB162" t="s">
        <v>67</v>
      </c>
      <c r="AC162" s="9">
        <v>6</v>
      </c>
      <c r="AD162" s="9" t="str">
        <f t="shared" si="85"/>
        <v>N/A</v>
      </c>
      <c r="AE162" s="11" t="e">
        <f t="shared" si="86"/>
        <v>#VALUE!</v>
      </c>
    </row>
    <row r="163" spans="1:31" x14ac:dyDescent="0.3">
      <c r="A163">
        <v>3</v>
      </c>
      <c r="B163">
        <v>4954647</v>
      </c>
      <c r="C163" t="s">
        <v>42</v>
      </c>
      <c r="D163">
        <v>1012428</v>
      </c>
      <c r="E163" t="s">
        <v>560</v>
      </c>
      <c r="F163" t="s">
        <v>17</v>
      </c>
      <c r="G163" t="s">
        <v>210</v>
      </c>
      <c r="H163" t="s">
        <v>211</v>
      </c>
      <c r="I163" t="s">
        <v>276</v>
      </c>
      <c r="J163">
        <v>51158533134</v>
      </c>
      <c r="K163" t="s">
        <v>303</v>
      </c>
      <c r="L163" t="s">
        <v>461</v>
      </c>
      <c r="M163">
        <v>1944</v>
      </c>
      <c r="N163" s="10">
        <v>1.27</v>
      </c>
      <c r="O163" s="10">
        <f t="shared" si="83"/>
        <v>2468.88</v>
      </c>
      <c r="P163" s="10" t="s">
        <v>562</v>
      </c>
      <c r="Q163" s="10" t="s">
        <v>562</v>
      </c>
      <c r="R163" s="10" t="str">
        <f>IF(COUNTIF($J$2:J163,J163)=1,SUMIFS($O:$O,$J:$J,J163)+SUMIFS($P:$P,$J:$J,J163)+SUMIFS($Q:$Q,$J:$J,J163),"")</f>
        <v/>
      </c>
      <c r="S163" s="10" t="s">
        <v>562</v>
      </c>
      <c r="T163" s="11" t="str">
        <f>IFERROR(INDEX(AD:AD,MATCH(J163,J:J,0)),"")</f>
        <v>Check</v>
      </c>
      <c r="U163" s="12">
        <v>46134</v>
      </c>
      <c r="V163" s="10">
        <v>14482.36</v>
      </c>
      <c r="W163" s="10" t="str">
        <f t="shared" si="84"/>
        <v>N/A</v>
      </c>
      <c r="X163" t="s">
        <v>47</v>
      </c>
      <c r="Y163" t="s">
        <v>46</v>
      </c>
      <c r="Z163">
        <v>100253</v>
      </c>
      <c r="AA163" t="s">
        <v>252</v>
      </c>
      <c r="AB163" t="s">
        <v>67</v>
      </c>
      <c r="AC163" s="9">
        <v>6</v>
      </c>
      <c r="AD163" s="9" t="str">
        <f t="shared" si="85"/>
        <v>N/A</v>
      </c>
      <c r="AE163" s="11" t="e">
        <f t="shared" si="86"/>
        <v>#VALUE!</v>
      </c>
    </row>
    <row r="164" spans="1:31" x14ac:dyDescent="0.3">
      <c r="A164">
        <v>3</v>
      </c>
      <c r="B164">
        <v>4954647</v>
      </c>
      <c r="C164" t="s">
        <v>42</v>
      </c>
      <c r="D164">
        <v>1012428</v>
      </c>
      <c r="E164" t="s">
        <v>560</v>
      </c>
      <c r="F164" t="s">
        <v>17</v>
      </c>
      <c r="G164" t="s">
        <v>210</v>
      </c>
      <c r="H164" t="s">
        <v>211</v>
      </c>
      <c r="I164" t="s">
        <v>276</v>
      </c>
      <c r="J164">
        <v>51158533134</v>
      </c>
      <c r="K164" t="s">
        <v>257</v>
      </c>
      <c r="L164" t="s">
        <v>528</v>
      </c>
      <c r="M164">
        <v>6000</v>
      </c>
      <c r="N164" s="10">
        <v>1.0200000000000001E-2</v>
      </c>
      <c r="O164" s="10">
        <f t="shared" si="83"/>
        <v>61.2</v>
      </c>
      <c r="P164" s="10" t="s">
        <v>562</v>
      </c>
      <c r="Q164" s="10" t="s">
        <v>562</v>
      </c>
      <c r="R164" s="10" t="str">
        <f>IF(COUNTIF($J$2:J164,J164)=1,SUMIFS($O:$O,$J:$J,J164)+SUMIFS($P:$P,$J:$J,J164)+SUMIFS($Q:$Q,$J:$J,J164),"")</f>
        <v/>
      </c>
      <c r="S164" s="10" t="s">
        <v>562</v>
      </c>
      <c r="T164" s="11" t="str">
        <f>IFERROR(INDEX(AD:AD,MATCH(J164,J:J,0)),"")</f>
        <v>Check</v>
      </c>
      <c r="U164" s="12">
        <v>46134</v>
      </c>
      <c r="V164" s="10">
        <v>14482.36</v>
      </c>
      <c r="W164" s="10" t="str">
        <f t="shared" si="84"/>
        <v>N/A</v>
      </c>
      <c r="X164" t="s">
        <v>47</v>
      </c>
      <c r="Y164" t="s">
        <v>46</v>
      </c>
      <c r="Z164">
        <v>100253</v>
      </c>
      <c r="AA164" t="s">
        <v>252</v>
      </c>
      <c r="AB164" t="s">
        <v>67</v>
      </c>
      <c r="AC164" s="9">
        <v>6</v>
      </c>
      <c r="AD164" s="9" t="str">
        <f t="shared" si="85"/>
        <v>N/A</v>
      </c>
      <c r="AE164" s="11" t="e">
        <f t="shared" si="86"/>
        <v>#VALUE!</v>
      </c>
    </row>
    <row r="165" spans="1:31" x14ac:dyDescent="0.3">
      <c r="A165">
        <v>3</v>
      </c>
      <c r="B165">
        <v>4954647</v>
      </c>
      <c r="C165" t="s">
        <v>42</v>
      </c>
      <c r="D165">
        <v>1012428</v>
      </c>
      <c r="E165" t="s">
        <v>560</v>
      </c>
      <c r="F165" t="s">
        <v>17</v>
      </c>
      <c r="G165" t="s">
        <v>210</v>
      </c>
      <c r="H165" t="s">
        <v>211</v>
      </c>
      <c r="I165" t="s">
        <v>276</v>
      </c>
      <c r="J165">
        <v>51158533134</v>
      </c>
      <c r="K165" t="s">
        <v>277</v>
      </c>
      <c r="L165" t="s">
        <v>458</v>
      </c>
      <c r="M165">
        <v>100000</v>
      </c>
      <c r="N165" s="10">
        <v>2.9100000000000001E-2</v>
      </c>
      <c r="O165" s="10">
        <f t="shared" si="83"/>
        <v>2910</v>
      </c>
      <c r="P165" s="10" t="s">
        <v>562</v>
      </c>
      <c r="Q165" s="10" t="s">
        <v>562</v>
      </c>
      <c r="R165" s="10" t="str">
        <f>IF(COUNTIF($J$2:J165,J165)=1,SUMIFS($O:$O,$J:$J,J165)+SUMIFS($P:$P,$J:$J,J165)+SUMIFS($Q:$Q,$J:$J,J165),"")</f>
        <v/>
      </c>
      <c r="S165" s="10" t="s">
        <v>562</v>
      </c>
      <c r="T165" s="11" t="str">
        <f>IFERROR(INDEX(AD:AD,MATCH(J165,J:J,0)),"")</f>
        <v>Check</v>
      </c>
      <c r="U165" s="12">
        <v>46134</v>
      </c>
      <c r="V165" s="10">
        <v>14482.36</v>
      </c>
      <c r="W165" s="10" t="str">
        <f t="shared" si="84"/>
        <v>N/A</v>
      </c>
      <c r="X165" t="s">
        <v>47</v>
      </c>
      <c r="Y165" t="s">
        <v>46</v>
      </c>
      <c r="Z165">
        <v>100253</v>
      </c>
      <c r="AA165" t="s">
        <v>252</v>
      </c>
      <c r="AB165" t="s">
        <v>67</v>
      </c>
      <c r="AC165" s="9">
        <v>6</v>
      </c>
      <c r="AD165" s="9" t="str">
        <f t="shared" si="85"/>
        <v>N/A</v>
      </c>
      <c r="AE165" s="11" t="e">
        <f t="shared" si="86"/>
        <v>#VALUE!</v>
      </c>
    </row>
    <row r="166" spans="1:31" x14ac:dyDescent="0.3">
      <c r="A166">
        <v>3</v>
      </c>
      <c r="B166">
        <v>4954090</v>
      </c>
      <c r="C166" t="s">
        <v>42</v>
      </c>
      <c r="D166">
        <v>1507694</v>
      </c>
      <c r="E166" t="s">
        <v>45</v>
      </c>
      <c r="F166" t="s">
        <v>22</v>
      </c>
      <c r="G166" t="s">
        <v>212</v>
      </c>
      <c r="H166" t="s">
        <v>213</v>
      </c>
      <c r="I166" t="s">
        <v>368</v>
      </c>
      <c r="J166">
        <v>51158602796</v>
      </c>
      <c r="K166" t="s">
        <v>284</v>
      </c>
      <c r="L166" t="s">
        <v>283</v>
      </c>
      <c r="M166">
        <v>1000</v>
      </c>
      <c r="N166" s="10">
        <v>1.41882</v>
      </c>
      <c r="O166" s="10">
        <f t="shared" si="83"/>
        <v>1418.82</v>
      </c>
      <c r="P166" s="10">
        <v>0</v>
      </c>
      <c r="Q166" s="10">
        <v>5374.630000000001</v>
      </c>
      <c r="R166" s="10">
        <f>IF(COUNTIF($J$2:J166,J166)=1,SUMIFS($O:$O,$J:$J,J166)+SUMIFS($P:$P,$J:$J,J166)+SUMIFS($Q:$Q,$J:$J,J166),"")</f>
        <v>14863.45</v>
      </c>
      <c r="S166" s="10">
        <v>22933.45</v>
      </c>
      <c r="T166" s="11" t="str">
        <f>IFERROR(INDEX(AD:AD,MATCH(J166,J:J,0)),"")</f>
        <v>Check</v>
      </c>
      <c r="U166" s="12">
        <v>46175</v>
      </c>
      <c r="V166" s="10">
        <v>9794.6299999999992</v>
      </c>
      <c r="W166" s="10" t="str">
        <f t="shared" si="84"/>
        <v>Short Paid</v>
      </c>
      <c r="X166" t="s">
        <v>47</v>
      </c>
      <c r="Y166" t="s">
        <v>33</v>
      </c>
      <c r="Z166">
        <v>100103</v>
      </c>
      <c r="AA166" t="s">
        <v>250</v>
      </c>
      <c r="AB166" t="s">
        <v>64</v>
      </c>
      <c r="AC166" s="9">
        <v>2</v>
      </c>
      <c r="AD166" s="9" t="str">
        <f t="shared" si="85"/>
        <v>Check</v>
      </c>
      <c r="AE166" s="11">
        <f t="shared" si="86"/>
        <v>-8070</v>
      </c>
    </row>
    <row r="167" spans="1:31" x14ac:dyDescent="0.3">
      <c r="A167">
        <v>3</v>
      </c>
      <c r="B167">
        <v>4954090</v>
      </c>
      <c r="C167" t="s">
        <v>42</v>
      </c>
      <c r="D167">
        <v>1507694</v>
      </c>
      <c r="E167" t="s">
        <v>45</v>
      </c>
      <c r="F167" t="s">
        <v>22</v>
      </c>
      <c r="G167" t="s">
        <v>212</v>
      </c>
      <c r="H167" t="s">
        <v>213</v>
      </c>
      <c r="I167" t="s">
        <v>423</v>
      </c>
      <c r="J167">
        <v>51158602796</v>
      </c>
      <c r="K167" t="s">
        <v>286</v>
      </c>
      <c r="L167" t="s">
        <v>547</v>
      </c>
      <c r="M167">
        <v>2000</v>
      </c>
      <c r="N167" s="10">
        <v>4.0350000000000001</v>
      </c>
      <c r="O167" s="10">
        <f t="shared" si="83"/>
        <v>8070</v>
      </c>
      <c r="P167" s="10" t="s">
        <v>562</v>
      </c>
      <c r="Q167" s="10" t="s">
        <v>562</v>
      </c>
      <c r="R167" s="10" t="str">
        <f>IF(COUNTIF($J$2:J167,J167)=1,SUMIFS($O:$O,$J:$J,J167)+SUMIFS($P:$P,$J:$J,J167)+SUMIFS($Q:$Q,$J:$J,J167),"")</f>
        <v/>
      </c>
      <c r="S167" s="10" t="s">
        <v>562</v>
      </c>
      <c r="T167" s="11" t="str">
        <f>IFERROR(INDEX(AD:AD,MATCH(J167,J:J,0)),"")</f>
        <v>Check</v>
      </c>
      <c r="U167" s="12">
        <v>46175</v>
      </c>
      <c r="V167" s="10">
        <v>9794.6299999999992</v>
      </c>
      <c r="W167" s="10" t="str">
        <f t="shared" si="84"/>
        <v>N/A</v>
      </c>
      <c r="X167" t="s">
        <v>47</v>
      </c>
      <c r="Y167" t="s">
        <v>33</v>
      </c>
      <c r="Z167">
        <v>100103</v>
      </c>
      <c r="AA167" t="s">
        <v>250</v>
      </c>
      <c r="AB167" t="s">
        <v>64</v>
      </c>
      <c r="AC167" s="9">
        <v>2</v>
      </c>
      <c r="AD167" s="9" t="str">
        <f t="shared" si="85"/>
        <v>N/A</v>
      </c>
      <c r="AE167" s="11" t="e">
        <f t="shared" si="86"/>
        <v>#VALUE!</v>
      </c>
    </row>
    <row r="168" spans="1:31" x14ac:dyDescent="0.3">
      <c r="A168">
        <v>9</v>
      </c>
      <c r="B168">
        <v>4908173</v>
      </c>
      <c r="C168" t="s">
        <v>42</v>
      </c>
      <c r="D168">
        <v>1230147</v>
      </c>
      <c r="E168" t="s">
        <v>559</v>
      </c>
      <c r="F168" t="s">
        <v>20</v>
      </c>
      <c r="G168" t="s">
        <v>561</v>
      </c>
      <c r="H168" t="s">
        <v>205</v>
      </c>
      <c r="I168" t="s">
        <v>403</v>
      </c>
      <c r="J168">
        <v>51158624431</v>
      </c>
      <c r="K168" s="12">
        <v>36586</v>
      </c>
      <c r="L168" t="s">
        <v>548</v>
      </c>
      <c r="M168">
        <v>3</v>
      </c>
      <c r="N168" s="10">
        <v>1906.5</v>
      </c>
      <c r="O168" s="10">
        <f t="shared" si="83"/>
        <v>5719.5</v>
      </c>
      <c r="P168" s="10">
        <v>0</v>
      </c>
      <c r="Q168" s="10">
        <v>1630.06</v>
      </c>
      <c r="R168" s="10">
        <f>IF(COUNTIF($J$2:J168,J168)=1,SUMIFS($O:$O,$J:$J,J168)+SUMIFS($P:$P,$J:$J,J168)+SUMIFS($Q:$Q,$J:$J,J168),"")</f>
        <v>8557.56</v>
      </c>
      <c r="S168" s="10">
        <v>8617.2000000000007</v>
      </c>
      <c r="T168" s="11" t="str">
        <f>IFERROR(INDEX(AD:AD,MATCH(J168,J:J,0)),"")</f>
        <v>Check</v>
      </c>
      <c r="U168" s="12">
        <v>46111</v>
      </c>
      <c r="V168" s="10">
        <v>1267.6400000000001</v>
      </c>
      <c r="W168" s="10" t="str">
        <f t="shared" si="84"/>
        <v>Short Paid</v>
      </c>
      <c r="X168" t="s">
        <v>47</v>
      </c>
      <c r="Y168" t="s">
        <v>24</v>
      </c>
      <c r="Z168">
        <v>100273</v>
      </c>
      <c r="AA168" t="s">
        <v>52</v>
      </c>
      <c r="AB168" t="s">
        <v>63</v>
      </c>
      <c r="AC168" s="9">
        <v>2</v>
      </c>
      <c r="AD168" s="9" t="str">
        <f t="shared" si="85"/>
        <v>Check</v>
      </c>
      <c r="AE168" s="11">
        <f t="shared" si="86"/>
        <v>-59.640000000001237</v>
      </c>
    </row>
    <row r="169" spans="1:31" x14ac:dyDescent="0.3">
      <c r="A169">
        <v>9</v>
      </c>
      <c r="B169">
        <v>4908173</v>
      </c>
      <c r="C169" t="s">
        <v>42</v>
      </c>
      <c r="D169">
        <v>1230147</v>
      </c>
      <c r="E169" t="s">
        <v>559</v>
      </c>
      <c r="F169" t="s">
        <v>20</v>
      </c>
      <c r="G169" t="s">
        <v>561</v>
      </c>
      <c r="H169" t="s">
        <v>205</v>
      </c>
      <c r="I169" t="s">
        <v>337</v>
      </c>
      <c r="J169">
        <v>51158624431</v>
      </c>
      <c r="K169" t="s">
        <v>303</v>
      </c>
      <c r="L169" t="s">
        <v>531</v>
      </c>
      <c r="M169">
        <v>4</v>
      </c>
      <c r="N169" s="10">
        <v>302</v>
      </c>
      <c r="O169" s="10">
        <f t="shared" si="83"/>
        <v>1208</v>
      </c>
      <c r="P169" s="10" t="s">
        <v>562</v>
      </c>
      <c r="Q169" s="10" t="s">
        <v>562</v>
      </c>
      <c r="R169" s="10" t="str">
        <f>IF(COUNTIF($J$2:J169,J169)=1,SUMIFS($O:$O,$J:$J,J169)+SUMIFS($P:$P,$J:$J,J169)+SUMIFS($Q:$Q,$J:$J,J169),"")</f>
        <v/>
      </c>
      <c r="S169" s="10" t="s">
        <v>562</v>
      </c>
      <c r="T169" s="11" t="str">
        <f>IFERROR(INDEX(AD:AD,MATCH(J169,J:J,0)),"")</f>
        <v>Check</v>
      </c>
      <c r="U169" s="12">
        <v>46111</v>
      </c>
      <c r="V169" s="10">
        <v>1267.6400000000001</v>
      </c>
      <c r="W169" s="10" t="str">
        <f t="shared" si="84"/>
        <v>N/A</v>
      </c>
      <c r="X169" t="s">
        <v>47</v>
      </c>
      <c r="Y169" t="s">
        <v>24</v>
      </c>
      <c r="Z169">
        <v>100273</v>
      </c>
      <c r="AA169" t="s">
        <v>52</v>
      </c>
      <c r="AB169" t="s">
        <v>63</v>
      </c>
      <c r="AC169" s="9">
        <v>2</v>
      </c>
      <c r="AD169" s="9" t="str">
        <f t="shared" si="85"/>
        <v>N/A</v>
      </c>
      <c r="AE169" s="11" t="e">
        <f t="shared" si="86"/>
        <v>#VALUE!</v>
      </c>
    </row>
    <row r="170" spans="1:31" x14ac:dyDescent="0.3">
      <c r="A170">
        <v>4</v>
      </c>
      <c r="B170">
        <v>4937393</v>
      </c>
      <c r="C170" t="s">
        <v>42</v>
      </c>
      <c r="D170">
        <v>1130746</v>
      </c>
      <c r="E170" t="s">
        <v>68</v>
      </c>
      <c r="F170" t="s">
        <v>20</v>
      </c>
      <c r="G170" t="s">
        <v>243</v>
      </c>
      <c r="H170" t="s">
        <v>209</v>
      </c>
      <c r="I170" t="s">
        <v>306</v>
      </c>
      <c r="J170">
        <v>51159147496</v>
      </c>
      <c r="K170" t="s">
        <v>316</v>
      </c>
      <c r="L170" t="s">
        <v>406</v>
      </c>
      <c r="M170">
        <v>25000</v>
      </c>
      <c r="N170" s="10">
        <v>2.6380000000000001E-2</v>
      </c>
      <c r="O170" s="10">
        <f t="shared" ref="O170:O176" si="87">M170*N170</f>
        <v>659.5</v>
      </c>
      <c r="P170" s="10">
        <v>0</v>
      </c>
      <c r="Q170" s="10">
        <v>6581.45</v>
      </c>
      <c r="R170" s="10">
        <f>IF(COUNTIF($J$2:J170,J170)=1,SUMIFS($O:$O,$J:$J,J170)+SUMIFS($P:$P,$J:$J,J170)+SUMIFS($Q:$Q,$J:$J,J170),"")</f>
        <v>21096.63</v>
      </c>
      <c r="S170" s="10">
        <v>21096.63</v>
      </c>
      <c r="T170" s="11" t="str">
        <f>IFERROR(INDEX(AD:AD,MATCH(J170,J:J,0)),"")</f>
        <v>Ok</v>
      </c>
      <c r="U170" s="12">
        <v>46128</v>
      </c>
      <c r="V170" s="10">
        <v>20437.13</v>
      </c>
      <c r="W170" s="10" t="str">
        <f t="shared" ref="W170:W176" si="88">IF(OR(S170="",V170=""),"N/A",IF(S170&lt;&gt;V170,"Short Paid","Not Paid"))</f>
        <v>Short Paid</v>
      </c>
      <c r="X170" t="s">
        <v>47</v>
      </c>
      <c r="Y170" t="s">
        <v>24</v>
      </c>
      <c r="Z170">
        <v>100163</v>
      </c>
      <c r="AA170" t="s">
        <v>51</v>
      </c>
      <c r="AB170" t="s">
        <v>63</v>
      </c>
      <c r="AC170" s="9">
        <v>2</v>
      </c>
      <c r="AD170" s="9" t="str">
        <f t="shared" ref="AD170:AD176" si="89">IF(AND(R170="",S170=""),"N/A",IF(R170=S170,"Ok","Check"))</f>
        <v>Ok</v>
      </c>
      <c r="AE170" s="11">
        <f t="shared" ref="AE170:AE176" si="90">R170-S170</f>
        <v>0</v>
      </c>
    </row>
    <row r="171" spans="1:31" x14ac:dyDescent="0.3">
      <c r="A171">
        <v>4</v>
      </c>
      <c r="B171">
        <v>4937393</v>
      </c>
      <c r="C171" t="s">
        <v>42</v>
      </c>
      <c r="D171">
        <v>1130746</v>
      </c>
      <c r="E171" t="s">
        <v>68</v>
      </c>
      <c r="F171" t="s">
        <v>20</v>
      </c>
      <c r="G171" t="s">
        <v>243</v>
      </c>
      <c r="H171" t="s">
        <v>209</v>
      </c>
      <c r="I171" t="s">
        <v>324</v>
      </c>
      <c r="J171">
        <v>51159147496</v>
      </c>
      <c r="K171" t="s">
        <v>257</v>
      </c>
      <c r="L171" t="s">
        <v>549</v>
      </c>
      <c r="M171">
        <v>160</v>
      </c>
      <c r="N171" s="10">
        <v>86.597999999999999</v>
      </c>
      <c r="O171" s="10">
        <f t="shared" si="87"/>
        <v>13855.68</v>
      </c>
      <c r="P171" s="10" t="s">
        <v>562</v>
      </c>
      <c r="Q171" s="10" t="s">
        <v>562</v>
      </c>
      <c r="R171" s="10" t="str">
        <f>IF(COUNTIF($J$2:J171,J171)=1,SUMIFS($O:$O,$J:$J,J171)+SUMIFS($P:$P,$J:$J,J171)+SUMIFS($Q:$Q,$J:$J,J171),"")</f>
        <v/>
      </c>
      <c r="S171" s="10" t="s">
        <v>562</v>
      </c>
      <c r="T171" s="11" t="str">
        <f>IFERROR(INDEX(AD:AD,MATCH(J171,J:J,0)),"")</f>
        <v>Ok</v>
      </c>
      <c r="U171" s="12">
        <v>46128</v>
      </c>
      <c r="V171" s="10">
        <v>20437.13</v>
      </c>
      <c r="W171" s="10" t="str">
        <f t="shared" si="88"/>
        <v>N/A</v>
      </c>
      <c r="X171" t="s">
        <v>47</v>
      </c>
      <c r="Y171" t="s">
        <v>24</v>
      </c>
      <c r="Z171">
        <v>100163</v>
      </c>
      <c r="AA171" t="s">
        <v>51</v>
      </c>
      <c r="AB171" t="s">
        <v>63</v>
      </c>
      <c r="AC171" s="9">
        <v>2</v>
      </c>
      <c r="AD171" s="9" t="str">
        <f t="shared" si="89"/>
        <v>N/A</v>
      </c>
      <c r="AE171" s="11" t="e">
        <f t="shared" si="90"/>
        <v>#VALUE!</v>
      </c>
    </row>
    <row r="172" spans="1:31" x14ac:dyDescent="0.3">
      <c r="A172">
        <v>4</v>
      </c>
      <c r="B172">
        <v>4937115</v>
      </c>
      <c r="C172" t="s">
        <v>42</v>
      </c>
      <c r="D172">
        <v>1130746</v>
      </c>
      <c r="E172" t="s">
        <v>68</v>
      </c>
      <c r="F172" t="s">
        <v>20</v>
      </c>
      <c r="G172" t="s">
        <v>244</v>
      </c>
      <c r="H172" t="s">
        <v>208</v>
      </c>
      <c r="I172" t="s">
        <v>258</v>
      </c>
      <c r="J172">
        <v>51159258237</v>
      </c>
      <c r="K172" t="s">
        <v>278</v>
      </c>
      <c r="L172" t="s">
        <v>424</v>
      </c>
      <c r="M172">
        <v>10000</v>
      </c>
      <c r="N172" s="10">
        <v>1.506E-2</v>
      </c>
      <c r="O172" s="10">
        <f t="shared" si="87"/>
        <v>150.6</v>
      </c>
      <c r="P172" s="10">
        <v>0</v>
      </c>
      <c r="Q172" s="10">
        <v>6581.45</v>
      </c>
      <c r="R172" s="10">
        <f>IF(COUNTIF($J$2:J172,J172)=1,SUMIFS($O:$O,$J:$J,J172)+SUMIFS($P:$P,$J:$J,J172)+SUMIFS($Q:$Q,$J:$J,J172),"")</f>
        <v>20587.73</v>
      </c>
      <c r="S172" s="10">
        <v>20587.73</v>
      </c>
      <c r="T172" s="11" t="str">
        <f>IFERROR(INDEX(AD:AD,MATCH(J172,J:J,0)),"")</f>
        <v>Ok</v>
      </c>
      <c r="U172" s="12">
        <v>46126</v>
      </c>
      <c r="V172" s="10">
        <v>20437.13</v>
      </c>
      <c r="W172" s="10" t="str">
        <f t="shared" si="88"/>
        <v>Short Paid</v>
      </c>
      <c r="X172" t="s">
        <v>47</v>
      </c>
      <c r="Y172" t="s">
        <v>24</v>
      </c>
      <c r="Z172">
        <v>100153</v>
      </c>
      <c r="AA172" t="s">
        <v>53</v>
      </c>
      <c r="AB172" t="s">
        <v>63</v>
      </c>
      <c r="AC172" s="9">
        <v>2</v>
      </c>
      <c r="AD172" s="9" t="str">
        <f t="shared" si="89"/>
        <v>Ok</v>
      </c>
      <c r="AE172" s="11">
        <f t="shared" si="90"/>
        <v>0</v>
      </c>
    </row>
    <row r="173" spans="1:31" x14ac:dyDescent="0.3">
      <c r="A173">
        <v>4</v>
      </c>
      <c r="B173">
        <v>4937115</v>
      </c>
      <c r="C173" t="s">
        <v>42</v>
      </c>
      <c r="D173">
        <v>1130746</v>
      </c>
      <c r="E173" t="s">
        <v>68</v>
      </c>
      <c r="F173" t="s">
        <v>20</v>
      </c>
      <c r="G173" t="s">
        <v>244</v>
      </c>
      <c r="H173" t="s">
        <v>208</v>
      </c>
      <c r="I173" t="s">
        <v>351</v>
      </c>
      <c r="J173">
        <v>51159258237</v>
      </c>
      <c r="K173" t="s">
        <v>257</v>
      </c>
      <c r="L173" t="s">
        <v>549</v>
      </c>
      <c r="M173">
        <v>160</v>
      </c>
      <c r="N173" s="10">
        <v>86.597999999999999</v>
      </c>
      <c r="O173" s="10">
        <f t="shared" si="87"/>
        <v>13855.68</v>
      </c>
      <c r="P173" s="10" t="s">
        <v>562</v>
      </c>
      <c r="Q173" s="10" t="s">
        <v>562</v>
      </c>
      <c r="R173" s="10" t="str">
        <f>IF(COUNTIF($J$2:J173,J173)=1,SUMIFS($O:$O,$J:$J,J173)+SUMIFS($P:$P,$J:$J,J173)+SUMIFS($Q:$Q,$J:$J,J173),"")</f>
        <v/>
      </c>
      <c r="S173" s="10" t="s">
        <v>562</v>
      </c>
      <c r="T173" s="11" t="str">
        <f>IFERROR(INDEX(AD:AD,MATCH(J173,J:J,0)),"")</f>
        <v>Ok</v>
      </c>
      <c r="U173" s="12">
        <v>46126</v>
      </c>
      <c r="V173" s="10">
        <v>20437.13</v>
      </c>
      <c r="W173" s="10" t="str">
        <f t="shared" si="88"/>
        <v>N/A</v>
      </c>
      <c r="X173" t="s">
        <v>47</v>
      </c>
      <c r="Y173" t="s">
        <v>24</v>
      </c>
      <c r="Z173">
        <v>100153</v>
      </c>
      <c r="AA173" t="s">
        <v>53</v>
      </c>
      <c r="AB173" t="s">
        <v>63</v>
      </c>
      <c r="AC173" s="9">
        <v>2</v>
      </c>
      <c r="AD173" s="9" t="str">
        <f t="shared" si="89"/>
        <v>N/A</v>
      </c>
      <c r="AE173" s="11" t="e">
        <f t="shared" si="90"/>
        <v>#VALUE!</v>
      </c>
    </row>
    <row r="174" spans="1:31" x14ac:dyDescent="0.3">
      <c r="A174">
        <v>247</v>
      </c>
      <c r="B174">
        <v>4385098</v>
      </c>
      <c r="C174" t="s">
        <v>42</v>
      </c>
      <c r="D174">
        <v>1588891</v>
      </c>
      <c r="E174" t="s">
        <v>43</v>
      </c>
      <c r="F174" t="s">
        <v>18</v>
      </c>
      <c r="G174" t="s">
        <v>551</v>
      </c>
      <c r="H174" t="s">
        <v>552</v>
      </c>
      <c r="I174" t="s">
        <v>270</v>
      </c>
      <c r="J174">
        <v>51160165354</v>
      </c>
      <c r="K174" t="s">
        <v>261</v>
      </c>
      <c r="L174" t="s">
        <v>550</v>
      </c>
      <c r="M174">
        <v>10000</v>
      </c>
      <c r="N174" s="10">
        <v>9.3999999999999997E-4</v>
      </c>
      <c r="O174" s="10">
        <f t="shared" si="87"/>
        <v>9.4</v>
      </c>
      <c r="P174" s="10">
        <v>0</v>
      </c>
      <c r="Q174" s="10">
        <v>0</v>
      </c>
      <c r="R174" s="10">
        <f>IF(COUNTIF($J$2:J174,J174)=1,SUMIFS($O:$O,$J:$J,J174)+SUMIFS($P:$P,$J:$J,J174)+SUMIFS($Q:$Q,$J:$J,J174),"")</f>
        <v>2685.28</v>
      </c>
      <c r="S174" s="10">
        <v>2975.28</v>
      </c>
      <c r="T174" s="11" t="str">
        <f>IFERROR(INDEX(AD:AD,MATCH(J174,J:J,0)),"")</f>
        <v>Check</v>
      </c>
      <c r="U174" s="12">
        <v>45785</v>
      </c>
      <c r="V174" s="10">
        <v>184</v>
      </c>
      <c r="W174" s="10" t="str">
        <f t="shared" si="88"/>
        <v>Short Paid</v>
      </c>
      <c r="X174" t="s">
        <v>47</v>
      </c>
      <c r="Y174" t="s">
        <v>24</v>
      </c>
      <c r="Z174">
        <v>100153</v>
      </c>
      <c r="AA174" t="s">
        <v>53</v>
      </c>
      <c r="AB174" t="s">
        <v>65</v>
      </c>
      <c r="AC174" s="9">
        <v>3</v>
      </c>
      <c r="AD174" s="9" t="str">
        <f t="shared" si="89"/>
        <v>Check</v>
      </c>
      <c r="AE174" s="11">
        <f t="shared" si="90"/>
        <v>-290</v>
      </c>
    </row>
    <row r="175" spans="1:31" x14ac:dyDescent="0.3">
      <c r="A175">
        <v>247</v>
      </c>
      <c r="B175">
        <v>4385098</v>
      </c>
      <c r="C175" t="s">
        <v>42</v>
      </c>
      <c r="D175">
        <v>1588891</v>
      </c>
      <c r="E175" t="s">
        <v>43</v>
      </c>
      <c r="F175" t="s">
        <v>18</v>
      </c>
      <c r="G175" t="s">
        <v>551</v>
      </c>
      <c r="H175" t="s">
        <v>552</v>
      </c>
      <c r="I175" t="s">
        <v>270</v>
      </c>
      <c r="J175">
        <v>51160165354</v>
      </c>
      <c r="K175" t="s">
        <v>303</v>
      </c>
      <c r="L175" t="s">
        <v>461</v>
      </c>
      <c r="M175">
        <v>1944</v>
      </c>
      <c r="N175" s="10">
        <v>1.27</v>
      </c>
      <c r="O175" s="10">
        <f t="shared" si="87"/>
        <v>2468.88</v>
      </c>
      <c r="P175" s="10" t="s">
        <v>562</v>
      </c>
      <c r="Q175" s="10" t="s">
        <v>562</v>
      </c>
      <c r="R175" s="10" t="str">
        <f>IF(COUNTIF($J$2:J175,J175)=1,SUMIFS($O:$O,$J:$J,J175)+SUMIFS($P:$P,$J:$J,J175)+SUMIFS($Q:$Q,$J:$J,J175),"")</f>
        <v/>
      </c>
      <c r="S175" s="10" t="s">
        <v>562</v>
      </c>
      <c r="T175" s="11" t="str">
        <f>IFERROR(INDEX(AD:AD,MATCH(J175,J:J,0)),"")</f>
        <v>Check</v>
      </c>
      <c r="U175" s="12">
        <v>45785</v>
      </c>
      <c r="V175" s="10">
        <v>184</v>
      </c>
      <c r="W175" s="10" t="str">
        <f t="shared" si="88"/>
        <v>N/A</v>
      </c>
      <c r="X175" t="s">
        <v>47</v>
      </c>
      <c r="Y175" t="s">
        <v>24</v>
      </c>
      <c r="Z175">
        <v>100153</v>
      </c>
      <c r="AA175" t="s">
        <v>53</v>
      </c>
      <c r="AB175" t="s">
        <v>65</v>
      </c>
      <c r="AC175" s="9">
        <v>3</v>
      </c>
      <c r="AD175" s="9" t="str">
        <f t="shared" si="89"/>
        <v>N/A</v>
      </c>
      <c r="AE175" s="11" t="e">
        <f t="shared" si="90"/>
        <v>#VALUE!</v>
      </c>
    </row>
    <row r="176" spans="1:31" x14ac:dyDescent="0.3">
      <c r="A176">
        <v>247</v>
      </c>
      <c r="B176">
        <v>4385098</v>
      </c>
      <c r="C176" t="s">
        <v>42</v>
      </c>
      <c r="D176">
        <v>1588891</v>
      </c>
      <c r="E176" t="s">
        <v>43</v>
      </c>
      <c r="F176" t="s">
        <v>18</v>
      </c>
      <c r="G176" t="s">
        <v>551</v>
      </c>
      <c r="H176" t="s">
        <v>552</v>
      </c>
      <c r="I176" t="s">
        <v>270</v>
      </c>
      <c r="J176">
        <v>51160165354</v>
      </c>
      <c r="K176" t="s">
        <v>277</v>
      </c>
      <c r="L176" t="s">
        <v>434</v>
      </c>
      <c r="M176">
        <v>9000</v>
      </c>
      <c r="N176" s="10">
        <v>2.3E-2</v>
      </c>
      <c r="O176" s="10">
        <f t="shared" si="87"/>
        <v>207</v>
      </c>
      <c r="P176" s="10" t="s">
        <v>562</v>
      </c>
      <c r="Q176" s="10" t="s">
        <v>562</v>
      </c>
      <c r="R176" s="10" t="str">
        <f>IF(COUNTIF($J$2:J176,J176)=1,SUMIFS($O:$O,$J:$J,J176)+SUMIFS($P:$P,$J:$J,J176)+SUMIFS($Q:$Q,$J:$J,J176),"")</f>
        <v/>
      </c>
      <c r="S176" s="10" t="s">
        <v>562</v>
      </c>
      <c r="T176" s="11" t="str">
        <f>IFERROR(INDEX(AD:AD,MATCH(J176,J:J,0)),"")</f>
        <v>Check</v>
      </c>
      <c r="U176" s="12">
        <v>45785</v>
      </c>
      <c r="V176" s="10">
        <v>184</v>
      </c>
      <c r="W176" s="10" t="str">
        <f t="shared" si="88"/>
        <v>N/A</v>
      </c>
      <c r="X176" t="s">
        <v>47</v>
      </c>
      <c r="Y176" t="s">
        <v>24</v>
      </c>
      <c r="Z176">
        <v>100153</v>
      </c>
      <c r="AA176" t="s">
        <v>53</v>
      </c>
      <c r="AB176" t="s">
        <v>65</v>
      </c>
      <c r="AC176" s="9">
        <v>3</v>
      </c>
      <c r="AD176" s="9" t="str">
        <f t="shared" si="89"/>
        <v>N/A</v>
      </c>
      <c r="AE176" s="11" t="e">
        <f t="shared" si="90"/>
        <v>#VALUE!</v>
      </c>
    </row>
    <row r="177" spans="1:31" x14ac:dyDescent="0.3">
      <c r="A177">
        <v>232</v>
      </c>
      <c r="B177">
        <v>4390297</v>
      </c>
      <c r="C177" t="s">
        <v>42</v>
      </c>
      <c r="D177">
        <v>1588891</v>
      </c>
      <c r="E177" t="s">
        <v>43</v>
      </c>
      <c r="F177" t="s">
        <v>18</v>
      </c>
      <c r="G177" t="s">
        <v>553</v>
      </c>
      <c r="H177" t="s">
        <v>554</v>
      </c>
      <c r="I177" t="s">
        <v>411</v>
      </c>
      <c r="J177">
        <v>51160700953</v>
      </c>
      <c r="K177" t="s">
        <v>261</v>
      </c>
      <c r="L177" t="s">
        <v>460</v>
      </c>
      <c r="M177">
        <v>10000</v>
      </c>
      <c r="N177" s="10">
        <v>1.4500000000000001E-2</v>
      </c>
      <c r="O177" s="10">
        <f t="shared" ref="O177:O183" si="91">M177*N177</f>
        <v>145</v>
      </c>
      <c r="P177" s="10">
        <v>0</v>
      </c>
      <c r="Q177" s="10">
        <v>0</v>
      </c>
      <c r="R177" s="10">
        <f>IF(COUNTIF($J$2:J177,J177)=1,SUMIFS($O:$O,$J:$J,J177)+SUMIFS($P:$P,$J:$J,J177)+SUMIFS($Q:$Q,$J:$J,J177),"")</f>
        <v>5488.76</v>
      </c>
      <c r="S177" s="10">
        <v>5866.56</v>
      </c>
      <c r="T177" s="11" t="str">
        <f>IFERROR(INDEX(AD:AD,MATCH(J177,J:J,0)),"")</f>
        <v>Check</v>
      </c>
      <c r="U177" s="12">
        <v>45804</v>
      </c>
      <c r="V177" s="10">
        <v>184</v>
      </c>
      <c r="W177" s="10" t="str">
        <f t="shared" ref="W177:W183" si="92">IF(OR(S177="",V177=""),"N/A",IF(S177&lt;&gt;V177,"Short Paid","Not Paid"))</f>
        <v>Short Paid</v>
      </c>
      <c r="X177" t="s">
        <v>47</v>
      </c>
      <c r="Y177" t="s">
        <v>24</v>
      </c>
      <c r="Z177">
        <v>100163</v>
      </c>
      <c r="AA177" t="s">
        <v>51</v>
      </c>
      <c r="AB177" t="s">
        <v>65</v>
      </c>
      <c r="AC177" s="9">
        <v>5</v>
      </c>
      <c r="AD177" s="9" t="str">
        <f t="shared" ref="AD177:AD183" si="93">IF(AND(R177="",S177=""),"N/A",IF(R177=S177,"Ok","Check"))</f>
        <v>Check</v>
      </c>
      <c r="AE177" s="11">
        <f t="shared" ref="AE177:AE183" si="94">R177-S177</f>
        <v>-377.80000000000018</v>
      </c>
    </row>
    <row r="178" spans="1:31" x14ac:dyDescent="0.3">
      <c r="A178">
        <v>232</v>
      </c>
      <c r="B178">
        <v>4390297</v>
      </c>
      <c r="C178" t="s">
        <v>42</v>
      </c>
      <c r="D178">
        <v>1588891</v>
      </c>
      <c r="E178" t="s">
        <v>43</v>
      </c>
      <c r="F178" t="s">
        <v>18</v>
      </c>
      <c r="G178" t="s">
        <v>553</v>
      </c>
      <c r="H178" t="s">
        <v>554</v>
      </c>
      <c r="I178" t="s">
        <v>411</v>
      </c>
      <c r="J178">
        <v>51160700953</v>
      </c>
      <c r="K178" t="s">
        <v>261</v>
      </c>
      <c r="L178" t="s">
        <v>529</v>
      </c>
      <c r="M178">
        <v>8000</v>
      </c>
      <c r="N178" s="10">
        <v>1.6999999999999999E-3</v>
      </c>
      <c r="O178" s="10">
        <f t="shared" si="91"/>
        <v>13.6</v>
      </c>
      <c r="P178" s="10" t="s">
        <v>562</v>
      </c>
      <c r="Q178" s="10" t="s">
        <v>562</v>
      </c>
      <c r="R178" s="10" t="str">
        <f>IF(COUNTIF($J$2:J178,J178)=1,SUMIFS($O:$O,$J:$J,J178)+SUMIFS($P:$P,$J:$J,J178)+SUMIFS($Q:$Q,$J:$J,J178),"")</f>
        <v/>
      </c>
      <c r="S178" s="10" t="s">
        <v>562</v>
      </c>
      <c r="T178" s="11" t="str">
        <f>IFERROR(INDEX(AD:AD,MATCH(J178,J:J,0)),"")</f>
        <v>Check</v>
      </c>
      <c r="U178" s="12">
        <v>45804</v>
      </c>
      <c r="V178" s="10">
        <v>184</v>
      </c>
      <c r="W178" s="10" t="str">
        <f t="shared" si="92"/>
        <v>N/A</v>
      </c>
      <c r="X178" t="s">
        <v>47</v>
      </c>
      <c r="Y178" t="s">
        <v>24</v>
      </c>
      <c r="Z178">
        <v>100163</v>
      </c>
      <c r="AA178" t="s">
        <v>51</v>
      </c>
      <c r="AB178" t="s">
        <v>65</v>
      </c>
      <c r="AC178" s="9">
        <v>5</v>
      </c>
      <c r="AD178" s="9" t="str">
        <f t="shared" si="93"/>
        <v>N/A</v>
      </c>
      <c r="AE178" s="11" t="e">
        <f t="shared" si="94"/>
        <v>#VALUE!</v>
      </c>
    </row>
    <row r="179" spans="1:31" x14ac:dyDescent="0.3">
      <c r="A179">
        <v>232</v>
      </c>
      <c r="B179">
        <v>4390297</v>
      </c>
      <c r="C179" t="s">
        <v>42</v>
      </c>
      <c r="D179">
        <v>1588891</v>
      </c>
      <c r="E179" t="s">
        <v>43</v>
      </c>
      <c r="F179" t="s">
        <v>18</v>
      </c>
      <c r="G179" t="s">
        <v>553</v>
      </c>
      <c r="H179" t="s">
        <v>554</v>
      </c>
      <c r="I179" t="s">
        <v>411</v>
      </c>
      <c r="J179">
        <v>51160700953</v>
      </c>
      <c r="K179" t="s">
        <v>303</v>
      </c>
      <c r="L179" t="s">
        <v>461</v>
      </c>
      <c r="M179">
        <v>3888</v>
      </c>
      <c r="N179" s="10">
        <v>1.27</v>
      </c>
      <c r="O179" s="10">
        <f t="shared" si="91"/>
        <v>4937.76</v>
      </c>
      <c r="P179" s="10" t="s">
        <v>562</v>
      </c>
      <c r="Q179" s="10" t="s">
        <v>562</v>
      </c>
      <c r="R179" s="10" t="str">
        <f>IF(COUNTIF($J$2:J179,J179)=1,SUMIFS($O:$O,$J:$J,J179)+SUMIFS($P:$P,$J:$J,J179)+SUMIFS($Q:$Q,$J:$J,J179),"")</f>
        <v/>
      </c>
      <c r="S179" s="10" t="s">
        <v>562</v>
      </c>
      <c r="T179" s="11" t="str">
        <f>IFERROR(INDEX(AD:AD,MATCH(J179,J:J,0)),"")</f>
        <v>Check</v>
      </c>
      <c r="U179" s="12">
        <v>45804</v>
      </c>
      <c r="V179" s="10">
        <v>184</v>
      </c>
      <c r="W179" s="10" t="str">
        <f t="shared" si="92"/>
        <v>N/A</v>
      </c>
      <c r="X179" t="s">
        <v>47</v>
      </c>
      <c r="Y179" t="s">
        <v>24</v>
      </c>
      <c r="Z179">
        <v>100163</v>
      </c>
      <c r="AA179" t="s">
        <v>51</v>
      </c>
      <c r="AB179" t="s">
        <v>65</v>
      </c>
      <c r="AC179" s="9">
        <v>5</v>
      </c>
      <c r="AD179" s="9" t="str">
        <f t="shared" si="93"/>
        <v>N/A</v>
      </c>
      <c r="AE179" s="11" t="e">
        <f t="shared" si="94"/>
        <v>#VALUE!</v>
      </c>
    </row>
    <row r="180" spans="1:31" x14ac:dyDescent="0.3">
      <c r="A180">
        <v>232</v>
      </c>
      <c r="B180">
        <v>4390297</v>
      </c>
      <c r="C180" t="s">
        <v>42</v>
      </c>
      <c r="D180">
        <v>1588891</v>
      </c>
      <c r="E180" t="s">
        <v>43</v>
      </c>
      <c r="F180" t="s">
        <v>18</v>
      </c>
      <c r="G180" t="s">
        <v>553</v>
      </c>
      <c r="H180" t="s">
        <v>554</v>
      </c>
      <c r="I180" t="s">
        <v>411</v>
      </c>
      <c r="J180">
        <v>51160700953</v>
      </c>
      <c r="K180" t="s">
        <v>350</v>
      </c>
      <c r="L180" t="s">
        <v>555</v>
      </c>
      <c r="M180">
        <v>4000</v>
      </c>
      <c r="N180" s="10">
        <v>2.9100000000000001E-2</v>
      </c>
      <c r="O180" s="10">
        <f t="shared" si="91"/>
        <v>116.4</v>
      </c>
      <c r="P180" s="10" t="s">
        <v>562</v>
      </c>
      <c r="Q180" s="10" t="s">
        <v>562</v>
      </c>
      <c r="R180" s="10" t="str">
        <f>IF(COUNTIF($J$2:J180,J180)=1,SUMIFS($O:$O,$J:$J,J180)+SUMIFS($P:$P,$J:$J,J180)+SUMIFS($Q:$Q,$J:$J,J180),"")</f>
        <v/>
      </c>
      <c r="S180" s="10" t="s">
        <v>562</v>
      </c>
      <c r="T180" s="11" t="str">
        <f>IFERROR(INDEX(AD:AD,MATCH(J180,J:J,0)),"")</f>
        <v>Check</v>
      </c>
      <c r="U180" s="12">
        <v>45804</v>
      </c>
      <c r="V180" s="10">
        <v>184</v>
      </c>
      <c r="W180" s="10" t="str">
        <f t="shared" si="92"/>
        <v>N/A</v>
      </c>
      <c r="X180" t="s">
        <v>47</v>
      </c>
      <c r="Y180" t="s">
        <v>24</v>
      </c>
      <c r="Z180">
        <v>100163</v>
      </c>
      <c r="AA180" t="s">
        <v>51</v>
      </c>
      <c r="AB180" t="s">
        <v>65</v>
      </c>
      <c r="AC180" s="9">
        <v>5</v>
      </c>
      <c r="AD180" s="9" t="str">
        <f t="shared" si="93"/>
        <v>N/A</v>
      </c>
      <c r="AE180" s="11" t="e">
        <f t="shared" si="94"/>
        <v>#VALUE!</v>
      </c>
    </row>
    <row r="181" spans="1:31" x14ac:dyDescent="0.3">
      <c r="A181">
        <v>232</v>
      </c>
      <c r="B181">
        <v>4390297</v>
      </c>
      <c r="C181" t="s">
        <v>42</v>
      </c>
      <c r="D181">
        <v>1588891</v>
      </c>
      <c r="E181" t="s">
        <v>43</v>
      </c>
      <c r="F181" t="s">
        <v>18</v>
      </c>
      <c r="G181" t="s">
        <v>553</v>
      </c>
      <c r="H181" t="s">
        <v>554</v>
      </c>
      <c r="I181" t="s">
        <v>411</v>
      </c>
      <c r="J181">
        <v>51160700953</v>
      </c>
      <c r="K181" t="s">
        <v>277</v>
      </c>
      <c r="L181" t="s">
        <v>434</v>
      </c>
      <c r="M181">
        <v>12000</v>
      </c>
      <c r="N181" s="10">
        <v>2.3E-2</v>
      </c>
      <c r="O181" s="10">
        <f t="shared" si="91"/>
        <v>276</v>
      </c>
      <c r="P181" s="10" t="s">
        <v>562</v>
      </c>
      <c r="Q181" s="10" t="s">
        <v>562</v>
      </c>
      <c r="R181" s="10" t="str">
        <f>IF(COUNTIF($J$2:J181,J181)=1,SUMIFS($O:$O,$J:$J,J181)+SUMIFS($P:$P,$J:$J,J181)+SUMIFS($Q:$Q,$J:$J,J181),"")</f>
        <v/>
      </c>
      <c r="S181" s="10" t="s">
        <v>562</v>
      </c>
      <c r="T181" s="11" t="str">
        <f>IFERROR(INDEX(AD:AD,MATCH(J181,J:J,0)),"")</f>
        <v>Check</v>
      </c>
      <c r="U181" s="12">
        <v>45804</v>
      </c>
      <c r="V181" s="10">
        <v>184</v>
      </c>
      <c r="W181" s="10" t="str">
        <f t="shared" si="92"/>
        <v>N/A</v>
      </c>
      <c r="X181" t="s">
        <v>47</v>
      </c>
      <c r="Y181" t="s">
        <v>24</v>
      </c>
      <c r="Z181">
        <v>100163</v>
      </c>
      <c r="AA181" t="s">
        <v>51</v>
      </c>
      <c r="AB181" t="s">
        <v>65</v>
      </c>
      <c r="AC181" s="9">
        <v>5</v>
      </c>
      <c r="AD181" s="9" t="str">
        <f t="shared" si="93"/>
        <v>N/A</v>
      </c>
      <c r="AE181" s="11" t="e">
        <f t="shared" si="94"/>
        <v>#VALUE!</v>
      </c>
    </row>
    <row r="182" spans="1:31" x14ac:dyDescent="0.3">
      <c r="A182">
        <v>1</v>
      </c>
      <c r="B182">
        <v>4978023</v>
      </c>
      <c r="C182" t="s">
        <v>42</v>
      </c>
      <c r="D182">
        <v>1450489</v>
      </c>
      <c r="E182" t="s">
        <v>69</v>
      </c>
      <c r="F182" t="s">
        <v>22</v>
      </c>
      <c r="G182" t="s">
        <v>245</v>
      </c>
      <c r="H182" t="s">
        <v>214</v>
      </c>
      <c r="I182" t="s">
        <v>401</v>
      </c>
      <c r="J182">
        <v>51161062640</v>
      </c>
      <c r="K182" t="s">
        <v>292</v>
      </c>
      <c r="L182" t="s">
        <v>291</v>
      </c>
      <c r="M182">
        <v>43</v>
      </c>
      <c r="N182" s="10">
        <v>175</v>
      </c>
      <c r="O182" s="10">
        <f t="shared" si="91"/>
        <v>7525</v>
      </c>
      <c r="P182" s="10">
        <v>0</v>
      </c>
      <c r="Q182" s="10">
        <v>0</v>
      </c>
      <c r="R182" s="10">
        <f>IF(COUNTIF($J$2:J182,J182)=1,SUMIFS($O:$O,$J:$J,J182)+SUMIFS($P:$P,$J:$J,J182)+SUMIFS($Q:$Q,$J:$J,J182),"")</f>
        <v>9505.4500000000007</v>
      </c>
      <c r="S182" s="10">
        <v>9505.4500000000007</v>
      </c>
      <c r="T182" s="11" t="str">
        <f>IFERROR(INDEX(AD:AD,MATCH(J182,J:J,0)),"")</f>
        <v>Ok</v>
      </c>
      <c r="U182" s="12">
        <v>46113</v>
      </c>
      <c r="V182" s="10">
        <v>1276.29</v>
      </c>
      <c r="W182" s="10" t="str">
        <f t="shared" si="92"/>
        <v>Short Paid</v>
      </c>
      <c r="X182" t="s">
        <v>47</v>
      </c>
      <c r="Y182" t="s">
        <v>33</v>
      </c>
      <c r="Z182">
        <v>100143</v>
      </c>
      <c r="AA182" t="s">
        <v>59</v>
      </c>
      <c r="AB182" t="s">
        <v>64</v>
      </c>
      <c r="AC182" s="9">
        <v>2</v>
      </c>
      <c r="AD182" s="9" t="str">
        <f t="shared" si="93"/>
        <v>Ok</v>
      </c>
      <c r="AE182" s="11">
        <f t="shared" si="94"/>
        <v>0</v>
      </c>
    </row>
    <row r="183" spans="1:31" x14ac:dyDescent="0.3">
      <c r="A183">
        <v>1</v>
      </c>
      <c r="B183">
        <v>4978023</v>
      </c>
      <c r="C183" t="s">
        <v>42</v>
      </c>
      <c r="D183">
        <v>1450489</v>
      </c>
      <c r="E183" t="s">
        <v>69</v>
      </c>
      <c r="F183" t="s">
        <v>22</v>
      </c>
      <c r="G183" t="s">
        <v>245</v>
      </c>
      <c r="H183" t="s">
        <v>214</v>
      </c>
      <c r="I183" t="s">
        <v>368</v>
      </c>
      <c r="J183">
        <v>51161062640</v>
      </c>
      <c r="K183" t="s">
        <v>557</v>
      </c>
      <c r="L183" t="s">
        <v>556</v>
      </c>
      <c r="M183">
        <v>135</v>
      </c>
      <c r="N183" s="10">
        <v>14.67</v>
      </c>
      <c r="O183" s="10">
        <f t="shared" si="91"/>
        <v>1980.45</v>
      </c>
      <c r="P183" s="10" t="s">
        <v>562</v>
      </c>
      <c r="Q183" s="10" t="s">
        <v>562</v>
      </c>
      <c r="R183" s="10" t="str">
        <f>IF(COUNTIF($J$2:J183,J183)=1,SUMIFS($O:$O,$J:$J,J183)+SUMIFS($P:$P,$J:$J,J183)+SUMIFS($Q:$Q,$J:$J,J183),"")</f>
        <v/>
      </c>
      <c r="S183" s="10" t="s">
        <v>562</v>
      </c>
      <c r="T183" s="11" t="str">
        <f>IFERROR(INDEX(AD:AD,MATCH(J183,J:J,0)),"")</f>
        <v>Ok</v>
      </c>
      <c r="U183" s="12">
        <v>46113</v>
      </c>
      <c r="V183" s="10">
        <v>1276.29</v>
      </c>
      <c r="W183" s="10" t="str">
        <f t="shared" si="92"/>
        <v>N/A</v>
      </c>
      <c r="X183" t="s">
        <v>47</v>
      </c>
      <c r="Y183" t="s">
        <v>33</v>
      </c>
      <c r="Z183">
        <v>100143</v>
      </c>
      <c r="AA183" t="s">
        <v>59</v>
      </c>
      <c r="AB183" t="s">
        <v>64</v>
      </c>
      <c r="AC183" s="9">
        <v>2</v>
      </c>
      <c r="AD183" s="9" t="str">
        <f t="shared" si="93"/>
        <v>N/A</v>
      </c>
      <c r="AE183" s="11" t="e">
        <f t="shared" si="94"/>
        <v>#VALUE!</v>
      </c>
    </row>
    <row r="184" spans="1:31" x14ac:dyDescent="0.3">
      <c r="A184">
        <v>192</v>
      </c>
      <c r="B184">
        <v>4404955</v>
      </c>
      <c r="C184" t="s">
        <v>42</v>
      </c>
      <c r="D184">
        <v>1588891</v>
      </c>
      <c r="E184" t="s">
        <v>43</v>
      </c>
      <c r="F184" t="s">
        <v>18</v>
      </c>
      <c r="G184" t="s">
        <v>221</v>
      </c>
      <c r="H184" t="s">
        <v>222</v>
      </c>
      <c r="I184" t="s">
        <v>306</v>
      </c>
      <c r="J184">
        <v>51162049486</v>
      </c>
      <c r="K184" t="s">
        <v>350</v>
      </c>
      <c r="L184" t="s">
        <v>390</v>
      </c>
      <c r="M184">
        <v>70000</v>
      </c>
      <c r="N184" s="10">
        <v>2.7E-2</v>
      </c>
      <c r="O184" s="10">
        <f t="shared" ref="O184:O191" si="95">M184*N184</f>
        <v>1890</v>
      </c>
      <c r="P184" s="10">
        <v>0</v>
      </c>
      <c r="Q184" s="10">
        <v>0</v>
      </c>
      <c r="R184" s="10">
        <f>IF(COUNTIF($J$2:J184,J184)=1,SUMIFS($O:$O,$J:$J,J184)+SUMIFS($P:$P,$J:$J,J184)+SUMIFS($Q:$Q,$J:$J,J184),"")</f>
        <v>6213.86</v>
      </c>
      <c r="S184" s="10">
        <v>6213.86</v>
      </c>
      <c r="T184" s="11" t="str">
        <f>IFERROR(INDEX(AD:AD,MATCH(J184,J:J,0)),"")</f>
        <v>Ok</v>
      </c>
      <c r="U184" s="12">
        <v>45859</v>
      </c>
      <c r="V184" s="10">
        <v>1306.9000000000001</v>
      </c>
      <c r="W184" s="10" t="str">
        <f t="shared" ref="W184:W191" si="96">IF(OR(S184="",V184=""),"N/A",IF(S184&lt;&gt;V184,"Short Paid","Not Paid"))</f>
        <v>Short Paid</v>
      </c>
      <c r="X184" t="s">
        <v>47</v>
      </c>
      <c r="Y184" t="s">
        <v>24</v>
      </c>
      <c r="Z184">
        <v>100113</v>
      </c>
      <c r="AA184" t="s">
        <v>57</v>
      </c>
      <c r="AB184" t="s">
        <v>65</v>
      </c>
      <c r="AC184" s="9">
        <v>4</v>
      </c>
      <c r="AD184" s="9" t="str">
        <f t="shared" ref="AD184:AD191" si="97">IF(AND(R184="",S184=""),"N/A",IF(R184=S184,"Ok","Check"))</f>
        <v>Ok</v>
      </c>
      <c r="AE184" s="11">
        <f t="shared" ref="AE184:AE191" si="98">R184-S184</f>
        <v>0</v>
      </c>
    </row>
    <row r="185" spans="1:31" x14ac:dyDescent="0.3">
      <c r="A185">
        <v>192</v>
      </c>
      <c r="B185">
        <v>4404955</v>
      </c>
      <c r="C185" t="s">
        <v>42</v>
      </c>
      <c r="D185">
        <v>1588891</v>
      </c>
      <c r="E185" t="s">
        <v>43</v>
      </c>
      <c r="F185" t="s">
        <v>18</v>
      </c>
      <c r="G185" t="s">
        <v>221</v>
      </c>
      <c r="H185" t="s">
        <v>222</v>
      </c>
      <c r="I185" t="s">
        <v>306</v>
      </c>
      <c r="J185">
        <v>51162049486</v>
      </c>
      <c r="K185" t="s">
        <v>350</v>
      </c>
      <c r="L185" t="s">
        <v>459</v>
      </c>
      <c r="M185">
        <v>8000</v>
      </c>
      <c r="N185" s="10">
        <v>1.8669999999999999E-2</v>
      </c>
      <c r="O185" s="10">
        <f t="shared" si="95"/>
        <v>149.35999999999999</v>
      </c>
      <c r="P185" s="10" t="s">
        <v>562</v>
      </c>
      <c r="Q185" s="10" t="s">
        <v>562</v>
      </c>
      <c r="R185" s="10" t="str">
        <f>IF(COUNTIF($J$2:J185,J185)=1,SUMIFS($O:$O,$J:$J,J185)+SUMIFS($P:$P,$J:$J,J185)+SUMIFS($Q:$Q,$J:$J,J185),"")</f>
        <v/>
      </c>
      <c r="S185" s="10" t="s">
        <v>562</v>
      </c>
      <c r="T185" s="11" t="str">
        <f>IFERROR(INDEX(AD:AD,MATCH(J185,J:J,0)),"")</f>
        <v>Ok</v>
      </c>
      <c r="U185" s="12">
        <v>45859</v>
      </c>
      <c r="V185" s="10">
        <v>1306.9000000000001</v>
      </c>
      <c r="W185" s="10" t="str">
        <f t="shared" si="96"/>
        <v>N/A</v>
      </c>
      <c r="X185" t="s">
        <v>47</v>
      </c>
      <c r="Y185" t="s">
        <v>24</v>
      </c>
      <c r="Z185">
        <v>100113</v>
      </c>
      <c r="AA185" t="s">
        <v>57</v>
      </c>
      <c r="AB185" t="s">
        <v>65</v>
      </c>
      <c r="AC185" s="9">
        <v>4</v>
      </c>
      <c r="AD185" s="9" t="str">
        <f t="shared" si="97"/>
        <v>N/A</v>
      </c>
      <c r="AE185" s="11" t="e">
        <f t="shared" si="98"/>
        <v>#VALUE!</v>
      </c>
    </row>
    <row r="186" spans="1:31" x14ac:dyDescent="0.3">
      <c r="A186">
        <v>192</v>
      </c>
      <c r="B186">
        <v>4404955</v>
      </c>
      <c r="C186" t="s">
        <v>42</v>
      </c>
      <c r="D186">
        <v>1588891</v>
      </c>
      <c r="E186" t="s">
        <v>43</v>
      </c>
      <c r="F186" t="s">
        <v>18</v>
      </c>
      <c r="G186" t="s">
        <v>221</v>
      </c>
      <c r="H186" t="s">
        <v>222</v>
      </c>
      <c r="I186" t="s">
        <v>306</v>
      </c>
      <c r="J186">
        <v>51162049486</v>
      </c>
      <c r="K186" t="s">
        <v>277</v>
      </c>
      <c r="L186" t="s">
        <v>458</v>
      </c>
      <c r="M186">
        <v>100000</v>
      </c>
      <c r="N186" s="10">
        <v>2.9100000000000001E-2</v>
      </c>
      <c r="O186" s="10">
        <f t="shared" si="95"/>
        <v>2910</v>
      </c>
      <c r="P186" s="10" t="s">
        <v>562</v>
      </c>
      <c r="Q186" s="10" t="s">
        <v>562</v>
      </c>
      <c r="R186" s="10" t="str">
        <f>IF(COUNTIF($J$2:J186,J186)=1,SUMIFS($O:$O,$J:$J,J186)+SUMIFS($P:$P,$J:$J,J186)+SUMIFS($Q:$Q,$J:$J,J186),"")</f>
        <v/>
      </c>
      <c r="S186" s="10" t="s">
        <v>562</v>
      </c>
      <c r="T186" s="11" t="str">
        <f>IFERROR(INDEX(AD:AD,MATCH(J186,J:J,0)),"")</f>
        <v>Ok</v>
      </c>
      <c r="U186" s="12">
        <v>45859</v>
      </c>
      <c r="V186" s="10">
        <v>1306.9000000000001</v>
      </c>
      <c r="W186" s="10" t="str">
        <f t="shared" si="96"/>
        <v>N/A</v>
      </c>
      <c r="X186" t="s">
        <v>47</v>
      </c>
      <c r="Y186" t="s">
        <v>24</v>
      </c>
      <c r="Z186">
        <v>100113</v>
      </c>
      <c r="AA186" t="s">
        <v>57</v>
      </c>
      <c r="AB186" t="s">
        <v>65</v>
      </c>
      <c r="AC186" s="9">
        <v>4</v>
      </c>
      <c r="AD186" s="9" t="str">
        <f t="shared" si="97"/>
        <v>N/A</v>
      </c>
      <c r="AE186" s="11" t="e">
        <f t="shared" si="98"/>
        <v>#VALUE!</v>
      </c>
    </row>
    <row r="187" spans="1:31" x14ac:dyDescent="0.3">
      <c r="A187">
        <v>192</v>
      </c>
      <c r="B187">
        <v>4404955</v>
      </c>
      <c r="C187" t="s">
        <v>42</v>
      </c>
      <c r="D187">
        <v>1588891</v>
      </c>
      <c r="E187" t="s">
        <v>43</v>
      </c>
      <c r="F187" t="s">
        <v>18</v>
      </c>
      <c r="G187" t="s">
        <v>221</v>
      </c>
      <c r="H187" t="s">
        <v>222</v>
      </c>
      <c r="I187" t="s">
        <v>306</v>
      </c>
      <c r="J187">
        <v>51162049486</v>
      </c>
      <c r="K187" t="s">
        <v>348</v>
      </c>
      <c r="L187" t="s">
        <v>414</v>
      </c>
      <c r="M187">
        <v>5000</v>
      </c>
      <c r="N187" s="10">
        <v>0.25290000000000001</v>
      </c>
      <c r="O187" s="10">
        <f t="shared" si="95"/>
        <v>1264.5</v>
      </c>
      <c r="P187" s="10" t="s">
        <v>562</v>
      </c>
      <c r="Q187" s="10" t="s">
        <v>562</v>
      </c>
      <c r="R187" s="10" t="str">
        <f>IF(COUNTIF($J$2:J187,J187)=1,SUMIFS($O:$O,$J:$J,J187)+SUMIFS($P:$P,$J:$J,J187)+SUMIFS($Q:$Q,$J:$J,J187),"")</f>
        <v/>
      </c>
      <c r="S187" s="10" t="s">
        <v>562</v>
      </c>
      <c r="T187" s="11" t="str">
        <f>IFERROR(INDEX(AD:AD,MATCH(J187,J:J,0)),"")</f>
        <v>Ok</v>
      </c>
      <c r="U187" s="12">
        <v>45859</v>
      </c>
      <c r="V187" s="10">
        <v>1306.9000000000001</v>
      </c>
      <c r="W187" s="10" t="str">
        <f t="shared" si="96"/>
        <v>N/A</v>
      </c>
      <c r="X187" t="s">
        <v>47</v>
      </c>
      <c r="Y187" t="s">
        <v>24</v>
      </c>
      <c r="Z187">
        <v>100113</v>
      </c>
      <c r="AA187" t="s">
        <v>57</v>
      </c>
      <c r="AB187" t="s">
        <v>65</v>
      </c>
      <c r="AC187" s="9">
        <v>4</v>
      </c>
      <c r="AD187" s="9" t="str">
        <f t="shared" si="97"/>
        <v>N/A</v>
      </c>
      <c r="AE187" s="11" t="e">
        <f t="shared" si="98"/>
        <v>#VALUE!</v>
      </c>
    </row>
    <row r="188" spans="1:31" x14ac:dyDescent="0.3">
      <c r="A188">
        <v>206</v>
      </c>
      <c r="B188">
        <v>4401255</v>
      </c>
      <c r="C188" t="s">
        <v>42</v>
      </c>
      <c r="D188">
        <v>1588891</v>
      </c>
      <c r="E188" t="s">
        <v>43</v>
      </c>
      <c r="F188" t="s">
        <v>18</v>
      </c>
      <c r="G188" t="s">
        <v>219</v>
      </c>
      <c r="H188" t="s">
        <v>220</v>
      </c>
      <c r="I188" t="s">
        <v>422</v>
      </c>
      <c r="J188">
        <v>51163547004</v>
      </c>
      <c r="K188" t="s">
        <v>261</v>
      </c>
      <c r="L188" t="s">
        <v>460</v>
      </c>
      <c r="M188">
        <v>20000</v>
      </c>
      <c r="N188" s="10">
        <v>1.4500000000000001E-2</v>
      </c>
      <c r="O188" s="10">
        <f t="shared" si="95"/>
        <v>290</v>
      </c>
      <c r="P188" s="10">
        <v>0</v>
      </c>
      <c r="Q188" s="10">
        <v>0</v>
      </c>
      <c r="R188" s="10">
        <f>IF(COUNTIF($J$2:J188,J188)=1,SUMIFS($O:$O,$J:$J,J188)+SUMIFS($P:$P,$J:$J,J188)+SUMIFS($Q:$Q,$J:$J,J188),"")</f>
        <v>3833.84</v>
      </c>
      <c r="S188" s="10">
        <v>3833.84</v>
      </c>
      <c r="T188" s="11" t="str">
        <f>IFERROR(INDEX(AD:AD,MATCH(J188,J:J,0)),"")</f>
        <v>Ok</v>
      </c>
      <c r="U188" s="12">
        <v>45824</v>
      </c>
      <c r="V188" s="10">
        <v>184</v>
      </c>
      <c r="W188" s="10" t="str">
        <f t="shared" si="96"/>
        <v>Short Paid</v>
      </c>
      <c r="X188" t="s">
        <v>47</v>
      </c>
      <c r="Y188" t="s">
        <v>24</v>
      </c>
      <c r="Z188">
        <v>100153</v>
      </c>
      <c r="AA188" t="s">
        <v>53</v>
      </c>
      <c r="AB188" t="s">
        <v>65</v>
      </c>
      <c r="AC188" s="9">
        <v>4</v>
      </c>
      <c r="AD188" s="9" t="str">
        <f t="shared" si="97"/>
        <v>Ok</v>
      </c>
      <c r="AE188" s="11">
        <f t="shared" si="98"/>
        <v>0</v>
      </c>
    </row>
    <row r="189" spans="1:31" x14ac:dyDescent="0.3">
      <c r="A189">
        <v>206</v>
      </c>
      <c r="B189">
        <v>4401255</v>
      </c>
      <c r="C189" t="s">
        <v>42</v>
      </c>
      <c r="D189">
        <v>1588891</v>
      </c>
      <c r="E189" t="s">
        <v>43</v>
      </c>
      <c r="F189" t="s">
        <v>18</v>
      </c>
      <c r="G189" t="s">
        <v>219</v>
      </c>
      <c r="H189" t="s">
        <v>220</v>
      </c>
      <c r="I189" t="s">
        <v>422</v>
      </c>
      <c r="J189">
        <v>51163547004</v>
      </c>
      <c r="K189" t="s">
        <v>286</v>
      </c>
      <c r="L189" t="s">
        <v>544</v>
      </c>
      <c r="M189">
        <v>4000</v>
      </c>
      <c r="N189" s="10">
        <v>4.7999999999999996E-3</v>
      </c>
      <c r="O189" s="10">
        <f t="shared" si="95"/>
        <v>19.2</v>
      </c>
      <c r="P189" s="10" t="s">
        <v>562</v>
      </c>
      <c r="Q189" s="10" t="s">
        <v>562</v>
      </c>
      <c r="R189" s="10" t="str">
        <f>IF(COUNTIF($J$2:J189,J189)=1,SUMIFS($O:$O,$J:$J,J189)+SUMIFS($P:$P,$J:$J,J189)+SUMIFS($Q:$Q,$J:$J,J189),"")</f>
        <v/>
      </c>
      <c r="S189" s="10" t="s">
        <v>562</v>
      </c>
      <c r="T189" s="11" t="str">
        <f>IFERROR(INDEX(AD:AD,MATCH(J189,J:J,0)),"")</f>
        <v>Ok</v>
      </c>
      <c r="U189" s="12">
        <v>45824</v>
      </c>
      <c r="V189" s="10">
        <v>184</v>
      </c>
      <c r="W189" s="10" t="str">
        <f t="shared" si="96"/>
        <v>N/A</v>
      </c>
      <c r="X189" t="s">
        <v>47</v>
      </c>
      <c r="Y189" t="s">
        <v>24</v>
      </c>
      <c r="Z189">
        <v>100153</v>
      </c>
      <c r="AA189" t="s">
        <v>53</v>
      </c>
      <c r="AB189" t="s">
        <v>65</v>
      </c>
      <c r="AC189" s="9">
        <v>4</v>
      </c>
      <c r="AD189" s="9" t="str">
        <f t="shared" si="97"/>
        <v>N/A</v>
      </c>
      <c r="AE189" s="11" t="e">
        <f t="shared" si="98"/>
        <v>#VALUE!</v>
      </c>
    </row>
    <row r="190" spans="1:31" x14ac:dyDescent="0.3">
      <c r="A190">
        <v>206</v>
      </c>
      <c r="B190">
        <v>4401255</v>
      </c>
      <c r="C190" t="s">
        <v>42</v>
      </c>
      <c r="D190">
        <v>1588891</v>
      </c>
      <c r="E190" t="s">
        <v>43</v>
      </c>
      <c r="F190" t="s">
        <v>18</v>
      </c>
      <c r="G190" t="s">
        <v>219</v>
      </c>
      <c r="H190" t="s">
        <v>220</v>
      </c>
      <c r="I190" t="s">
        <v>422</v>
      </c>
      <c r="J190">
        <v>51163547004</v>
      </c>
      <c r="K190" t="s">
        <v>303</v>
      </c>
      <c r="L190" t="s">
        <v>461</v>
      </c>
      <c r="M190">
        <v>2592</v>
      </c>
      <c r="N190" s="10">
        <v>1.27</v>
      </c>
      <c r="O190" s="10">
        <f t="shared" si="95"/>
        <v>3291.84</v>
      </c>
      <c r="P190" s="10" t="s">
        <v>562</v>
      </c>
      <c r="Q190" s="10" t="s">
        <v>562</v>
      </c>
      <c r="R190" s="10" t="str">
        <f>IF(COUNTIF($J$2:J190,J190)=1,SUMIFS($O:$O,$J:$J,J190)+SUMIFS($P:$P,$J:$J,J190)+SUMIFS($Q:$Q,$J:$J,J190),"")</f>
        <v/>
      </c>
      <c r="S190" s="10" t="s">
        <v>562</v>
      </c>
      <c r="T190" s="11" t="str">
        <f>IFERROR(INDEX(AD:AD,MATCH(J190,J:J,0)),"")</f>
        <v>Ok</v>
      </c>
      <c r="U190" s="12">
        <v>45824</v>
      </c>
      <c r="V190" s="10">
        <v>184</v>
      </c>
      <c r="W190" s="10" t="str">
        <f t="shared" si="96"/>
        <v>N/A</v>
      </c>
      <c r="X190" t="s">
        <v>47</v>
      </c>
      <c r="Y190" t="s">
        <v>24</v>
      </c>
      <c r="Z190">
        <v>100153</v>
      </c>
      <c r="AA190" t="s">
        <v>53</v>
      </c>
      <c r="AB190" t="s">
        <v>65</v>
      </c>
      <c r="AC190" s="9">
        <v>4</v>
      </c>
      <c r="AD190" s="9" t="str">
        <f t="shared" si="97"/>
        <v>N/A</v>
      </c>
      <c r="AE190" s="11" t="e">
        <f t="shared" si="98"/>
        <v>#VALUE!</v>
      </c>
    </row>
    <row r="191" spans="1:31" x14ac:dyDescent="0.3">
      <c r="A191">
        <v>206</v>
      </c>
      <c r="B191">
        <v>4401255</v>
      </c>
      <c r="C191" t="s">
        <v>42</v>
      </c>
      <c r="D191">
        <v>1588891</v>
      </c>
      <c r="E191" t="s">
        <v>43</v>
      </c>
      <c r="F191" t="s">
        <v>18</v>
      </c>
      <c r="G191" t="s">
        <v>219</v>
      </c>
      <c r="H191" t="s">
        <v>220</v>
      </c>
      <c r="I191" t="s">
        <v>422</v>
      </c>
      <c r="J191">
        <v>51163547004</v>
      </c>
      <c r="K191" t="s">
        <v>350</v>
      </c>
      <c r="L191" t="s">
        <v>555</v>
      </c>
      <c r="M191">
        <v>8000</v>
      </c>
      <c r="N191" s="10">
        <v>2.9100000000000001E-2</v>
      </c>
      <c r="O191" s="10">
        <f t="shared" si="95"/>
        <v>232.8</v>
      </c>
      <c r="P191" s="10" t="s">
        <v>562</v>
      </c>
      <c r="Q191" s="10" t="s">
        <v>562</v>
      </c>
      <c r="R191" s="10" t="str">
        <f>IF(COUNTIF($J$2:J191,J191)=1,SUMIFS($O:$O,$J:$J,J191)+SUMIFS($P:$P,$J:$J,J191)+SUMIFS($Q:$Q,$J:$J,J191),"")</f>
        <v/>
      </c>
      <c r="S191" s="10" t="s">
        <v>562</v>
      </c>
      <c r="T191" s="11" t="str">
        <f>IFERROR(INDEX(AD:AD,MATCH(J191,J:J,0)),"")</f>
        <v>Ok</v>
      </c>
      <c r="U191" s="12">
        <v>45824</v>
      </c>
      <c r="V191" s="10">
        <v>184</v>
      </c>
      <c r="W191" s="10" t="str">
        <f t="shared" si="96"/>
        <v>N/A</v>
      </c>
      <c r="X191" t="s">
        <v>47</v>
      </c>
      <c r="Y191" t="s">
        <v>24</v>
      </c>
      <c r="Z191">
        <v>100153</v>
      </c>
      <c r="AA191" t="s">
        <v>53</v>
      </c>
      <c r="AB191" t="s">
        <v>65</v>
      </c>
      <c r="AC191" s="9">
        <v>4</v>
      </c>
      <c r="AD191" s="9" t="str">
        <f t="shared" si="97"/>
        <v>N/A</v>
      </c>
      <c r="AE191" s="11" t="e">
        <f t="shared" si="98"/>
        <v>#VALUE!</v>
      </c>
    </row>
    <row r="192" spans="1:31" x14ac:dyDescent="0.3">
      <c r="AD192" s="16"/>
      <c r="AE192" s="11"/>
    </row>
    <row r="193" spans="30:31" x14ac:dyDescent="0.3">
      <c r="AD193" s="16"/>
      <c r="AE193" s="11"/>
    </row>
    <row r="194" spans="30:31" x14ac:dyDescent="0.3">
      <c r="AD194" s="16"/>
      <c r="AE194" s="11"/>
    </row>
    <row r="195" spans="30:31" x14ac:dyDescent="0.3">
      <c r="AD195" s="16"/>
      <c r="AE195" s="11"/>
    </row>
    <row r="196" spans="30:31" x14ac:dyDescent="0.3">
      <c r="AD196" s="16"/>
      <c r="AE196" s="11"/>
    </row>
    <row r="197" spans="30:31" x14ac:dyDescent="0.3">
      <c r="AD197" s="16"/>
      <c r="AE197" s="11"/>
    </row>
    <row r="198" spans="30:31" x14ac:dyDescent="0.3">
      <c r="AD198" s="16"/>
      <c r="AE198" s="11"/>
    </row>
    <row r="199" spans="30:31" x14ac:dyDescent="0.3">
      <c r="AD199" s="16"/>
      <c r="AE199" s="11"/>
    </row>
    <row r="200" spans="30:31" x14ac:dyDescent="0.3">
      <c r="AD200" s="16"/>
      <c r="AE200" s="11"/>
    </row>
    <row r="201" spans="30:31" x14ac:dyDescent="0.3">
      <c r="AD201" s="16"/>
      <c r="AE201" s="11"/>
    </row>
    <row r="202" spans="30:31" x14ac:dyDescent="0.3">
      <c r="AD202" s="16"/>
      <c r="AE202" s="11"/>
    </row>
    <row r="203" spans="30:31" x14ac:dyDescent="0.3">
      <c r="AD203" s="16"/>
      <c r="AE203" s="11"/>
    </row>
    <row r="204" spans="30:31" x14ac:dyDescent="0.3">
      <c r="AD204" s="16"/>
      <c r="AE204" s="11"/>
    </row>
    <row r="205" spans="30:31" x14ac:dyDescent="0.3">
      <c r="AD205" s="16"/>
      <c r="AE205" s="11"/>
    </row>
    <row r="206" spans="30:31" x14ac:dyDescent="0.3">
      <c r="AD206" s="16"/>
      <c r="AE206" s="11"/>
    </row>
    <row r="207" spans="30:31" x14ac:dyDescent="0.3">
      <c r="AD207" s="16"/>
      <c r="AE207" s="11"/>
    </row>
    <row r="208" spans="30:31" x14ac:dyDescent="0.3">
      <c r="AD208" s="16"/>
      <c r="AE208" s="11"/>
    </row>
    <row r="209" spans="30:31" x14ac:dyDescent="0.3">
      <c r="AD209" s="16"/>
      <c r="AE209" s="11"/>
    </row>
    <row r="210" spans="30:31" x14ac:dyDescent="0.3">
      <c r="AD210" s="16"/>
      <c r="AE210" s="11"/>
    </row>
    <row r="211" spans="30:31" x14ac:dyDescent="0.3">
      <c r="AD211" s="16"/>
      <c r="AE211" s="11"/>
    </row>
    <row r="212" spans="30:31" x14ac:dyDescent="0.3">
      <c r="AD212" s="16"/>
      <c r="AE212" s="11"/>
    </row>
    <row r="213" spans="30:31" x14ac:dyDescent="0.3">
      <c r="AD213" s="16"/>
      <c r="AE213" s="11"/>
    </row>
    <row r="214" spans="30:31" x14ac:dyDescent="0.3">
      <c r="AD214" s="16"/>
      <c r="AE214" s="11"/>
    </row>
    <row r="215" spans="30:31" x14ac:dyDescent="0.3">
      <c r="AD215" s="16"/>
      <c r="AE215" s="11"/>
    </row>
    <row r="216" spans="30:31" x14ac:dyDescent="0.3">
      <c r="AD216" s="16"/>
      <c r="AE216" s="11"/>
    </row>
    <row r="217" spans="30:31" x14ac:dyDescent="0.3">
      <c r="AD217" s="16"/>
      <c r="AE217" s="11"/>
    </row>
    <row r="218" spans="30:31" x14ac:dyDescent="0.3">
      <c r="AD218" s="16"/>
      <c r="AE218" s="11"/>
    </row>
    <row r="219" spans="30:31" x14ac:dyDescent="0.3">
      <c r="AD219" s="16"/>
      <c r="AE219" s="11"/>
    </row>
    <row r="220" spans="30:31" x14ac:dyDescent="0.3">
      <c r="AD220" s="16"/>
      <c r="AE220" s="11"/>
    </row>
    <row r="221" spans="30:31" x14ac:dyDescent="0.3">
      <c r="AD221" s="16"/>
      <c r="AE221" s="11"/>
    </row>
    <row r="222" spans="30:31" x14ac:dyDescent="0.3">
      <c r="AD222" s="16"/>
      <c r="AE222" s="11"/>
    </row>
    <row r="223" spans="30:31" x14ac:dyDescent="0.3">
      <c r="AD223" s="16"/>
      <c r="AE223" s="11"/>
    </row>
    <row r="224" spans="30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  <c r="AE226" s="11"/>
    </row>
    <row r="227" spans="30:31" x14ac:dyDescent="0.3">
      <c r="AD227" s="16"/>
      <c r="AE227" s="11"/>
    </row>
    <row r="228" spans="30:31" x14ac:dyDescent="0.3">
      <c r="AD228" s="16"/>
      <c r="AE228" s="11"/>
    </row>
    <row r="229" spans="30:31" x14ac:dyDescent="0.3">
      <c r="AD229" s="16"/>
      <c r="AE229" s="11"/>
    </row>
    <row r="230" spans="30:31" x14ac:dyDescent="0.3">
      <c r="AD230" s="16"/>
      <c r="AE230" s="11"/>
    </row>
    <row r="231" spans="30:31" x14ac:dyDescent="0.3">
      <c r="AD231" s="16"/>
      <c r="AE231" s="11"/>
    </row>
    <row r="232" spans="30:31" x14ac:dyDescent="0.3">
      <c r="AD232" s="16"/>
      <c r="AE232" s="11"/>
    </row>
    <row r="233" spans="30:31" x14ac:dyDescent="0.3">
      <c r="AD233" s="16"/>
      <c r="AE233" s="11"/>
    </row>
    <row r="234" spans="30:31" x14ac:dyDescent="0.3">
      <c r="AD234" s="16"/>
      <c r="AE234" s="11"/>
    </row>
    <row r="235" spans="30:31" x14ac:dyDescent="0.3">
      <c r="AD235" s="16"/>
      <c r="AE235" s="11"/>
    </row>
    <row r="236" spans="30:31" x14ac:dyDescent="0.3">
      <c r="AD236" s="16"/>
      <c r="AE236" s="11"/>
    </row>
    <row r="237" spans="30:31" x14ac:dyDescent="0.3">
      <c r="AD237" s="16"/>
      <c r="AE237" s="11"/>
    </row>
    <row r="238" spans="30:31" x14ac:dyDescent="0.3">
      <c r="AD238" s="16"/>
      <c r="AE238" s="11"/>
    </row>
    <row r="239" spans="30:31" x14ac:dyDescent="0.3">
      <c r="AD239" s="16"/>
      <c r="AE239" s="11"/>
    </row>
    <row r="240" spans="30:31" x14ac:dyDescent="0.3">
      <c r="AD240" s="16"/>
      <c r="AE240" s="11"/>
    </row>
    <row r="241" spans="30:31" x14ac:dyDescent="0.3">
      <c r="AD241" s="16"/>
      <c r="AE241" s="11"/>
    </row>
    <row r="242" spans="30:31" x14ac:dyDescent="0.3">
      <c r="AD242" s="16"/>
      <c r="AE242" s="11"/>
    </row>
    <row r="243" spans="30:31" x14ac:dyDescent="0.3">
      <c r="AD243" s="16"/>
      <c r="AE243" s="11"/>
    </row>
    <row r="244" spans="30:31" x14ac:dyDescent="0.3">
      <c r="AD244" s="16"/>
      <c r="AE244" s="11"/>
    </row>
    <row r="245" spans="30:31" x14ac:dyDescent="0.3">
      <c r="AD245" s="16"/>
      <c r="AE245" s="11"/>
    </row>
    <row r="246" spans="30:31" x14ac:dyDescent="0.3">
      <c r="AD246" s="16"/>
      <c r="AE246" s="11"/>
    </row>
    <row r="247" spans="30:31" x14ac:dyDescent="0.3">
      <c r="AD247" s="16"/>
      <c r="AE247" s="11"/>
    </row>
    <row r="248" spans="30:31" x14ac:dyDescent="0.3">
      <c r="AD248" s="16"/>
      <c r="AE248" s="11"/>
    </row>
    <row r="249" spans="30:31" x14ac:dyDescent="0.3">
      <c r="AD249" s="16"/>
      <c r="AE249" s="11"/>
    </row>
    <row r="250" spans="30:31" x14ac:dyDescent="0.3">
      <c r="AD250" s="16"/>
      <c r="AE250" s="11"/>
    </row>
    <row r="251" spans="30:31" x14ac:dyDescent="0.3">
      <c r="AD251" s="16"/>
      <c r="AE251" s="11"/>
    </row>
    <row r="252" spans="30:31" x14ac:dyDescent="0.3">
      <c r="AD252" s="16"/>
      <c r="AE252" s="11"/>
    </row>
    <row r="253" spans="30:31" x14ac:dyDescent="0.3">
      <c r="AD253" s="16"/>
      <c r="AE253" s="11"/>
    </row>
    <row r="254" spans="30:31" x14ac:dyDescent="0.3">
      <c r="AD254" s="16"/>
      <c r="AE254" s="11"/>
    </row>
    <row r="255" spans="30:31" x14ac:dyDescent="0.3">
      <c r="AD255" s="16"/>
      <c r="AE255" s="11"/>
    </row>
    <row r="256" spans="30:31" x14ac:dyDescent="0.3">
      <c r="AD256" s="16"/>
      <c r="AE256" s="11"/>
    </row>
    <row r="257" spans="30:31" x14ac:dyDescent="0.3">
      <c r="AD257" s="16"/>
      <c r="AE257" s="11"/>
    </row>
    <row r="258" spans="30:31" x14ac:dyDescent="0.3">
      <c r="AD258" s="16"/>
      <c r="AE258" s="11"/>
    </row>
    <row r="259" spans="30:31" x14ac:dyDescent="0.3">
      <c r="AD259" s="16"/>
      <c r="AE259" s="11"/>
    </row>
    <row r="260" spans="30:31" x14ac:dyDescent="0.3">
      <c r="AD260" s="16"/>
      <c r="AE260" s="11"/>
    </row>
    <row r="261" spans="30:31" x14ac:dyDescent="0.3">
      <c r="AD261" s="16"/>
      <c r="AE261" s="11"/>
    </row>
    <row r="262" spans="30:31" x14ac:dyDescent="0.3">
      <c r="AD262" s="16"/>
      <c r="AE262" s="11"/>
    </row>
    <row r="263" spans="30:31" x14ac:dyDescent="0.3">
      <c r="AD263" s="16"/>
      <c r="AE263" s="11"/>
    </row>
    <row r="264" spans="30:31" x14ac:dyDescent="0.3">
      <c r="AD264" s="16"/>
      <c r="AE264" s="11"/>
    </row>
    <row r="265" spans="30:31" x14ac:dyDescent="0.3">
      <c r="AD265" s="16"/>
      <c r="AE265" s="11"/>
    </row>
    <row r="266" spans="30:31" x14ac:dyDescent="0.3">
      <c r="AD266" s="16"/>
      <c r="AE266" s="11"/>
    </row>
    <row r="267" spans="30:31" x14ac:dyDescent="0.3">
      <c r="AD267" s="16"/>
      <c r="AE267" s="11"/>
    </row>
    <row r="268" spans="30:31" x14ac:dyDescent="0.3">
      <c r="AD268" s="16"/>
      <c r="AE268" s="11"/>
    </row>
    <row r="269" spans="30:31" x14ac:dyDescent="0.3">
      <c r="AD269" s="16"/>
      <c r="AE269" s="11"/>
    </row>
    <row r="270" spans="30:31" x14ac:dyDescent="0.3">
      <c r="AD270" s="16"/>
      <c r="AE270" s="11"/>
    </row>
    <row r="271" spans="30:31" x14ac:dyDescent="0.3">
      <c r="AD271" s="16"/>
      <c r="AE271" s="11"/>
    </row>
    <row r="272" spans="30:31" x14ac:dyDescent="0.3">
      <c r="AD272" s="16"/>
      <c r="AE272" s="11"/>
    </row>
    <row r="273" spans="30:31" x14ac:dyDescent="0.3">
      <c r="AD273" s="16"/>
      <c r="AE273" s="11"/>
    </row>
    <row r="274" spans="30:31" x14ac:dyDescent="0.3">
      <c r="AD274" s="16"/>
      <c r="AE274" s="11"/>
    </row>
    <row r="275" spans="30:31" x14ac:dyDescent="0.3">
      <c r="AD275" s="16"/>
      <c r="AE275" s="11"/>
    </row>
    <row r="276" spans="30:31" x14ac:dyDescent="0.3">
      <c r="AD276" s="16"/>
      <c r="AE276" s="11"/>
    </row>
    <row r="277" spans="30:31" x14ac:dyDescent="0.3">
      <c r="AD277" s="16"/>
      <c r="AE277" s="11"/>
    </row>
    <row r="278" spans="30:31" x14ac:dyDescent="0.3">
      <c r="AD278" s="16"/>
      <c r="AE278" s="11"/>
    </row>
    <row r="279" spans="30:31" x14ac:dyDescent="0.3">
      <c r="AD279" s="16"/>
      <c r="AE279" s="11"/>
    </row>
    <row r="280" spans="30:31" x14ac:dyDescent="0.3">
      <c r="AD280" s="16"/>
      <c r="AE280" s="11"/>
    </row>
    <row r="281" spans="30:31" x14ac:dyDescent="0.3">
      <c r="AD281" s="16"/>
      <c r="AE281" s="11"/>
    </row>
    <row r="282" spans="30:31" x14ac:dyDescent="0.3">
      <c r="AD282" s="16"/>
      <c r="AE282" s="11"/>
    </row>
    <row r="283" spans="30:31" x14ac:dyDescent="0.3">
      <c r="AD283" s="16"/>
      <c r="AE283" s="11"/>
    </row>
    <row r="284" spans="30:31" x14ac:dyDescent="0.3">
      <c r="AD284" s="16"/>
      <c r="AE284" s="11"/>
    </row>
    <row r="285" spans="30:31" x14ac:dyDescent="0.3">
      <c r="AD285" s="16"/>
      <c r="AE285" s="11"/>
    </row>
    <row r="286" spans="30:31" x14ac:dyDescent="0.3">
      <c r="AD286" s="16"/>
      <c r="AE286" s="11"/>
    </row>
    <row r="287" spans="30:31" x14ac:dyDescent="0.3">
      <c r="AD287" s="16"/>
      <c r="AE287" s="11"/>
    </row>
    <row r="288" spans="30:31" x14ac:dyDescent="0.3">
      <c r="AD288" s="16"/>
      <c r="AE288" s="11"/>
    </row>
    <row r="289" spans="30:31" x14ac:dyDescent="0.3">
      <c r="AD289" s="16"/>
      <c r="AE289" s="11"/>
    </row>
    <row r="290" spans="30:31" x14ac:dyDescent="0.3">
      <c r="AD290" s="16"/>
      <c r="AE290" s="11"/>
    </row>
    <row r="291" spans="30:31" x14ac:dyDescent="0.3">
      <c r="AD291" s="16"/>
      <c r="AE291" s="11"/>
    </row>
    <row r="292" spans="30:31" x14ac:dyDescent="0.3">
      <c r="AD292" s="16"/>
      <c r="AE292" s="11"/>
    </row>
    <row r="293" spans="30:31" x14ac:dyDescent="0.3">
      <c r="AD293" s="16"/>
      <c r="AE293" s="11"/>
    </row>
    <row r="294" spans="30:31" x14ac:dyDescent="0.3">
      <c r="AD294" s="16"/>
      <c r="AE294" s="11"/>
    </row>
    <row r="295" spans="30:31" x14ac:dyDescent="0.3">
      <c r="AD295" s="16"/>
      <c r="AE295" s="11"/>
    </row>
    <row r="296" spans="30:31" x14ac:dyDescent="0.3">
      <c r="AD296" s="16"/>
      <c r="AE296" s="11"/>
    </row>
    <row r="297" spans="30:31" x14ac:dyDescent="0.3">
      <c r="AD297" s="16"/>
      <c r="AE297" s="11"/>
    </row>
    <row r="298" spans="30:31" x14ac:dyDescent="0.3">
      <c r="AD298" s="16"/>
      <c r="AE298" s="11"/>
    </row>
    <row r="299" spans="30:31" x14ac:dyDescent="0.3">
      <c r="AD299" s="16"/>
      <c r="AE299" s="11"/>
    </row>
    <row r="300" spans="30:31" x14ac:dyDescent="0.3">
      <c r="AD300" s="16"/>
      <c r="AE300" s="11"/>
    </row>
    <row r="301" spans="30:31" x14ac:dyDescent="0.3">
      <c r="AD301" s="16"/>
      <c r="AE301" s="11"/>
    </row>
    <row r="302" spans="30:31" x14ac:dyDescent="0.3">
      <c r="AD302" s="16"/>
      <c r="AE302" s="11"/>
    </row>
    <row r="303" spans="30:31" x14ac:dyDescent="0.3">
      <c r="AD303" s="16"/>
      <c r="AE303" s="11"/>
    </row>
    <row r="304" spans="30:31" x14ac:dyDescent="0.3">
      <c r="AD304" s="16"/>
      <c r="AE304" s="11"/>
    </row>
    <row r="305" spans="30:31" x14ac:dyDescent="0.3">
      <c r="AD305" s="16"/>
      <c r="AE305" s="11"/>
    </row>
    <row r="306" spans="30:31" x14ac:dyDescent="0.3">
      <c r="AD306" s="16"/>
      <c r="AE306" s="11"/>
    </row>
    <row r="307" spans="30:31" x14ac:dyDescent="0.3">
      <c r="AD307" s="16"/>
      <c r="AE307" s="11"/>
    </row>
    <row r="308" spans="30:31" x14ac:dyDescent="0.3">
      <c r="AD308" s="16"/>
      <c r="AE308" s="11"/>
    </row>
    <row r="309" spans="30:31" x14ac:dyDescent="0.3">
      <c r="AD309" s="16"/>
      <c r="AE309" s="11"/>
    </row>
    <row r="310" spans="30:31" x14ac:dyDescent="0.3">
      <c r="AD310" s="16"/>
      <c r="AE310" s="11"/>
    </row>
    <row r="311" spans="30:31" x14ac:dyDescent="0.3">
      <c r="AD311" s="16"/>
      <c r="AE311" s="11"/>
    </row>
    <row r="312" spans="30:31" x14ac:dyDescent="0.3">
      <c r="AD312" s="16"/>
      <c r="AE312" s="11"/>
    </row>
    <row r="313" spans="30:31" x14ac:dyDescent="0.3">
      <c r="AD313" s="16"/>
      <c r="AE313" s="11"/>
    </row>
    <row r="314" spans="30:31" x14ac:dyDescent="0.3">
      <c r="AD314" s="16"/>
      <c r="AE314" s="11"/>
    </row>
    <row r="315" spans="30:31" x14ac:dyDescent="0.3">
      <c r="AD315" s="16"/>
      <c r="AE315" s="11"/>
    </row>
    <row r="316" spans="30:31" x14ac:dyDescent="0.3">
      <c r="AD316" s="16"/>
      <c r="AE316" s="11"/>
    </row>
    <row r="317" spans="30:31" x14ac:dyDescent="0.3">
      <c r="AD317" s="16"/>
      <c r="AE317" s="11"/>
    </row>
    <row r="318" spans="30:31" x14ac:dyDescent="0.3">
      <c r="AD318" s="16"/>
      <c r="AE318" s="11"/>
    </row>
    <row r="319" spans="30:31" x14ac:dyDescent="0.3">
      <c r="AD319" s="16"/>
      <c r="AE319" s="11"/>
    </row>
    <row r="320" spans="30:31" x14ac:dyDescent="0.3">
      <c r="AD320" s="16"/>
      <c r="AE320" s="11"/>
    </row>
    <row r="321" spans="30:31" x14ac:dyDescent="0.3">
      <c r="AD321" s="16"/>
      <c r="AE321" s="11"/>
    </row>
    <row r="322" spans="30:31" x14ac:dyDescent="0.3">
      <c r="AD322" s="16"/>
      <c r="AE322" s="11"/>
    </row>
    <row r="323" spans="30:31" x14ac:dyDescent="0.3">
      <c r="AD323" s="16"/>
      <c r="AE323" s="11"/>
    </row>
    <row r="324" spans="30:31" x14ac:dyDescent="0.3">
      <c r="AD324" s="16"/>
      <c r="AE324" s="11"/>
    </row>
    <row r="325" spans="30:31" x14ac:dyDescent="0.3">
      <c r="AD325" s="16"/>
    </row>
    <row r="326" spans="30:31" x14ac:dyDescent="0.3">
      <c r="AD326" s="16"/>
    </row>
    <row r="327" spans="30:31" x14ac:dyDescent="0.3">
      <c r="AD327" s="16"/>
    </row>
    <row r="328" spans="30:31" x14ac:dyDescent="0.3">
      <c r="AD328" s="16"/>
    </row>
    <row r="329" spans="30:31" x14ac:dyDescent="0.3">
      <c r="AD329" s="16"/>
    </row>
    <row r="330" spans="30:31" x14ac:dyDescent="0.3">
      <c r="AD330" s="16"/>
    </row>
    <row r="331" spans="30:31" x14ac:dyDescent="0.3">
      <c r="AD331" s="16"/>
    </row>
    <row r="332" spans="30:31" x14ac:dyDescent="0.3">
      <c r="AD332" s="16"/>
    </row>
    <row r="333" spans="30:31" x14ac:dyDescent="0.3">
      <c r="AD333" s="16"/>
    </row>
    <row r="334" spans="30:31" x14ac:dyDescent="0.3">
      <c r="AD334" s="16"/>
    </row>
    <row r="335" spans="30:31" x14ac:dyDescent="0.3">
      <c r="AD335" s="16"/>
    </row>
    <row r="336" spans="30:31" x14ac:dyDescent="0.3">
      <c r="AD336" s="16"/>
    </row>
    <row r="337" spans="30:30" x14ac:dyDescent="0.3">
      <c r="AD337" s="16"/>
    </row>
    <row r="338" spans="30:30" x14ac:dyDescent="0.3">
      <c r="AD338" s="16"/>
    </row>
    <row r="339" spans="30:30" x14ac:dyDescent="0.3">
      <c r="AD339" s="16"/>
    </row>
    <row r="340" spans="30:30" x14ac:dyDescent="0.3">
      <c r="AD340" s="16"/>
    </row>
    <row r="341" spans="30:30" x14ac:dyDescent="0.3">
      <c r="AD341" s="16"/>
    </row>
    <row r="342" spans="30:30" x14ac:dyDescent="0.3">
      <c r="AD342" s="16"/>
    </row>
    <row r="343" spans="30:30" x14ac:dyDescent="0.3">
      <c r="AD343" s="16"/>
    </row>
    <row r="344" spans="30:30" x14ac:dyDescent="0.3">
      <c r="AD344" s="16"/>
    </row>
    <row r="345" spans="30:30" x14ac:dyDescent="0.3">
      <c r="AD345" s="16"/>
    </row>
    <row r="346" spans="30:30" x14ac:dyDescent="0.3">
      <c r="AD346" s="16"/>
    </row>
    <row r="347" spans="30:30" x14ac:dyDescent="0.3">
      <c r="AD347" s="16"/>
    </row>
    <row r="348" spans="30:30" x14ac:dyDescent="0.3">
      <c r="AD348" s="16"/>
    </row>
    <row r="349" spans="30:30" x14ac:dyDescent="0.3">
      <c r="AD349" s="16"/>
    </row>
    <row r="350" spans="30:30" x14ac:dyDescent="0.3">
      <c r="AD350" s="16"/>
    </row>
    <row r="351" spans="30:30" x14ac:dyDescent="0.3">
      <c r="AD351" s="16"/>
    </row>
    <row r="352" spans="30:30" x14ac:dyDescent="0.3">
      <c r="AD352" s="16"/>
    </row>
    <row r="353" spans="30:30" x14ac:dyDescent="0.3">
      <c r="AD353" s="16"/>
    </row>
    <row r="354" spans="30:30" x14ac:dyDescent="0.3">
      <c r="AD354" s="16"/>
    </row>
    <row r="355" spans="30:30" x14ac:dyDescent="0.3">
      <c r="AD355" s="16"/>
    </row>
    <row r="356" spans="30:30" x14ac:dyDescent="0.3">
      <c r="AD356" s="16"/>
    </row>
    <row r="357" spans="30:30" x14ac:dyDescent="0.3">
      <c r="AD357" s="16"/>
    </row>
    <row r="358" spans="30:30" x14ac:dyDescent="0.3">
      <c r="AD358" s="16"/>
    </row>
    <row r="359" spans="30:30" x14ac:dyDescent="0.3">
      <c r="AD359" s="16"/>
    </row>
    <row r="360" spans="30:30" x14ac:dyDescent="0.3">
      <c r="AD360" s="16"/>
    </row>
    <row r="361" spans="30:30" x14ac:dyDescent="0.3">
      <c r="AD361" s="16"/>
    </row>
    <row r="362" spans="30:30" x14ac:dyDescent="0.3">
      <c r="AD362" s="16"/>
    </row>
    <row r="363" spans="30:30" x14ac:dyDescent="0.3">
      <c r="AD363" s="16"/>
    </row>
    <row r="364" spans="30:30" x14ac:dyDescent="0.3">
      <c r="AD364" s="16"/>
    </row>
    <row r="365" spans="30:30" x14ac:dyDescent="0.3">
      <c r="AD365" s="16"/>
    </row>
    <row r="366" spans="30:30" x14ac:dyDescent="0.3">
      <c r="AD366" s="16"/>
    </row>
    <row r="367" spans="30:30" x14ac:dyDescent="0.3">
      <c r="AD367" s="16"/>
    </row>
    <row r="368" spans="30:30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</sheetData>
  <autoFilter ref="A1:AE191" xr:uid="{A292BA29-1C04-4166-9AAF-BBDF6942DD99}"/>
  <sortState xmlns:xlrd2="http://schemas.microsoft.com/office/spreadsheetml/2017/richdata2" ref="A2:AE4">
    <sortCondition descending="1" ref="A1:A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17" t="s">
        <v>41</v>
      </c>
    </row>
    <row r="2" spans="1:31" x14ac:dyDescent="0.3">
      <c r="A2">
        <v>177</v>
      </c>
      <c r="B2">
        <v>4407234</v>
      </c>
      <c r="C2" t="s">
        <v>42</v>
      </c>
      <c r="D2">
        <v>1143963</v>
      </c>
      <c r="E2" t="s">
        <v>71</v>
      </c>
      <c r="F2" t="s">
        <v>21</v>
      </c>
      <c r="G2" t="s">
        <v>223</v>
      </c>
      <c r="H2" t="s">
        <v>224</v>
      </c>
      <c r="I2" s="9" t="s">
        <v>324</v>
      </c>
      <c r="J2" s="9">
        <v>51162969955</v>
      </c>
      <c r="K2" s="14" t="s">
        <v>405</v>
      </c>
      <c r="L2" s="13" t="s">
        <v>435</v>
      </c>
      <c r="M2" s="14">
        <v>90</v>
      </c>
      <c r="N2" s="14">
        <v>307.83999999999997</v>
      </c>
      <c r="O2" s="10">
        <f t="shared" ref="O2" si="0">M2*N2</f>
        <v>27705.599999999999</v>
      </c>
      <c r="P2" s="11">
        <v>0</v>
      </c>
      <c r="Q2" s="11">
        <v>0</v>
      </c>
      <c r="R2" s="10">
        <f>IF(COUNTIF($J$2:J2,J2)=1,SUMIFS($O:$O,$J:$J,J2)+SUMIFS($P:$P,$J:$J,J2)+SUMIFS($Q:$Q,$J:$J,J2),"")</f>
        <v>27705.599999999999</v>
      </c>
      <c r="S2" s="10">
        <v>32323.200000000001</v>
      </c>
      <c r="T2" s="11" t="str">
        <f>IFERROR(INDEX(AD:AD,MATCH(J2,J:J,0)),"")</f>
        <v>Check</v>
      </c>
      <c r="U2" s="12">
        <v>45973</v>
      </c>
      <c r="V2" s="10">
        <v>969.7</v>
      </c>
      <c r="W2" s="10" t="str">
        <f t="shared" ref="W2" si="1">IF(OR(S2="",V2=""),"N/A",IF(S2&lt;&gt;V2,"Short Paid","Not Paid"))</f>
        <v>Short Paid</v>
      </c>
      <c r="X2" t="s">
        <v>61</v>
      </c>
      <c r="Y2" t="s">
        <v>33</v>
      </c>
      <c r="Z2">
        <v>100149</v>
      </c>
      <c r="AA2" t="s">
        <v>254</v>
      </c>
      <c r="AB2" t="s">
        <v>247</v>
      </c>
      <c r="AC2" s="9">
        <f>COUNTIF(J:J,J2)</f>
        <v>1</v>
      </c>
      <c r="AD2" s="9" t="str">
        <f t="shared" ref="AD2" si="2">IF(AND(R2="",S2=""),"N/A",IF(R2=S2,"Ok","Check"))</f>
        <v>Check</v>
      </c>
      <c r="AE2" s="11">
        <f t="shared" ref="AE2" si="3">R2-S2</f>
        <v>-4617.6000000000022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E8" sqref="E8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15" t="s">
        <v>40</v>
      </c>
      <c r="AE1" s="15" t="s">
        <v>41</v>
      </c>
    </row>
    <row r="2" spans="1:31" x14ac:dyDescent="0.3">
      <c r="A2">
        <v>93</v>
      </c>
      <c r="B2">
        <v>4568388</v>
      </c>
      <c r="C2" t="s">
        <v>42</v>
      </c>
      <c r="D2">
        <v>1588891</v>
      </c>
      <c r="E2" t="s">
        <v>43</v>
      </c>
      <c r="F2" t="s">
        <v>19</v>
      </c>
      <c r="G2" t="s">
        <v>231</v>
      </c>
      <c r="H2" t="s">
        <v>232</v>
      </c>
      <c r="I2" t="s">
        <v>397</v>
      </c>
      <c r="J2">
        <v>50113163492</v>
      </c>
      <c r="K2" t="s">
        <v>261</v>
      </c>
      <c r="L2" t="s">
        <v>260</v>
      </c>
      <c r="M2">
        <v>3000</v>
      </c>
      <c r="N2" s="10">
        <v>6.5799999999999997E-2</v>
      </c>
      <c r="O2" s="10">
        <f t="shared" ref="O2:O3" si="0">M2*N2</f>
        <v>197.4</v>
      </c>
      <c r="P2" s="10">
        <v>0</v>
      </c>
      <c r="Q2" s="10">
        <v>0</v>
      </c>
      <c r="R2" s="10">
        <f>IF(COUNTIF($J$2:J2,J2)=1,SUMIFS($O:$O,$J:$J,J2)+SUMIFS($P:$P,$J:$J,J2)+SUMIFS($Q:$Q,$J:$J,J2),"")</f>
        <v>897.4</v>
      </c>
      <c r="S2" s="10">
        <v>1255.8</v>
      </c>
      <c r="T2" s="11" t="str">
        <f>IFERROR(INDEX(AD:AD,MATCH(J2,J:J,0)),"")</f>
        <v>Check</v>
      </c>
      <c r="U2" s="12">
        <v>45777</v>
      </c>
      <c r="V2" s="10">
        <v>394.8</v>
      </c>
      <c r="W2" s="10" t="str">
        <f t="shared" ref="W2:W3" si="1">IF(OR(S2="",V2=""),"N/A",IF(S2&lt;&gt;V2,"Short Paid","Not Paid"))</f>
        <v>Short Paid</v>
      </c>
      <c r="X2" t="s">
        <v>47</v>
      </c>
      <c r="Y2" t="s">
        <v>24</v>
      </c>
      <c r="Z2">
        <v>100243</v>
      </c>
      <c r="AA2" t="s">
        <v>54</v>
      </c>
      <c r="AB2" t="s">
        <v>66</v>
      </c>
      <c r="AC2" s="9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-358.4</v>
      </c>
    </row>
    <row r="3" spans="1:31" x14ac:dyDescent="0.3">
      <c r="A3">
        <v>93</v>
      </c>
      <c r="B3">
        <v>4568388</v>
      </c>
      <c r="C3" t="s">
        <v>42</v>
      </c>
      <c r="D3">
        <v>1588891</v>
      </c>
      <c r="E3" t="s">
        <v>43</v>
      </c>
      <c r="F3" t="s">
        <v>19</v>
      </c>
      <c r="G3" t="s">
        <v>231</v>
      </c>
      <c r="H3" t="s">
        <v>232</v>
      </c>
      <c r="I3" t="s">
        <v>324</v>
      </c>
      <c r="J3">
        <v>50113163492</v>
      </c>
      <c r="K3" t="s">
        <v>266</v>
      </c>
      <c r="L3" t="s">
        <v>442</v>
      </c>
      <c r="M3">
        <v>500</v>
      </c>
      <c r="N3" s="10">
        <v>1.4</v>
      </c>
      <c r="O3" s="10">
        <f t="shared" si="0"/>
        <v>700</v>
      </c>
      <c r="P3" s="10" t="s">
        <v>562</v>
      </c>
      <c r="Q3" s="10" t="s">
        <v>562</v>
      </c>
      <c r="R3" s="10" t="str">
        <f>IF(COUNTIF($J$2:J3,J3)=1,SUMIFS($O:$O,$J:$J,J3)+SUMIFS($P:$P,$J:$J,J3)+SUMIFS($Q:$Q,$J:$J,J3),"")</f>
        <v/>
      </c>
      <c r="S3" s="10" t="s">
        <v>562</v>
      </c>
      <c r="T3" s="11" t="str">
        <f>IFERROR(INDEX(AD:AD,MATCH(J3,J:J,0)),"")</f>
        <v>Check</v>
      </c>
      <c r="U3" s="12">
        <v>45777</v>
      </c>
      <c r="V3" s="10">
        <v>394.8</v>
      </c>
      <c r="W3" s="10" t="str">
        <f t="shared" si="1"/>
        <v>N/A</v>
      </c>
      <c r="X3" t="s">
        <v>47</v>
      </c>
      <c r="Y3" t="s">
        <v>24</v>
      </c>
      <c r="Z3">
        <v>100243</v>
      </c>
      <c r="AA3" t="s">
        <v>54</v>
      </c>
      <c r="AB3" t="s">
        <v>66</v>
      </c>
      <c r="AC3" s="9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39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2026-07-02T13:17:45Z</dcterms:modified>
</cp:coreProperties>
</file>