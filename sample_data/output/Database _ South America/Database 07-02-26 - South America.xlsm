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South America\"/>
    </mc:Choice>
  </mc:AlternateContent>
  <xr:revisionPtr revIDLastSave="0" documentId="13_ncr:1_{3D209ECA-1F4A-466E-85C4-F756FE9FD0B8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Sheet1!$A$1:$AE$92</definedName>
    <definedName name="_xlnm._FilterDatabase" localSheetId="3" hidden="1">TLA!$A$1:$AD$1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5" l="1"/>
  <c r="AD3" i="5"/>
  <c r="W3" i="5"/>
  <c r="O3" i="5"/>
  <c r="AE2" i="5"/>
  <c r="AD2" i="5"/>
  <c r="T3" i="5" s="1"/>
  <c r="W2" i="5"/>
  <c r="T2" i="5"/>
  <c r="O2" i="5"/>
  <c r="AC2" i="4"/>
  <c r="W2" i="4"/>
  <c r="R2" i="4"/>
  <c r="AE2" i="4" s="1"/>
  <c r="O2" i="4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R48" i="3" s="1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R67" i="3" s="1"/>
  <c r="O68" i="3"/>
  <c r="O69" i="3"/>
  <c r="O70" i="3"/>
  <c r="O71" i="3"/>
  <c r="R69" i="3" s="1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R83" i="3" s="1"/>
  <c r="AD83" i="3" s="1"/>
  <c r="T83" i="3" s="1"/>
  <c r="O85" i="3"/>
  <c r="O86" i="3"/>
  <c r="O87" i="3"/>
  <c r="O88" i="3"/>
  <c r="O89" i="3"/>
  <c r="O90" i="3"/>
  <c r="R88" i="3" s="1"/>
  <c r="AD88" i="3" s="1"/>
  <c r="T88" i="3" s="1"/>
  <c r="O91" i="3"/>
  <c r="O92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AD24" i="3"/>
  <c r="AD25" i="3"/>
  <c r="AE24" i="3"/>
  <c r="AE25" i="3"/>
  <c r="R92" i="3"/>
  <c r="AE92" i="3" s="1"/>
  <c r="R90" i="3"/>
  <c r="AE90" i="3" s="1"/>
  <c r="R89" i="3"/>
  <c r="AE89" i="3" s="1"/>
  <c r="R87" i="3"/>
  <c r="AE87" i="3" s="1"/>
  <c r="R86" i="3"/>
  <c r="AE86" i="3" s="1"/>
  <c r="R85" i="3"/>
  <c r="AE85" i="3" s="1"/>
  <c r="R84" i="3"/>
  <c r="AE84" i="3" s="1"/>
  <c r="R82" i="3"/>
  <c r="AE82" i="3" s="1"/>
  <c r="R81" i="3"/>
  <c r="AE81" i="3" s="1"/>
  <c r="R80" i="3"/>
  <c r="AD80" i="3" s="1"/>
  <c r="R79" i="3"/>
  <c r="AE79" i="3" s="1"/>
  <c r="R78" i="3"/>
  <c r="AE78" i="3" s="1"/>
  <c r="R77" i="3"/>
  <c r="AD77" i="3" s="1"/>
  <c r="R76" i="3"/>
  <c r="AE76" i="3" s="1"/>
  <c r="R75" i="3"/>
  <c r="AD75" i="3" s="1"/>
  <c r="R74" i="3"/>
  <c r="AD74" i="3" s="1"/>
  <c r="R73" i="3"/>
  <c r="AD73" i="3" s="1"/>
  <c r="R71" i="3"/>
  <c r="R70" i="3"/>
  <c r="AD70" i="3" s="1"/>
  <c r="R68" i="3"/>
  <c r="AD68" i="3" s="1"/>
  <c r="R66" i="3"/>
  <c r="AD66" i="3" s="1"/>
  <c r="R65" i="3"/>
  <c r="R64" i="3"/>
  <c r="AD64" i="3" s="1"/>
  <c r="R63" i="3"/>
  <c r="AD63" i="3" s="1"/>
  <c r="R62" i="3"/>
  <c r="AD62" i="3" s="1"/>
  <c r="R61" i="3"/>
  <c r="AD61" i="3" s="1"/>
  <c r="R60" i="3"/>
  <c r="AD60" i="3" s="1"/>
  <c r="R59" i="3"/>
  <c r="R58" i="3"/>
  <c r="R57" i="3"/>
  <c r="AD57" i="3" s="1"/>
  <c r="R56" i="3"/>
  <c r="R55" i="3"/>
  <c r="AD55" i="3" s="1"/>
  <c r="R54" i="3"/>
  <c r="R53" i="3"/>
  <c r="AD53" i="3" s="1"/>
  <c r="R51" i="3"/>
  <c r="AD51" i="3" s="1"/>
  <c r="R50" i="3"/>
  <c r="AD50" i="3" s="1"/>
  <c r="R49" i="3"/>
  <c r="AD49" i="3" s="1"/>
  <c r="R47" i="3"/>
  <c r="AD47" i="3" s="1"/>
  <c r="R46" i="3"/>
  <c r="R45" i="3"/>
  <c r="AD45" i="3" s="1"/>
  <c r="R43" i="3"/>
  <c r="R41" i="3"/>
  <c r="AD41" i="3" s="1"/>
  <c r="R40" i="3"/>
  <c r="AD40" i="3" s="1"/>
  <c r="R39" i="3"/>
  <c r="AD39" i="3" s="1"/>
  <c r="R38" i="3"/>
  <c r="AD38" i="3" s="1"/>
  <c r="T38" i="3" s="1"/>
  <c r="R37" i="3"/>
  <c r="AD37" i="3" s="1"/>
  <c r="R36" i="3"/>
  <c r="AD36" i="3" s="1"/>
  <c r="T36" i="3" s="1"/>
  <c r="R35" i="3"/>
  <c r="R34" i="3"/>
  <c r="AD34" i="3" s="1"/>
  <c r="R33" i="3"/>
  <c r="R31" i="3"/>
  <c r="AD31" i="3" s="1"/>
  <c r="R29" i="3"/>
  <c r="AD29" i="3" s="1"/>
  <c r="R28" i="3"/>
  <c r="AD28" i="3" s="1"/>
  <c r="R27" i="3"/>
  <c r="AD27" i="3" s="1"/>
  <c r="R26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D2" i="4" l="1"/>
  <c r="T2" i="4" s="1"/>
  <c r="R91" i="3"/>
  <c r="AD91" i="3" s="1"/>
  <c r="T92" i="3" s="1"/>
  <c r="AD89" i="3"/>
  <c r="AD79" i="3"/>
  <c r="AE83" i="3"/>
  <c r="T34" i="3"/>
  <c r="T35" i="3"/>
  <c r="AE35" i="3"/>
  <c r="AD35" i="3"/>
  <c r="AE26" i="3"/>
  <c r="AD26" i="3"/>
  <c r="T27" i="3" s="1"/>
  <c r="AE46" i="3"/>
  <c r="AD46" i="3"/>
  <c r="T46" i="3" s="1"/>
  <c r="AE58" i="3"/>
  <c r="AD58" i="3"/>
  <c r="AE88" i="3"/>
  <c r="AE80" i="3"/>
  <c r="AD82" i="3"/>
  <c r="AE59" i="3"/>
  <c r="AD59" i="3"/>
  <c r="T61" i="3" s="1"/>
  <c r="AE77" i="3"/>
  <c r="AD81" i="3"/>
  <c r="T82" i="3" s="1"/>
  <c r="AD69" i="3"/>
  <c r="T70" i="3" s="1"/>
  <c r="AE69" i="3"/>
  <c r="AE75" i="3"/>
  <c r="AE43" i="3"/>
  <c r="AD43" i="3"/>
  <c r="AE74" i="3"/>
  <c r="AE48" i="3"/>
  <c r="AD48" i="3"/>
  <c r="T48" i="3" s="1"/>
  <c r="AE67" i="3"/>
  <c r="AD67" i="3"/>
  <c r="T68" i="3" s="1"/>
  <c r="AD71" i="3"/>
  <c r="AE71" i="3"/>
  <c r="AE73" i="3"/>
  <c r="AE70" i="3"/>
  <c r="AD92" i="3"/>
  <c r="AD87" i="3"/>
  <c r="AD78" i="3"/>
  <c r="AE33" i="3"/>
  <c r="AD33" i="3"/>
  <c r="AE65" i="3"/>
  <c r="AD65" i="3"/>
  <c r="AD90" i="3"/>
  <c r="AD86" i="3"/>
  <c r="AD84" i="3"/>
  <c r="AD85" i="3"/>
  <c r="T87" i="3" s="1"/>
  <c r="AD76" i="3"/>
  <c r="AE54" i="3"/>
  <c r="AD54" i="3"/>
  <c r="T63" i="3"/>
  <c r="T62" i="3"/>
  <c r="AE56" i="3"/>
  <c r="AD56" i="3"/>
  <c r="T67" i="3"/>
  <c r="T84" i="3"/>
  <c r="T90" i="3"/>
  <c r="T50" i="3"/>
  <c r="T51" i="3"/>
  <c r="T89" i="3"/>
  <c r="T66" i="3"/>
  <c r="T65" i="3"/>
  <c r="T64" i="3"/>
  <c r="T40" i="3"/>
  <c r="T37" i="3"/>
  <c r="T28" i="3"/>
  <c r="T29" i="3"/>
  <c r="T39" i="3"/>
  <c r="T41" i="3"/>
  <c r="AE28" i="3"/>
  <c r="AE34" i="3"/>
  <c r="R32" i="3"/>
  <c r="AD32" i="3" s="1"/>
  <c r="T32" i="3" s="1"/>
  <c r="AE27" i="3"/>
  <c r="AE29" i="3"/>
  <c r="AE31" i="3"/>
  <c r="AE38" i="3"/>
  <c r="AE36" i="3"/>
  <c r="R42" i="3"/>
  <c r="AD42" i="3" s="1"/>
  <c r="T42" i="3" s="1"/>
  <c r="R30" i="3"/>
  <c r="AD30" i="3" s="1"/>
  <c r="T30" i="3" s="1"/>
  <c r="AE50" i="3"/>
  <c r="AE49" i="3"/>
  <c r="R44" i="3"/>
  <c r="AD44" i="3" s="1"/>
  <c r="T44" i="3" s="1"/>
  <c r="AE39" i="3"/>
  <c r="AE37" i="3"/>
  <c r="AE41" i="3"/>
  <c r="R52" i="3"/>
  <c r="AD52" i="3" s="1"/>
  <c r="T55" i="3" s="1"/>
  <c r="AE45" i="3"/>
  <c r="AE51" i="3"/>
  <c r="AE55" i="3"/>
  <c r="AE61" i="3"/>
  <c r="AE57" i="3"/>
  <c r="AE47" i="3"/>
  <c r="AE62" i="3"/>
  <c r="AE40" i="3"/>
  <c r="AE53" i="3"/>
  <c r="AE63" i="3"/>
  <c r="AE64" i="3"/>
  <c r="AE60" i="3"/>
  <c r="AE68" i="3"/>
  <c r="AE66" i="3"/>
  <c r="R72" i="3"/>
  <c r="AD72" i="3" s="1"/>
  <c r="T80" i="3" s="1"/>
  <c r="T91" i="3" l="1"/>
  <c r="AE91" i="3"/>
  <c r="T47" i="3"/>
  <c r="T60" i="3"/>
  <c r="T71" i="3"/>
  <c r="T81" i="3"/>
  <c r="T59" i="3"/>
  <c r="T69" i="3"/>
  <c r="T74" i="3"/>
  <c r="T31" i="3"/>
  <c r="T53" i="3"/>
  <c r="T73" i="3"/>
  <c r="T72" i="3"/>
  <c r="T43" i="3"/>
  <c r="T79" i="3"/>
  <c r="T45" i="3"/>
  <c r="T75" i="3"/>
  <c r="T33" i="3"/>
  <c r="T86" i="3"/>
  <c r="T85" i="3"/>
  <c r="T58" i="3"/>
  <c r="T57" i="3"/>
  <c r="T26" i="3"/>
  <c r="T56" i="3"/>
  <c r="T78" i="3"/>
  <c r="T54" i="3"/>
  <c r="T77" i="3"/>
  <c r="T52" i="3"/>
  <c r="T49" i="3"/>
  <c r="T76" i="3"/>
  <c r="AE44" i="3"/>
  <c r="AE52" i="3"/>
  <c r="AE32" i="3"/>
  <c r="AE42" i="3"/>
  <c r="AE72" i="3"/>
  <c r="AE30" i="3"/>
  <c r="R19" i="3"/>
  <c r="AD19" i="3" s="1"/>
  <c r="T19" i="3" s="1"/>
  <c r="R18" i="3"/>
  <c r="AD18" i="3" s="1"/>
  <c r="T18" i="3" s="1"/>
  <c r="R17" i="3"/>
  <c r="AD17" i="3" s="1"/>
  <c r="T17" i="3" s="1"/>
  <c r="R16" i="3"/>
  <c r="AD16" i="3" s="1"/>
  <c r="T16" i="3" s="1"/>
  <c r="R15" i="3"/>
  <c r="AD15" i="3" s="1"/>
  <c r="T15" i="3" s="1"/>
  <c r="R14" i="3"/>
  <c r="AD14" i="3" s="1"/>
  <c r="T14" i="3" s="1"/>
  <c r="R12" i="3"/>
  <c r="AD12" i="3" s="1"/>
  <c r="T12" i="3" s="1"/>
  <c r="R11" i="3"/>
  <c r="AD11" i="3" s="1"/>
  <c r="T11" i="3" s="1"/>
  <c r="R10" i="3"/>
  <c r="AD10" i="3" s="1"/>
  <c r="T10" i="3" s="1"/>
  <c r="R9" i="3"/>
  <c r="AD9" i="3" s="1"/>
  <c r="T9" i="3" s="1"/>
  <c r="R8" i="3"/>
  <c r="AD8" i="3" s="1"/>
  <c r="T8" i="3" s="1"/>
  <c r="R7" i="3"/>
  <c r="AD7" i="3" s="1"/>
  <c r="T7" i="3" s="1"/>
  <c r="R4" i="3"/>
  <c r="AD4" i="3" s="1"/>
  <c r="T4" i="3" s="1"/>
  <c r="R3" i="3"/>
  <c r="AD3" i="3" s="1"/>
  <c r="T3" i="3" s="1"/>
  <c r="R2" i="3"/>
  <c r="AD2" i="3" s="1"/>
  <c r="T2" i="3" s="1"/>
  <c r="R21" i="3" l="1"/>
  <c r="R22" i="3"/>
  <c r="R20" i="3"/>
  <c r="R23" i="3"/>
  <c r="R5" i="3"/>
  <c r="R6" i="3"/>
  <c r="R13" i="3"/>
  <c r="AE22" i="3" l="1"/>
  <c r="AD22" i="3"/>
  <c r="AE23" i="3"/>
  <c r="AD23" i="3"/>
  <c r="T23" i="3" s="1"/>
  <c r="AE21" i="3"/>
  <c r="AD21" i="3"/>
  <c r="T21" i="3" s="1"/>
  <c r="AE5" i="3"/>
  <c r="AD5" i="3"/>
  <c r="T5" i="3" s="1"/>
  <c r="AE6" i="3"/>
  <c r="AD6" i="3"/>
  <c r="T6" i="3" s="1"/>
  <c r="AE20" i="3"/>
  <c r="AD20" i="3"/>
  <c r="T20" i="3" s="1"/>
  <c r="AE13" i="3"/>
  <c r="AD13" i="3"/>
  <c r="T13" i="3" s="1"/>
  <c r="AE15" i="3"/>
  <c r="AE3" i="3"/>
  <c r="AE9" i="3"/>
  <c r="AE8" i="3"/>
  <c r="AE10" i="3"/>
  <c r="AE16" i="3"/>
  <c r="AE19" i="3"/>
  <c r="AE17" i="3"/>
  <c r="AE14" i="3"/>
  <c r="AE2" i="3"/>
  <c r="AE18" i="3"/>
  <c r="AE7" i="3"/>
  <c r="AE12" i="3"/>
  <c r="AE4" i="3"/>
  <c r="AE11" i="3"/>
  <c r="T22" i="3" l="1"/>
  <c r="T25" i="3"/>
  <c r="T24" i="3"/>
</calcChain>
</file>

<file path=xl/sharedStrings.xml><?xml version="1.0" encoding="utf-8"?>
<sst xmlns="http://schemas.openxmlformats.org/spreadsheetml/2006/main" count="1386" uniqueCount="384">
  <si>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</si>
  <si>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</si>
  <si>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</si>
  <si>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</si>
  <si>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</si>
  <si>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</si>
  <si>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</si>
  <si>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</si>
  <si>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</si>
  <si>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</si>
  <si>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</si>
  <si>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</si>
  <si>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</si>
  <si>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</si>
  <si>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</si>
  <si>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</si>
  <si>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</si>
  <si>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</si>
  <si>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</si>
  <si>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</si>
  <si>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</si>
  <si>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Unknown Deduction</t>
  </si>
  <si>
    <t>PO Closed</t>
  </si>
  <si>
    <t>Overshipped PO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</si>
  <si>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</si>
  <si>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</si>
  <si>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</si>
  <si>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</si>
  <si>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</si>
  <si>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</si>
  <si>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</si>
  <si>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</si>
  <si>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</si>
  <si>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</si>
  <si>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Credit Team</t>
  </si>
  <si>
    <t>Owner</t>
  </si>
  <si>
    <t>Processor Name</t>
  </si>
  <si>
    <t>Count</t>
  </si>
  <si>
    <t>Deducted Tax</t>
  </si>
  <si>
    <t>Freight</t>
  </si>
  <si>
    <t>Paid?</t>
  </si>
  <si>
    <t>Filter</t>
  </si>
  <si>
    <t>Dif Inv</t>
  </si>
  <si>
    <t>PO4419731037</t>
  </si>
  <si>
    <t>SO91150631037</t>
  </si>
  <si>
    <t>PO4420456828</t>
  </si>
  <si>
    <t>SO91151456828</t>
  </si>
  <si>
    <t>South America</t>
  </si>
  <si>
    <t>HARR 0151</t>
  </si>
  <si>
    <t>PO4421364184</t>
  </si>
  <si>
    <t>SO91158564184</t>
  </si>
  <si>
    <t>FLUK 1403</t>
  </si>
  <si>
    <t>PO4420115599</t>
  </si>
  <si>
    <t>SO91148515599</t>
  </si>
  <si>
    <t>Patrick Hayes</t>
  </si>
  <si>
    <t>Materials Team</t>
  </si>
  <si>
    <t>Rupert Thiem</t>
  </si>
  <si>
    <t>Joshua Reed</t>
  </si>
  <si>
    <t>Alejandra Tamez</t>
  </si>
  <si>
    <t>Arthur Vega</t>
  </si>
  <si>
    <t>Madison Brooks</t>
  </si>
  <si>
    <t>Helen Butz</t>
  </si>
  <si>
    <t>Jessica Bonus</t>
  </si>
  <si>
    <t>John Patrickson</t>
  </si>
  <si>
    <t>Robert Gomez</t>
  </si>
  <si>
    <t>Anthony Price</t>
  </si>
  <si>
    <t>Nicole Walters</t>
  </si>
  <si>
    <t>Danielle Carter</t>
  </si>
  <si>
    <t>Jeremy Rhodes</t>
  </si>
  <si>
    <t>Riley Grant</t>
  </si>
  <si>
    <t>Sophia Edwards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</si>
  <si>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</si>
  <si>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</si>
  <si>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</si>
  <si>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</si>
  <si>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Sales Team and this is related to PO Closed</t>
  </si>
  <si>
    <t>Description -  This Req has been handled by Materials Team and this is related to RMA Number Needed</t>
  </si>
  <si>
    <t>SCHN 6402</t>
  </si>
  <si>
    <t>GENE 1094</t>
  </si>
  <si>
    <t>AMPH 8418</t>
  </si>
  <si>
    <t>PMC  0221</t>
  </si>
  <si>
    <t>LCR  2228</t>
  </si>
  <si>
    <t>SIIX 2540</t>
  </si>
  <si>
    <t>ECON 3221</t>
  </si>
  <si>
    <t>RIVI 0746</t>
  </si>
  <si>
    <t>SPAR 0172</t>
  </si>
  <si>
    <t>MACK 9471</t>
  </si>
  <si>
    <t>URTE 7745</t>
  </si>
  <si>
    <t>INGR 4929</t>
  </si>
  <si>
    <t>BUGG 5013</t>
  </si>
  <si>
    <t>INTU 0166</t>
  </si>
  <si>
    <t>SMTC 4610</t>
  </si>
  <si>
    <t>LUCI 0516</t>
  </si>
  <si>
    <t>XP P 3669</t>
  </si>
  <si>
    <t>SIEM 8046</t>
  </si>
  <si>
    <t>MAXT 4941</t>
  </si>
  <si>
    <t>FEDE 0276</t>
  </si>
  <si>
    <t>TYCO 3565</t>
  </si>
  <si>
    <t>ALCO 0193</t>
  </si>
  <si>
    <t>HYVE 6432</t>
  </si>
  <si>
    <t>GOOD 8207</t>
  </si>
  <si>
    <t>HERE 9226</t>
  </si>
  <si>
    <t>COMT 0708</t>
  </si>
  <si>
    <t>CREA 0550</t>
  </si>
  <si>
    <t>PO4417465697</t>
  </si>
  <si>
    <t>SO91139365697</t>
  </si>
  <si>
    <t>PO4418971842</t>
  </si>
  <si>
    <t>SO91139371842</t>
  </si>
  <si>
    <t>POON EX57872</t>
  </si>
  <si>
    <t>SO91125157872</t>
  </si>
  <si>
    <t>PO4417386917</t>
  </si>
  <si>
    <t>SO91143286917</t>
  </si>
  <si>
    <t>PO4418842222</t>
  </si>
  <si>
    <t>SO91145142222</t>
  </si>
  <si>
    <t>PO4419912496</t>
  </si>
  <si>
    <t>SO91146212496</t>
  </si>
  <si>
    <t>PO4420077518</t>
  </si>
  <si>
    <t>SO91148877518</t>
  </si>
  <si>
    <t>PO4420384556</t>
  </si>
  <si>
    <t>SO91150484556</t>
  </si>
  <si>
    <t>PO4419825785</t>
  </si>
  <si>
    <t>SO91150125785</t>
  </si>
  <si>
    <t>PO4420247111</t>
  </si>
  <si>
    <t>SO91153447111</t>
  </si>
  <si>
    <t>PO4420702416</t>
  </si>
  <si>
    <t>SO91154702416</t>
  </si>
  <si>
    <t>PO4420498057</t>
  </si>
  <si>
    <t>SO91151798057</t>
  </si>
  <si>
    <t>PO4420227889</t>
  </si>
  <si>
    <t>SO91155827889</t>
  </si>
  <si>
    <t>PO4419934034</t>
  </si>
  <si>
    <t>SO91154334034</t>
  </si>
  <si>
    <t>PO4420865652</t>
  </si>
  <si>
    <t>SO91154865652</t>
  </si>
  <si>
    <t>PO4417281514</t>
  </si>
  <si>
    <t>SO91146881514</t>
  </si>
  <si>
    <t>PO4417240285</t>
  </si>
  <si>
    <t>SO91146840285</t>
  </si>
  <si>
    <t>PO4421198375</t>
  </si>
  <si>
    <t>SO91158598375</t>
  </si>
  <si>
    <t>SO91161293123</t>
  </si>
  <si>
    <t>PO7570187977</t>
  </si>
  <si>
    <t>SO90117787977</t>
  </si>
  <si>
    <t>PO39P0242389</t>
  </si>
  <si>
    <t>SO91160342389</t>
  </si>
  <si>
    <t>PO5500049427</t>
  </si>
  <si>
    <t>SO91160549427</t>
  </si>
  <si>
    <t>PO5101575899</t>
  </si>
  <si>
    <t>SO91163475899</t>
  </si>
  <si>
    <t>PO2846397119</t>
  </si>
  <si>
    <t>SO91163597119</t>
  </si>
  <si>
    <t>PO2247338348</t>
  </si>
  <si>
    <t>SO90117938348</t>
  </si>
  <si>
    <t>PO2247379577</t>
  </si>
  <si>
    <t>SO90117979577</t>
  </si>
  <si>
    <t>PO3014351531</t>
  </si>
  <si>
    <t>SO91163051531</t>
  </si>
  <si>
    <t>PO9055433989</t>
  </si>
  <si>
    <t>SO91163933989</t>
  </si>
  <si>
    <t>PO9055457676</t>
  </si>
  <si>
    <t>SO91163957676</t>
  </si>
  <si>
    <t>PO4420550638</t>
  </si>
  <si>
    <t>SO91152450638</t>
  </si>
  <si>
    <t>PO6432274325</t>
  </si>
  <si>
    <t>SO91164174325</t>
  </si>
  <si>
    <t>PO3021278790</t>
  </si>
  <si>
    <t>SO91165178790</t>
  </si>
  <si>
    <t>PO1840249851</t>
  </si>
  <si>
    <t>SO91162749851</t>
  </si>
  <si>
    <t>POT009787614</t>
  </si>
  <si>
    <t>SO91163187614</t>
  </si>
  <si>
    <t>PO1061028843</t>
  </si>
  <si>
    <t>SO91163428843</t>
  </si>
  <si>
    <t>PO4101470072</t>
  </si>
  <si>
    <t>SO91162870072</t>
  </si>
  <si>
    <t>PO1088611301</t>
  </si>
  <si>
    <t>SO91163511301</t>
  </si>
  <si>
    <t>PO2000252530</t>
  </si>
  <si>
    <t>SO91161452530</t>
  </si>
  <si>
    <t>PO4929034988</t>
  </si>
  <si>
    <t>SO91161634988</t>
  </si>
  <si>
    <t>POC221202461</t>
  </si>
  <si>
    <t>SO91135802461</t>
  </si>
  <si>
    <t>PO4500001099</t>
  </si>
  <si>
    <t>SO91151901099</t>
  </si>
  <si>
    <t>POJU00675581</t>
  </si>
  <si>
    <t>PO4420822062</t>
  </si>
  <si>
    <t>SO91158522062</t>
  </si>
  <si>
    <t>Description -  This Req has been handled by Materials Team and this is related to Overshipped PO</t>
  </si>
  <si>
    <t>Description -  This Req has been handled by Tax Team and this is related to Deducted Tax</t>
  </si>
  <si>
    <t>Description -  This Req has been handled by Materials Team and this is related to Freight</t>
  </si>
  <si>
    <t>Abigail Henderson</t>
  </si>
  <si>
    <t>Andrew Ross</t>
  </si>
  <si>
    <t>Elizabeth Brooks</t>
  </si>
  <si>
    <t>Aaron Stewart</t>
  </si>
  <si>
    <t>Caroline West</t>
  </si>
  <si>
    <t>Hailey Sanders</t>
  </si>
  <si>
    <t>Lily Harper</t>
  </si>
  <si>
    <t>Rachel Morrison</t>
  </si>
  <si>
    <t>Liam Foster</t>
  </si>
  <si>
    <t>Julian Ortiz</t>
  </si>
  <si>
    <t>Alex Donovan</t>
  </si>
  <si>
    <t>Jacob Flynn</t>
  </si>
  <si>
    <t>Mackenzie Cole</t>
  </si>
  <si>
    <t>Charlotte Murphy</t>
  </si>
  <si>
    <t>Christian Warren</t>
  </si>
  <si>
    <t>Jacob Franklin</t>
  </si>
  <si>
    <t>Eric Vaughn</t>
  </si>
  <si>
    <t>Allison Bennett</t>
  </si>
  <si>
    <t>Olivia Brooks</t>
  </si>
  <si>
    <t>Victoria Rhodes</t>
  </si>
  <si>
    <t>DN20022801</t>
  </si>
  <si>
    <t>AVN7</t>
  </si>
  <si>
    <t>ON 9</t>
  </si>
  <si>
    <t>RENS1HI1-0201/883REN1</t>
  </si>
  <si>
    <t>REN1</t>
  </si>
  <si>
    <t>AVX0</t>
  </si>
  <si>
    <t>VIS0</t>
  </si>
  <si>
    <t>DN50999801</t>
  </si>
  <si>
    <t>DN57933801</t>
  </si>
  <si>
    <t>DN69699801</t>
  </si>
  <si>
    <t>LAI7</t>
  </si>
  <si>
    <t>DN24422800</t>
  </si>
  <si>
    <t>DN01200801</t>
  </si>
  <si>
    <t>AVA2</t>
  </si>
  <si>
    <t>TE 6</t>
  </si>
  <si>
    <t>DN86800801</t>
  </si>
  <si>
    <t>VIS7</t>
  </si>
  <si>
    <t>LAIS128B0735-000LAI7</t>
  </si>
  <si>
    <t>EVES111-22/R8G6C-A30/2TEVE1</t>
  </si>
  <si>
    <t>EVE1</t>
  </si>
  <si>
    <t>MICS1KSZ8081RNBIA-TRMIC4</t>
  </si>
  <si>
    <t>MIC4</t>
  </si>
  <si>
    <t>KEM5</t>
  </si>
  <si>
    <t>DN55855801</t>
  </si>
  <si>
    <t>DN58777801</t>
  </si>
  <si>
    <t>YAG5</t>
  </si>
  <si>
    <t>PAN4</t>
  </si>
  <si>
    <t>DN32899801</t>
  </si>
  <si>
    <t>DN29700801</t>
  </si>
  <si>
    <t>DN54788801</t>
  </si>
  <si>
    <t>MOL9</t>
  </si>
  <si>
    <t>DN07266801</t>
  </si>
  <si>
    <t>AMP7</t>
  </si>
  <si>
    <t>DN32744801</t>
  </si>
  <si>
    <t>DN88600801</t>
  </si>
  <si>
    <t>INFS1SPW20N60S5FKSA1INF9</t>
  </si>
  <si>
    <t>INF9</t>
  </si>
  <si>
    <t>AVNS1DROPSHIP_TARIFFAVN7</t>
  </si>
  <si>
    <t>DN29633801</t>
  </si>
  <si>
    <t>DN24388801</t>
  </si>
  <si>
    <t>DN40266801</t>
  </si>
  <si>
    <t>DN56899801</t>
  </si>
  <si>
    <t>DN32733801</t>
  </si>
  <si>
    <t>DN18433801</t>
  </si>
  <si>
    <t>DN96899801</t>
  </si>
  <si>
    <t>DN78400801</t>
  </si>
  <si>
    <t>DN32900801</t>
  </si>
  <si>
    <t>DN64199801</t>
  </si>
  <si>
    <t>NXP0</t>
  </si>
  <si>
    <t>DN86099801</t>
  </si>
  <si>
    <t>DN18422801</t>
  </si>
  <si>
    <t>DIOS1DESD1LIN2WSQ-7DIO1</t>
  </si>
  <si>
    <t>DIO1</t>
  </si>
  <si>
    <t>ALL5</t>
  </si>
  <si>
    <t>NIC6</t>
  </si>
  <si>
    <t>DN70199801</t>
  </si>
  <si>
    <t>VIS6</t>
  </si>
  <si>
    <t>MURS1LQH44PH220MPRLMUR8</t>
  </si>
  <si>
    <t>MUR8</t>
  </si>
  <si>
    <t>NEX4</t>
  </si>
  <si>
    <t>SAM2</t>
  </si>
  <si>
    <t>DN60055801</t>
  </si>
  <si>
    <t>DN45100800</t>
  </si>
  <si>
    <t>DN32711801</t>
  </si>
  <si>
    <t>PAN0</t>
  </si>
  <si>
    <t>NICS1NMC0805X7R106K10TRPLP3KFNIC6</t>
  </si>
  <si>
    <t>DN96888801</t>
  </si>
  <si>
    <t>DN84899801</t>
  </si>
  <si>
    <t>DN93744801</t>
  </si>
  <si>
    <t>NXPS1MKL28Z512VLL7RNXP0</t>
  </si>
  <si>
    <t>DN32700801</t>
  </si>
  <si>
    <t>DN05477801</t>
  </si>
  <si>
    <t>ON S1NTGS3441T1GON 9</t>
  </si>
  <si>
    <t>SAMS1EQRD-026-04.50-TBR-TBL-4-NSAM2</t>
  </si>
  <si>
    <t>MURS1BLM15HG102SN1DMUR8</t>
  </si>
  <si>
    <t>DN41399801</t>
  </si>
  <si>
    <t>MOLS152437-2433MOL9</t>
  </si>
  <si>
    <t>DN07833801</t>
  </si>
  <si>
    <t>DN84800801</t>
  </si>
  <si>
    <t>DN69344801</t>
  </si>
  <si>
    <t>DN43299801</t>
  </si>
  <si>
    <t>SAM0</t>
  </si>
  <si>
    <t>DN28166801</t>
  </si>
  <si>
    <t>TE S15-146278-4TE 6</t>
  </si>
  <si>
    <t>DN11088801</t>
  </si>
  <si>
    <t>DN02399801</t>
  </si>
  <si>
    <t>DN57611801</t>
  </si>
  <si>
    <t>ON S11SMA5915BT3GON 9</t>
  </si>
  <si>
    <t>DN76855801</t>
  </si>
  <si>
    <t>DN32922801</t>
  </si>
  <si>
    <t>INFS1FS01MR08A8MA2CHPSA1INF9</t>
  </si>
  <si>
    <t>DIOS1BZT52C5V1-7-FDIO1</t>
  </si>
  <si>
    <t>DN59022801</t>
  </si>
  <si>
    <t>DN72911801</t>
  </si>
  <si>
    <t>TDK9</t>
  </si>
  <si>
    <t>DN88033801</t>
  </si>
  <si>
    <t>DN39600801</t>
  </si>
  <si>
    <t>VISS1CRCW0603200RFKEAHPVIS7</t>
  </si>
  <si>
    <t>TE S1204351-1TE 6</t>
  </si>
  <si>
    <t>TE S1RW-125-HW-1-X-SPTE 9</t>
  </si>
  <si>
    <t>TE 9</t>
  </si>
  <si>
    <t>ON S11SMB5937BT3GON 9</t>
  </si>
  <si>
    <t>ON S1NTR4171PT1GON 9</t>
  </si>
  <si>
    <t>VIS5</t>
  </si>
  <si>
    <t>YAGS1RT0402BRD07100KLYAG5</t>
  </si>
  <si>
    <t>AVAS1HCPL-0601-500EAVA2</t>
  </si>
  <si>
    <t>VPT9</t>
  </si>
  <si>
    <t>DIOS12N7002-7-FDIO1</t>
  </si>
  <si>
    <t>MOLS138704-4902MOL9</t>
  </si>
  <si>
    <t>NEXS174LVC1G08GW,125NEX4</t>
  </si>
  <si>
    <t>AIMS1AM3D-1212SZAIM0</t>
  </si>
  <si>
    <t>AIM0</t>
  </si>
  <si>
    <t>PANS1MA40S4SPAN0</t>
  </si>
  <si>
    <t>AVXS112065C104KAT2AAVX0</t>
  </si>
  <si>
    <t>MARS188E6393XA0-BXB2I000MAR0</t>
  </si>
  <si>
    <t>Credit Memo Not Open</t>
  </si>
  <si>
    <t>Description -  This Req has been handled by Credit Team and this is related to Credit Memo Not Open</t>
  </si>
  <si>
    <t>VISS1CRCW201010R0FKEFHPVIS7</t>
  </si>
  <si>
    <t>AVXS104025A120FAT2AAVX0</t>
  </si>
  <si>
    <t>ASRS1FSP/FSP120-ABAN3/9NA120-ADAPTERASR3</t>
  </si>
  <si>
    <t>ASR3</t>
  </si>
  <si>
    <t>AMPS121-032904-121AMP7</t>
  </si>
  <si>
    <t>AMPS121-032905-121AMP7</t>
  </si>
  <si>
    <t>ALLS1MT40A512M16TD-062E:RALL5</t>
  </si>
  <si>
    <t>NXPS1PCA9575PW2,118NXP0</t>
  </si>
  <si>
    <t>ITTS1D110551ITT8</t>
  </si>
  <si>
    <t>ITT8</t>
  </si>
  <si>
    <t>KEMS1T495X686K025ATE200KEM5</t>
  </si>
  <si>
    <t>PANS1ERJ-2RKF1002XPAN4</t>
  </si>
  <si>
    <t>PANS1ERJ-2RKF5231XPAN4</t>
  </si>
  <si>
    <t>ON S1MMBT5551LT1GON 9</t>
  </si>
  <si>
    <t>KEMS1T541X337M010AH66107505KEM5</t>
  </si>
  <si>
    <t>VISS1EXPEDITE CHARGEVIS7</t>
  </si>
  <si>
    <t>VISS1TFBS4711-TR1VIS0</t>
  </si>
  <si>
    <t>EVES142-21SYGC/S530-E2/TR8EVE1</t>
  </si>
  <si>
    <t>DIOS1B340-13-93-FDIO1</t>
  </si>
  <si>
    <t>MURS1NL_99830-02027MUR8</t>
  </si>
  <si>
    <t>MURS1NL_99842-74761MUR8</t>
  </si>
  <si>
    <t>MURS1NL_99875-61035MUR8</t>
  </si>
  <si>
    <t>MURS1NL_99875-61045MUR8</t>
  </si>
  <si>
    <t>MURS1NL_99875-61051MUR8</t>
  </si>
  <si>
    <t>MURS1NL_99875-72251MUR8</t>
  </si>
  <si>
    <t>VISS1CRCW08051R00FKEAVIS7</t>
  </si>
  <si>
    <t>VISS1TCLT1018VIS0</t>
  </si>
  <si>
    <t>VPTS1DATA PACKVPT9</t>
  </si>
  <si>
    <t>VPTS1JANS1N829UR-1VPT9</t>
  </si>
  <si>
    <t>TE S15-747908-2TE 6</t>
  </si>
  <si>
    <t>TE S160960-3TE 6</t>
  </si>
  <si>
    <t>INFS1IPA60R650CEXKSA1INF9</t>
  </si>
  <si>
    <t>MOLS1105133-0011MOL9</t>
  </si>
  <si>
    <t>MOLS143650-0216MOL9</t>
  </si>
  <si>
    <t>ON S1MMBT3904LT1GON 9</t>
  </si>
  <si>
    <t>SAMS1CL21B223KBANNNCSAM0</t>
  </si>
  <si>
    <t>TDKS1MLZ1608N1R0LT000TDK9</t>
  </si>
  <si>
    <t>VISS1BFC233860223VIS6</t>
  </si>
  <si>
    <t>YAGS1RT0603BRD073KLYAG5</t>
  </si>
  <si>
    <t>RENS1HS1-3182-8REN1</t>
  </si>
  <si>
    <t>PANS1ERJ-1GNF1003CPAN4</t>
  </si>
  <si>
    <t>VISS156006021-001 DESTRUCT UNITSVIS5</t>
  </si>
  <si>
    <t>VISS156006021-001 QCIVIS5</t>
  </si>
  <si>
    <t>VISS156006021-001 REV BVIS5</t>
  </si>
  <si>
    <t>VISS156006021-007 DESTRUCT UNITSVIS5</t>
  </si>
  <si>
    <t>VISS156006021-007 QCIVIS5</t>
  </si>
  <si>
    <t>VISS156006021-007 REV BVIS5</t>
  </si>
  <si>
    <t>VISS156006021-008 DESTRUCT UNITSVIS5</t>
  </si>
  <si>
    <t>VISS156006021-008 FAIVIS5</t>
  </si>
  <si>
    <t>EXTR 7032</t>
  </si>
  <si>
    <t>BUSE 8238</t>
  </si>
  <si>
    <t>AVNS1SET UP CHARGEAVN7</t>
  </si>
  <si>
    <t>AVNS1SDINBDG4-8G-XI1AVN7</t>
  </si>
  <si>
    <t>TE S1995-010040-63-RTE 6</t>
  </si>
  <si>
    <t>AVNS1MJD45H11GAVN7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</si>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</sst>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042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31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26</v>
      </c>
      <c r="P1" s="4" t="s">
        <v>27</v>
      </c>
      <c r="Q1" s="4" t="s">
        <v>28</v>
      </c>
      <c r="R1" s="3" t="s">
        <v>29</v>
      </c>
      <c r="S1" s="4" t="s">
        <v>33</v>
      </c>
      <c r="T1" s="5" t="s">
        <v>32</v>
      </c>
      <c r="U1" s="6" t="s">
        <v>11</v>
      </c>
      <c r="V1" s="7" t="s">
        <v>12</v>
      </c>
      <c r="W1" s="5" t="s">
        <v>40</v>
      </c>
      <c r="X1" s="1" t="s">
        <v>13</v>
      </c>
      <c r="Y1" s="1" t="s">
        <v>35</v>
      </c>
      <c r="Z1" s="1" t="s">
        <v>14</v>
      </c>
      <c r="AA1" s="1" t="s">
        <v>36</v>
      </c>
      <c r="AB1" s="8" t="s">
        <v>30</v>
      </c>
      <c r="AC1" s="5" t="s">
        <v>37</v>
      </c>
      <c r="AD1" s="5" t="s">
        <v>41</v>
      </c>
      <c r="AE1" s="5" t="s">
        <v>42</v>
      </c>
    </row>
    <row r="2" spans="1:31" x14ac:dyDescent="0.3">
      <c r="A2">
        <v>219</v>
      </c>
      <c r="B2">
        <v>4395926</v>
      </c>
      <c r="C2" t="s">
        <v>47</v>
      </c>
      <c r="D2">
        <v>1220166</v>
      </c>
      <c r="E2" t="s">
        <v>90</v>
      </c>
      <c r="F2" t="s">
        <v>20</v>
      </c>
      <c r="G2" t="s">
        <v>143</v>
      </c>
      <c r="H2" t="s">
        <v>144</v>
      </c>
      <c r="I2" s="9" t="s">
        <v>256</v>
      </c>
      <c r="J2" s="9">
        <v>51160305749</v>
      </c>
      <c r="K2" s="14" t="s">
        <v>225</v>
      </c>
      <c r="L2" s="13" t="s">
        <v>309</v>
      </c>
      <c r="M2" s="14">
        <v>507</v>
      </c>
      <c r="N2" s="14">
        <v>0.43</v>
      </c>
      <c r="O2" s="10">
        <f t="shared" ref="O2:O3" si="0">M2*N2</f>
        <v>218.01</v>
      </c>
      <c r="P2" s="11">
        <v>0</v>
      </c>
      <c r="Q2" s="11">
        <v>0</v>
      </c>
      <c r="R2" s="10">
        <f>IF(COUNTIF($J$2:J2,J2)=1,SUMIFS($O:$O,$J:$J,J2)+SUMIFS($P:$P,$J:$J,J2)+SUMIFS($Q:$Q,$J:$J,J2),"")</f>
        <v>218.01</v>
      </c>
      <c r="S2" s="10">
        <v>218.01</v>
      </c>
      <c r="T2" s="11" t="str">
        <f>IFERROR(INDEX(AD:AD,MATCH(J2,J:J,0)),"")</f>
        <v>Ok</v>
      </c>
      <c r="U2" s="12">
        <v>45616</v>
      </c>
      <c r="V2" s="10">
        <v>218.01</v>
      </c>
      <c r="W2" s="10" t="str">
        <f t="shared" ref="W2:W3" si="1">IF(OR(S2="",V2=""),"N/A",IF(S2&lt;&gt;V2,"Short Paid","Not Paid"))</f>
        <v>Not Paid</v>
      </c>
      <c r="X2" t="s">
        <v>62</v>
      </c>
      <c r="Y2" t="s">
        <v>24</v>
      </c>
      <c r="Z2">
        <v>100249</v>
      </c>
      <c r="AA2" t="s">
        <v>66</v>
      </c>
      <c r="AB2" t="s">
        <v>71</v>
      </c>
      <c r="AC2" s="9">
        <f>COUNTIF(J:J,J2)</f>
        <v>1</v>
      </c>
      <c r="AD2" s="9" t="str">
        <f t="shared" ref="AD2:AD3" si="2">IF(AND(R2="",S2=""),"N/A",IF(R2=S2,"Ok","Check"))</f>
        <v>Ok</v>
      </c>
      <c r="AE2" s="11">
        <f t="shared" ref="AE2:AE3" si="3">R2-S2</f>
        <v>0</v>
      </c>
    </row>
    <row r="3" spans="1:31" x14ac:dyDescent="0.3">
      <c r="A3">
        <v>210</v>
      </c>
      <c r="B3">
        <v>4399726</v>
      </c>
      <c r="C3" t="s">
        <v>47</v>
      </c>
      <c r="D3">
        <v>1295013</v>
      </c>
      <c r="E3" t="s">
        <v>89</v>
      </c>
      <c r="F3" t="s">
        <v>39</v>
      </c>
      <c r="G3" t="s">
        <v>145</v>
      </c>
      <c r="H3" t="s">
        <v>146</v>
      </c>
      <c r="I3" s="9" t="s">
        <v>240</v>
      </c>
      <c r="J3" s="9">
        <v>51160566257</v>
      </c>
      <c r="K3" s="14" t="s">
        <v>311</v>
      </c>
      <c r="L3" s="13" t="s">
        <v>310</v>
      </c>
      <c r="M3" s="14">
        <v>300</v>
      </c>
      <c r="N3" s="14">
        <v>10.89</v>
      </c>
      <c r="O3" s="10">
        <f t="shared" si="0"/>
        <v>3267</v>
      </c>
      <c r="P3" s="11">
        <v>0</v>
      </c>
      <c r="Q3" s="11">
        <v>0</v>
      </c>
      <c r="R3" s="10">
        <f>IF(COUNTIF($J$2:J3,J3)=1,SUMIFS($O:$O,$J:$J,J3)+SUMIFS($P:$P,$J:$J,J3)+SUMIFS($Q:$Q,$J:$J,J3),"")</f>
        <v>3267</v>
      </c>
      <c r="S3" s="10">
        <v>3507.36</v>
      </c>
      <c r="T3" s="11" t="str">
        <f>IFERROR(INDEX(AD:AD,MATCH(J3,J:J,0)),"")</f>
        <v>Check</v>
      </c>
      <c r="U3" s="12">
        <v>45929</v>
      </c>
      <c r="V3" s="10">
        <v>3507.36</v>
      </c>
      <c r="W3" s="10" t="str">
        <f t="shared" si="1"/>
        <v>Not Paid</v>
      </c>
      <c r="X3" t="s">
        <v>59</v>
      </c>
      <c r="Y3" t="s">
        <v>55</v>
      </c>
      <c r="Z3">
        <v>100130</v>
      </c>
      <c r="AA3" t="s">
        <v>191</v>
      </c>
      <c r="AB3" t="s">
        <v>190</v>
      </c>
      <c r="AC3" s="9">
        <f>COUNTIF(J:J,J3)</f>
        <v>1</v>
      </c>
      <c r="AD3" s="9" t="str">
        <f t="shared" si="2"/>
        <v>Check</v>
      </c>
      <c r="AE3" s="11">
        <f t="shared" si="3"/>
        <v>-240.36000000000013</v>
      </c>
    </row>
    <row r="4" spans="1:31" x14ac:dyDescent="0.3">
      <c r="A4">
        <v>154</v>
      </c>
      <c r="B4">
        <v>4416263</v>
      </c>
      <c r="C4" t="s">
        <v>47</v>
      </c>
      <c r="D4">
        <v>1104610</v>
      </c>
      <c r="E4" t="s">
        <v>91</v>
      </c>
      <c r="F4" t="s">
        <v>20</v>
      </c>
      <c r="G4" t="s">
        <v>147</v>
      </c>
      <c r="H4" t="s">
        <v>148</v>
      </c>
      <c r="I4" s="9" t="s">
        <v>279</v>
      </c>
      <c r="J4" s="9">
        <v>51163471449</v>
      </c>
      <c r="K4" s="14" t="s">
        <v>270</v>
      </c>
      <c r="L4" s="13" t="s">
        <v>320</v>
      </c>
      <c r="M4" s="14">
        <v>21000</v>
      </c>
      <c r="N4" s="14">
        <v>2.18E-2</v>
      </c>
      <c r="O4" s="10">
        <f t="shared" ref="O4" si="4">M4*N4</f>
        <v>457.8</v>
      </c>
      <c r="P4" s="11">
        <v>0</v>
      </c>
      <c r="Q4" s="11">
        <v>0</v>
      </c>
      <c r="R4" s="10">
        <f>IF(COUNTIF($J$2:J4,J4)=1,SUMIFS($O:$O,$J:$J,J4)+SUMIFS($P:$P,$J:$J,J4)+SUMIFS($Q:$Q,$J:$J,J4),"")</f>
        <v>457.8</v>
      </c>
      <c r="S4" s="10">
        <v>457.8</v>
      </c>
      <c r="T4" s="11" t="str">
        <f>IFERROR(INDEX(AD:AD,MATCH(J4,J:J,0)),"")</f>
        <v>Ok</v>
      </c>
      <c r="U4" s="12">
        <v>45815</v>
      </c>
      <c r="V4" s="10">
        <v>115</v>
      </c>
      <c r="W4" s="10" t="str">
        <f t="shared" ref="W4" si="5">IF(OR(S4="",V4=""),"N/A",IF(S4&lt;&gt;V4,"Short Paid","Not Paid"))</f>
        <v>Short Paid</v>
      </c>
      <c r="X4" t="s">
        <v>58</v>
      </c>
      <c r="Y4" t="s">
        <v>24</v>
      </c>
      <c r="Z4">
        <v>100244</v>
      </c>
      <c r="AA4" t="s">
        <v>60</v>
      </c>
      <c r="AB4" t="s">
        <v>71</v>
      </c>
      <c r="AC4" s="9">
        <f>COUNTIF(J:J,J4)</f>
        <v>1</v>
      </c>
      <c r="AD4" s="9" t="str">
        <f t="shared" ref="AD4" si="6">IF(AND(R4="",S4=""),"N/A",IF(R4=S4,"Ok","Check"))</f>
        <v>Ok</v>
      </c>
      <c r="AE4" s="11">
        <f t="shared" ref="AE4" si="7">R4-S4</f>
        <v>0</v>
      </c>
    </row>
    <row r="5" spans="1:31" x14ac:dyDescent="0.3">
      <c r="A5">
        <v>128</v>
      </c>
      <c r="B5">
        <v>4430941</v>
      </c>
      <c r="C5" t="s">
        <v>47</v>
      </c>
      <c r="D5">
        <v>1273516</v>
      </c>
      <c r="E5" t="s">
        <v>92</v>
      </c>
      <c r="F5" t="s">
        <v>20</v>
      </c>
      <c r="G5" t="s">
        <v>149</v>
      </c>
      <c r="H5" t="s">
        <v>150</v>
      </c>
      <c r="I5" s="9" t="s">
        <v>266</v>
      </c>
      <c r="J5" s="9">
        <v>51163563959</v>
      </c>
      <c r="K5" s="14" t="s">
        <v>212</v>
      </c>
      <c r="L5" s="13" t="s">
        <v>248</v>
      </c>
      <c r="M5" s="14">
        <v>1</v>
      </c>
      <c r="N5" s="14">
        <v>2308.8000000000002</v>
      </c>
      <c r="O5" s="10">
        <f t="shared" ref="O5:O8" si="8">M5*N5</f>
        <v>2308.8000000000002</v>
      </c>
      <c r="P5" s="11">
        <v>0</v>
      </c>
      <c r="Q5" s="11">
        <v>0</v>
      </c>
      <c r="R5" s="10">
        <f>IF(COUNTIF($J$2:J5,J5)=1,SUMIFS($O:$O,$J:$J,J5)+SUMIFS($P:$P,$J:$J,J5)+SUMIFS($Q:$Q,$J:$J,J5),"")</f>
        <v>2308.8000000000002</v>
      </c>
      <c r="S5" s="10">
        <v>3463.2</v>
      </c>
      <c r="T5" s="11" t="str">
        <f>IFERROR(INDEX(AD:AD,MATCH(J5,J:J,0)),"")</f>
        <v>Check</v>
      </c>
      <c r="U5" s="12">
        <v>45992</v>
      </c>
      <c r="V5" s="10">
        <v>3463.2</v>
      </c>
      <c r="W5" s="10" t="str">
        <f t="shared" ref="W5:W8" si="9">IF(OR(S5="",V5=""),"N/A",IF(S5&lt;&gt;V5,"Short Paid","Not Paid"))</f>
        <v>Not Paid</v>
      </c>
      <c r="X5" t="s">
        <v>64</v>
      </c>
      <c r="Y5" t="s">
        <v>24</v>
      </c>
      <c r="Z5">
        <v>100242</v>
      </c>
      <c r="AA5" t="s">
        <v>197</v>
      </c>
      <c r="AB5" t="s">
        <v>71</v>
      </c>
      <c r="AC5" s="9">
        <f>COUNTIF(J:J,J5)</f>
        <v>1</v>
      </c>
      <c r="AD5" s="9" t="str">
        <f t="shared" ref="AD5:AD8" si="10">IF(AND(R5="",S5=""),"N/A",IF(R5=S5,"Ok","Check"))</f>
        <v>Check</v>
      </c>
      <c r="AE5" s="11">
        <f t="shared" ref="AE5:AE7" si="11">R5-S5</f>
        <v>-1154.3999999999996</v>
      </c>
    </row>
    <row r="6" spans="1:31" x14ac:dyDescent="0.3">
      <c r="A6">
        <v>128</v>
      </c>
      <c r="B6">
        <v>4432841</v>
      </c>
      <c r="C6" t="s">
        <v>47</v>
      </c>
      <c r="D6">
        <v>1273516</v>
      </c>
      <c r="E6" t="s">
        <v>92</v>
      </c>
      <c r="F6" t="s">
        <v>20</v>
      </c>
      <c r="G6" t="s">
        <v>151</v>
      </c>
      <c r="H6" t="s">
        <v>152</v>
      </c>
      <c r="I6" s="9" t="s">
        <v>222</v>
      </c>
      <c r="J6" s="9">
        <v>50117981978</v>
      </c>
      <c r="K6" s="14" t="s">
        <v>212</v>
      </c>
      <c r="L6" s="13" t="s">
        <v>248</v>
      </c>
      <c r="M6" s="14">
        <v>1</v>
      </c>
      <c r="N6" s="14">
        <v>481</v>
      </c>
      <c r="O6" s="10">
        <f t="shared" si="8"/>
        <v>481</v>
      </c>
      <c r="P6" s="11">
        <v>0</v>
      </c>
      <c r="Q6" s="11">
        <v>0</v>
      </c>
      <c r="R6" s="10">
        <f>IF(COUNTIF($J$2:J6,J6)=1,SUMIFS($O:$O,$J:$J,J6)+SUMIFS($P:$P,$J:$J,J6)+SUMIFS($Q:$Q,$J:$J,J6),"")</f>
        <v>481</v>
      </c>
      <c r="S6" s="10">
        <v>2308.8000000000002</v>
      </c>
      <c r="T6" s="11" t="str">
        <f>IFERROR(INDEX(AD:AD,MATCH(J6,J:J,0)),"")</f>
        <v>Check</v>
      </c>
      <c r="U6" s="12">
        <v>45992</v>
      </c>
      <c r="V6" s="10">
        <v>2308.8000000000002</v>
      </c>
      <c r="W6" s="10" t="str">
        <f t="shared" si="9"/>
        <v>Not Paid</v>
      </c>
      <c r="X6" t="s">
        <v>64</v>
      </c>
      <c r="Y6" t="s">
        <v>24</v>
      </c>
      <c r="Z6">
        <v>100272</v>
      </c>
      <c r="AA6" t="s">
        <v>195</v>
      </c>
      <c r="AB6" t="s">
        <v>71</v>
      </c>
      <c r="AC6" s="9">
        <f>COUNTIF(J:J,J6)</f>
        <v>1</v>
      </c>
      <c r="AD6" s="9" t="str">
        <f t="shared" si="10"/>
        <v>Check</v>
      </c>
      <c r="AE6" s="11">
        <f t="shared" si="11"/>
        <v>-1827.8000000000002</v>
      </c>
    </row>
    <row r="7" spans="1:31" x14ac:dyDescent="0.3">
      <c r="A7">
        <v>128</v>
      </c>
      <c r="B7">
        <v>4432831</v>
      </c>
      <c r="C7" t="s">
        <v>47</v>
      </c>
      <c r="D7">
        <v>1023669</v>
      </c>
      <c r="E7" t="s">
        <v>93</v>
      </c>
      <c r="F7" t="s">
        <v>17</v>
      </c>
      <c r="G7" t="s">
        <v>153</v>
      </c>
      <c r="H7" t="s">
        <v>154</v>
      </c>
      <c r="I7" s="9" t="s">
        <v>245</v>
      </c>
      <c r="J7" s="9">
        <v>50117981977</v>
      </c>
      <c r="K7" s="14" t="s">
        <v>247</v>
      </c>
      <c r="L7" s="13" t="s">
        <v>246</v>
      </c>
      <c r="M7" s="14">
        <v>1046</v>
      </c>
      <c r="N7" s="14">
        <v>1.8044400000000003</v>
      </c>
      <c r="O7" s="10">
        <f t="shared" si="8"/>
        <v>1887.4442400000003</v>
      </c>
      <c r="P7" s="11">
        <v>0</v>
      </c>
      <c r="Q7" s="11">
        <v>0</v>
      </c>
      <c r="R7" s="10">
        <f>IF(COUNTIF($J$2:J7,J7)=1,SUMIFS($O:$O,$J:$J,J7)+SUMIFS($P:$P,$J:$J,J7)+SUMIFS($Q:$Q,$J:$J,J7),"")</f>
        <v>1887.4442400000003</v>
      </c>
      <c r="S7" s="10">
        <v>1887.45</v>
      </c>
      <c r="T7" s="11" t="str">
        <f>IFERROR(INDEX(AD:AD,MATCH(J7,J:J,0)),"")</f>
        <v>Check</v>
      </c>
      <c r="U7" s="12">
        <v>45845</v>
      </c>
      <c r="V7" s="10">
        <v>1887.45</v>
      </c>
      <c r="W7" s="10" t="str">
        <f t="shared" si="9"/>
        <v>Not Paid</v>
      </c>
      <c r="X7" t="s">
        <v>58</v>
      </c>
      <c r="Y7" t="s">
        <v>55</v>
      </c>
      <c r="Z7">
        <v>100254</v>
      </c>
      <c r="AA7" t="s">
        <v>69</v>
      </c>
      <c r="AB7" t="s">
        <v>76</v>
      </c>
      <c r="AC7" s="9">
        <f>COUNTIF(J:J,J7)</f>
        <v>1</v>
      </c>
      <c r="AD7" s="9" t="str">
        <f t="shared" si="10"/>
        <v>Check</v>
      </c>
      <c r="AE7" s="11">
        <f t="shared" si="11"/>
        <v>-5.7599999997819396E-3</v>
      </c>
    </row>
    <row r="8" spans="1:31" x14ac:dyDescent="0.3">
      <c r="A8">
        <v>125</v>
      </c>
      <c r="B8">
        <v>4432451</v>
      </c>
      <c r="C8" t="s">
        <v>47</v>
      </c>
      <c r="D8">
        <v>1358046</v>
      </c>
      <c r="E8" t="s">
        <v>94</v>
      </c>
      <c r="F8" t="s">
        <v>38</v>
      </c>
      <c r="G8" t="s">
        <v>161</v>
      </c>
      <c r="H8" t="s">
        <v>162</v>
      </c>
      <c r="I8" s="9" t="s">
        <v>223</v>
      </c>
      <c r="J8" s="9">
        <v>51152461068</v>
      </c>
      <c r="K8" s="14" t="s">
        <v>263</v>
      </c>
      <c r="L8" s="13" t="s">
        <v>302</v>
      </c>
      <c r="M8" s="14">
        <v>12000</v>
      </c>
      <c r="N8" s="14">
        <v>1.11E-2</v>
      </c>
      <c r="O8" s="10">
        <f t="shared" si="8"/>
        <v>133.20000000000002</v>
      </c>
      <c r="P8" s="11">
        <v>17.32</v>
      </c>
      <c r="Q8" s="11">
        <v>25.31</v>
      </c>
      <c r="R8" s="10">
        <f>IF(COUNTIF($J$2:J8,J8)=1,SUMIFS($O:$O,$J:$J,J8)+SUMIFS($P:$P,$J:$J,J8)+SUMIFS($Q:$Q,$J:$J,J8),"")</f>
        <v>175.83</v>
      </c>
      <c r="S8" s="10">
        <v>175.83</v>
      </c>
      <c r="T8" s="11" t="str">
        <f>IFERROR(INDEX(AD:AD,MATCH(J8,J:J,0)),"")</f>
        <v>Ok</v>
      </c>
      <c r="U8" s="12">
        <v>45821</v>
      </c>
      <c r="V8" s="10">
        <v>17.32</v>
      </c>
      <c r="W8" s="10" t="str">
        <f t="shared" si="9"/>
        <v>Short Paid</v>
      </c>
      <c r="X8" t="s">
        <v>64</v>
      </c>
      <c r="Y8" t="s">
        <v>25</v>
      </c>
      <c r="Z8">
        <v>100292</v>
      </c>
      <c r="AA8" t="s">
        <v>203</v>
      </c>
      <c r="AB8" t="s">
        <v>189</v>
      </c>
      <c r="AC8" s="9">
        <f>COUNTIF(J:J,J8)</f>
        <v>1</v>
      </c>
      <c r="AD8" s="9" t="str">
        <f t="shared" si="10"/>
        <v>Ok</v>
      </c>
      <c r="AE8" s="11">
        <f t="shared" ref="AE8:AE9" si="12">R8-S8</f>
        <v>0</v>
      </c>
    </row>
    <row r="9" spans="1:31" x14ac:dyDescent="0.3">
      <c r="A9">
        <v>123</v>
      </c>
      <c r="B9">
        <v>4430961</v>
      </c>
      <c r="C9" t="s">
        <v>47</v>
      </c>
      <c r="D9">
        <v>1004941</v>
      </c>
      <c r="E9" t="s">
        <v>95</v>
      </c>
      <c r="F9" t="s">
        <v>19</v>
      </c>
      <c r="G9" t="s">
        <v>163</v>
      </c>
      <c r="H9" t="s">
        <v>164</v>
      </c>
      <c r="I9" s="9" t="s">
        <v>249</v>
      </c>
      <c r="J9" s="9">
        <v>51164154505</v>
      </c>
      <c r="K9" s="14" t="s">
        <v>275</v>
      </c>
      <c r="L9" s="13" t="s">
        <v>323</v>
      </c>
      <c r="M9" s="14">
        <v>111</v>
      </c>
      <c r="N9" s="14">
        <v>4.76</v>
      </c>
      <c r="O9" s="10">
        <f t="shared" ref="O9:O11" si="13">M9*N9</f>
        <v>528.36</v>
      </c>
      <c r="P9" s="11">
        <v>0</v>
      </c>
      <c r="Q9" s="11">
        <v>0</v>
      </c>
      <c r="R9" s="10">
        <f>IF(COUNTIF($J$2:J9,J9)=1,SUMIFS($O:$O,$J:$J,J9)+SUMIFS($P:$P,$J:$J,J9)+SUMIFS($Q:$Q,$J:$J,J9),"")</f>
        <v>528.36</v>
      </c>
      <c r="S9" s="10">
        <v>536.36</v>
      </c>
      <c r="T9" s="11" t="str">
        <f>IFERROR(INDEX(AD:AD,MATCH(J9,J:J,0)),"")</f>
        <v>Check</v>
      </c>
      <c r="U9" s="12">
        <v>45965</v>
      </c>
      <c r="V9" s="10">
        <v>536.36</v>
      </c>
      <c r="W9" s="10" t="str">
        <f t="shared" ref="W9:W11" si="14">IF(OR(S9="",V9=""),"N/A",IF(S9&lt;&gt;V9,"Short Paid","Not Paid"))</f>
        <v>Not Paid</v>
      </c>
      <c r="X9" t="s">
        <v>61</v>
      </c>
      <c r="Y9" t="s">
        <v>24</v>
      </c>
      <c r="Z9">
        <v>100126</v>
      </c>
      <c r="AA9" t="s">
        <v>204</v>
      </c>
      <c r="AB9" t="s">
        <v>74</v>
      </c>
      <c r="AC9" s="9">
        <f>COUNTIF(J:J,J9)</f>
        <v>1</v>
      </c>
      <c r="AD9" s="9" t="str">
        <f t="shared" ref="AD9:AD11" si="15">IF(AND(R9="",S9=""),"N/A",IF(R9=S9,"Ok","Check"))</f>
        <v>Check</v>
      </c>
      <c r="AE9" s="11">
        <f t="shared" si="12"/>
        <v>-8</v>
      </c>
    </row>
    <row r="10" spans="1:31" x14ac:dyDescent="0.3">
      <c r="A10">
        <v>106</v>
      </c>
      <c r="B10">
        <v>4439769</v>
      </c>
      <c r="C10" t="s">
        <v>47</v>
      </c>
      <c r="D10">
        <v>1179276</v>
      </c>
      <c r="E10" t="s">
        <v>96</v>
      </c>
      <c r="F10" t="s">
        <v>18</v>
      </c>
      <c r="G10" t="s">
        <v>165</v>
      </c>
      <c r="H10" t="s">
        <v>166</v>
      </c>
      <c r="I10" s="9" t="s">
        <v>218</v>
      </c>
      <c r="J10" s="9">
        <v>51165132650</v>
      </c>
      <c r="K10" s="14" t="s">
        <v>216</v>
      </c>
      <c r="L10" s="13" t="s">
        <v>324</v>
      </c>
      <c r="M10" s="14">
        <v>4000</v>
      </c>
      <c r="N10" s="14">
        <v>0.15679999999999999</v>
      </c>
      <c r="O10" s="10">
        <f t="shared" si="13"/>
        <v>627.19999999999993</v>
      </c>
      <c r="P10" s="11">
        <v>0</v>
      </c>
      <c r="Q10" s="11">
        <v>59.58</v>
      </c>
      <c r="R10" s="10">
        <f>IF(COUNTIF($J$2:J10,J10)=1,SUMIFS($O:$O,$J:$J,J10)+SUMIFS($P:$P,$J:$J,J10)+SUMIFS($Q:$Q,$J:$J,J10),"")</f>
        <v>686.78</v>
      </c>
      <c r="S10" s="10">
        <v>686.78</v>
      </c>
      <c r="T10" s="11" t="str">
        <f>IFERROR(INDEX(AD:AD,MATCH(J10,J:J,0)),"")</f>
        <v>Ok</v>
      </c>
      <c r="U10" s="12">
        <v>45981</v>
      </c>
      <c r="V10" s="10">
        <v>686.78</v>
      </c>
      <c r="W10" s="10" t="str">
        <f t="shared" si="14"/>
        <v>Not Paid</v>
      </c>
      <c r="X10" t="s">
        <v>58</v>
      </c>
      <c r="Y10" t="s">
        <v>24</v>
      </c>
      <c r="Z10">
        <v>100234</v>
      </c>
      <c r="AA10" t="s">
        <v>68</v>
      </c>
      <c r="AB10" t="s">
        <v>73</v>
      </c>
      <c r="AC10" s="9">
        <f>COUNTIF(J:J,J10)</f>
        <v>1</v>
      </c>
      <c r="AD10" s="9" t="str">
        <f t="shared" si="15"/>
        <v>Ok</v>
      </c>
      <c r="AE10" s="11">
        <f t="shared" ref="AE10:AE17" si="16">R10-S10</f>
        <v>0</v>
      </c>
    </row>
    <row r="11" spans="1:31" x14ac:dyDescent="0.3">
      <c r="A11">
        <v>105</v>
      </c>
      <c r="B11">
        <v>4440127</v>
      </c>
      <c r="C11" t="s">
        <v>47</v>
      </c>
      <c r="D11">
        <v>1394929</v>
      </c>
      <c r="E11" t="s">
        <v>88</v>
      </c>
      <c r="F11" t="s">
        <v>20</v>
      </c>
      <c r="G11" t="s">
        <v>167</v>
      </c>
      <c r="H11" t="s">
        <v>168</v>
      </c>
      <c r="I11" s="9" t="s">
        <v>295</v>
      </c>
      <c r="J11" s="9">
        <v>51162704321</v>
      </c>
      <c r="K11" s="14" t="s">
        <v>236</v>
      </c>
      <c r="L11" s="13" t="s">
        <v>315</v>
      </c>
      <c r="M11" s="14">
        <v>10000</v>
      </c>
      <c r="N11" s="14">
        <v>2.3269999999999999E-2</v>
      </c>
      <c r="O11" s="10">
        <f t="shared" si="13"/>
        <v>232.7</v>
      </c>
      <c r="P11" s="11">
        <v>0</v>
      </c>
      <c r="Q11" s="11">
        <v>44.21</v>
      </c>
      <c r="R11" s="10">
        <f>IF(COUNTIF($J$2:J11,J11)=1,SUMIFS($O:$O,$J:$J,J11)+SUMIFS($P:$P,$J:$J,J11)+SUMIFS($Q:$Q,$J:$J,J11),"")</f>
        <v>276.90999999999997</v>
      </c>
      <c r="S11" s="10">
        <v>276.91000000000003</v>
      </c>
      <c r="T11" s="11" t="str">
        <f>IFERROR(INDEX(AD:AD,MATCH(J11,J:J,0)),"")</f>
        <v>Ok</v>
      </c>
      <c r="U11" s="12">
        <v>46020</v>
      </c>
      <c r="V11" s="10">
        <v>276.91000000000003</v>
      </c>
      <c r="W11" s="10" t="str">
        <f t="shared" si="14"/>
        <v>Not Paid</v>
      </c>
      <c r="X11" t="s">
        <v>54</v>
      </c>
      <c r="Y11" t="s">
        <v>24</v>
      </c>
      <c r="Z11">
        <v>100111</v>
      </c>
      <c r="AA11" t="s">
        <v>192</v>
      </c>
      <c r="AB11" t="s">
        <v>71</v>
      </c>
      <c r="AC11" s="9">
        <f>COUNTIF(J:J,J11)</f>
        <v>1</v>
      </c>
      <c r="AD11" s="9" t="str">
        <f t="shared" si="15"/>
        <v>Ok</v>
      </c>
      <c r="AE11" s="11">
        <f t="shared" si="16"/>
        <v>0</v>
      </c>
    </row>
    <row r="12" spans="1:31" x14ac:dyDescent="0.3">
      <c r="A12">
        <v>101</v>
      </c>
      <c r="B12">
        <v>4442395</v>
      </c>
      <c r="C12" t="s">
        <v>47</v>
      </c>
      <c r="D12">
        <v>1358046</v>
      </c>
      <c r="E12" t="s">
        <v>94</v>
      </c>
      <c r="F12" t="s">
        <v>20</v>
      </c>
      <c r="G12" t="s">
        <v>169</v>
      </c>
      <c r="H12" t="s">
        <v>170</v>
      </c>
      <c r="I12" s="9" t="s">
        <v>234</v>
      </c>
      <c r="J12" s="9">
        <v>51163107474</v>
      </c>
      <c r="K12" s="14" t="s">
        <v>263</v>
      </c>
      <c r="L12" s="13" t="s">
        <v>318</v>
      </c>
      <c r="M12" s="14">
        <v>6000</v>
      </c>
      <c r="N12" s="14">
        <v>0.01</v>
      </c>
      <c r="O12" s="10">
        <f t="shared" ref="O12:O17" si="17">M12*N12</f>
        <v>60</v>
      </c>
      <c r="P12" s="11">
        <v>7.8</v>
      </c>
      <c r="Q12" s="11">
        <v>0</v>
      </c>
      <c r="R12" s="10">
        <f>IF(COUNTIF($J$2:J12,J12)=1,SUMIFS($O:$O,$J:$J,J12)+SUMIFS($P:$P,$J:$J,J12)+SUMIFS($Q:$Q,$J:$J,J12),"")</f>
        <v>67.8</v>
      </c>
      <c r="S12" s="10">
        <v>67.8</v>
      </c>
      <c r="T12" s="11" t="str">
        <f>IFERROR(INDEX(AD:AD,MATCH(J12,J:J,0)),"")</f>
        <v>Ok</v>
      </c>
      <c r="U12" s="12">
        <v>45621</v>
      </c>
      <c r="V12" s="10">
        <v>67.8</v>
      </c>
      <c r="W12" s="10" t="str">
        <f t="shared" ref="W12:W17" si="18">IF(OR(S12="",V12=""),"N/A",IF(S12&lt;&gt;V12,"Short Paid","Not Paid"))</f>
        <v>Not Paid</v>
      </c>
      <c r="X12" t="s">
        <v>64</v>
      </c>
      <c r="Y12" t="s">
        <v>24</v>
      </c>
      <c r="Z12">
        <v>100152</v>
      </c>
      <c r="AA12" t="s">
        <v>199</v>
      </c>
      <c r="AB12" t="s">
        <v>71</v>
      </c>
      <c r="AC12" s="9">
        <f>COUNTIF(J:J,J12)</f>
        <v>1</v>
      </c>
      <c r="AD12" s="9" t="str">
        <f t="shared" ref="AD12:AD17" si="19">IF(AND(R12="",S12=""),"N/A",IF(R12=S12,"Ok","Check"))</f>
        <v>Ok</v>
      </c>
      <c r="AE12" s="11">
        <f t="shared" si="16"/>
        <v>0</v>
      </c>
    </row>
    <row r="13" spans="1:31" x14ac:dyDescent="0.3">
      <c r="A13">
        <v>101</v>
      </c>
      <c r="B13">
        <v>4442375</v>
      </c>
      <c r="C13" t="s">
        <v>47</v>
      </c>
      <c r="D13">
        <v>1358046</v>
      </c>
      <c r="E13" t="s">
        <v>94</v>
      </c>
      <c r="F13" t="s">
        <v>20</v>
      </c>
      <c r="G13" t="s">
        <v>171</v>
      </c>
      <c r="H13" t="s">
        <v>172</v>
      </c>
      <c r="I13" s="9" t="s">
        <v>258</v>
      </c>
      <c r="J13" s="9">
        <v>51163475333</v>
      </c>
      <c r="K13" s="14" t="s">
        <v>263</v>
      </c>
      <c r="L13" s="13" t="s">
        <v>318</v>
      </c>
      <c r="M13" s="14">
        <v>3000</v>
      </c>
      <c r="N13" s="14">
        <v>0.01</v>
      </c>
      <c r="O13" s="10">
        <f t="shared" si="17"/>
        <v>30</v>
      </c>
      <c r="P13" s="11">
        <v>3.9</v>
      </c>
      <c r="Q13" s="11">
        <v>0</v>
      </c>
      <c r="R13" s="10">
        <f>IF(COUNTIF($J$2:J13,J13)=1,SUMIFS($O:$O,$J:$J,J13)+SUMIFS($P:$P,$J:$J,J13)+SUMIFS($Q:$Q,$J:$J,J13),"")</f>
        <v>33.9</v>
      </c>
      <c r="S13" s="10">
        <v>33.9</v>
      </c>
      <c r="T13" s="11" t="str">
        <f>IFERROR(INDEX(AD:AD,MATCH(J13,J:J,0)),"")</f>
        <v>Ok</v>
      </c>
      <c r="U13" s="12">
        <v>45670</v>
      </c>
      <c r="V13" s="10">
        <v>33.9</v>
      </c>
      <c r="W13" s="10" t="str">
        <f t="shared" si="18"/>
        <v>Not Paid</v>
      </c>
      <c r="X13" t="s">
        <v>64</v>
      </c>
      <c r="Y13" t="s">
        <v>24</v>
      </c>
      <c r="Z13">
        <v>100162</v>
      </c>
      <c r="AA13" t="s">
        <v>194</v>
      </c>
      <c r="AB13" t="s">
        <v>71</v>
      </c>
      <c r="AC13" s="9">
        <f>COUNTIF(J:J,J13)</f>
        <v>1</v>
      </c>
      <c r="AD13" s="9" t="str">
        <f t="shared" si="19"/>
        <v>Ok</v>
      </c>
      <c r="AE13" s="11">
        <f t="shared" si="16"/>
        <v>0</v>
      </c>
    </row>
    <row r="14" spans="1:31" x14ac:dyDescent="0.3">
      <c r="A14">
        <v>101</v>
      </c>
      <c r="B14">
        <v>4441335</v>
      </c>
      <c r="C14" t="s">
        <v>47</v>
      </c>
      <c r="D14">
        <v>1358046</v>
      </c>
      <c r="E14" t="s">
        <v>94</v>
      </c>
      <c r="F14" t="s">
        <v>20</v>
      </c>
      <c r="G14" t="s">
        <v>173</v>
      </c>
      <c r="H14" t="s">
        <v>174</v>
      </c>
      <c r="I14" s="9" t="s">
        <v>297</v>
      </c>
      <c r="J14" s="9">
        <v>51162811652</v>
      </c>
      <c r="K14" s="14" t="s">
        <v>224</v>
      </c>
      <c r="L14" s="13" t="s">
        <v>316</v>
      </c>
      <c r="M14" s="14">
        <v>1500</v>
      </c>
      <c r="N14" s="14">
        <v>0.20469999999999999</v>
      </c>
      <c r="O14" s="10">
        <f t="shared" si="17"/>
        <v>307.05</v>
      </c>
      <c r="P14" s="11">
        <v>39.92</v>
      </c>
      <c r="Q14" s="11">
        <v>0</v>
      </c>
      <c r="R14" s="10">
        <f>IF(COUNTIF($J$2:J14,J14)=1,SUMIFS($O:$O,$J:$J,J14)+SUMIFS($P:$P,$J:$J,J14)+SUMIFS($Q:$Q,$J:$J,J14),"")</f>
        <v>346.97</v>
      </c>
      <c r="S14" s="10">
        <v>346.97</v>
      </c>
      <c r="T14" s="11" t="str">
        <f>IFERROR(INDEX(AD:AD,MATCH(J14,J:J,0)),"")</f>
        <v>Ok</v>
      </c>
      <c r="U14" s="12">
        <v>45670</v>
      </c>
      <c r="V14" s="10">
        <v>346.97</v>
      </c>
      <c r="W14" s="10" t="str">
        <f t="shared" si="18"/>
        <v>Not Paid</v>
      </c>
      <c r="X14" t="s">
        <v>64</v>
      </c>
      <c r="Y14" t="s">
        <v>24</v>
      </c>
      <c r="Z14">
        <v>100192</v>
      </c>
      <c r="AA14" t="s">
        <v>200</v>
      </c>
      <c r="AB14" t="s">
        <v>71</v>
      </c>
      <c r="AC14" s="9">
        <f>COUNTIF(J:J,J14)</f>
        <v>1</v>
      </c>
      <c r="AD14" s="9" t="str">
        <f t="shared" si="19"/>
        <v>Ok</v>
      </c>
      <c r="AE14" s="11">
        <f t="shared" si="16"/>
        <v>0</v>
      </c>
    </row>
    <row r="15" spans="1:31" x14ac:dyDescent="0.3">
      <c r="A15">
        <v>101</v>
      </c>
      <c r="B15">
        <v>4442335</v>
      </c>
      <c r="C15" t="s">
        <v>47</v>
      </c>
      <c r="D15">
        <v>1358046</v>
      </c>
      <c r="E15" t="s">
        <v>94</v>
      </c>
      <c r="F15" t="s">
        <v>20</v>
      </c>
      <c r="G15" t="s">
        <v>175</v>
      </c>
      <c r="H15" t="s">
        <v>176</v>
      </c>
      <c r="I15" s="9" t="s">
        <v>304</v>
      </c>
      <c r="J15" s="9">
        <v>51163541241</v>
      </c>
      <c r="K15" s="14" t="s">
        <v>322</v>
      </c>
      <c r="L15" s="13" t="s">
        <v>321</v>
      </c>
      <c r="M15" s="14">
        <v>159</v>
      </c>
      <c r="N15" s="14">
        <v>4</v>
      </c>
      <c r="O15" s="10">
        <f t="shared" si="17"/>
        <v>636</v>
      </c>
      <c r="P15" s="11">
        <v>82.68</v>
      </c>
      <c r="Q15" s="11">
        <v>0</v>
      </c>
      <c r="R15" s="10">
        <f>IF(COUNTIF($J$2:J15,J15)=1,SUMIFS($O:$O,$J:$J,J15)+SUMIFS($P:$P,$J:$J,J15)+SUMIFS($Q:$Q,$J:$J,J15),"")</f>
        <v>718.68000000000006</v>
      </c>
      <c r="S15" s="10">
        <v>718.68</v>
      </c>
      <c r="T15" s="11" t="str">
        <f>IFERROR(INDEX(AD:AD,MATCH(J15,J:J,0)),"")</f>
        <v>Ok</v>
      </c>
      <c r="U15" s="12">
        <v>45671</v>
      </c>
      <c r="V15" s="10">
        <v>718.68</v>
      </c>
      <c r="W15" s="10" t="str">
        <f t="shared" si="18"/>
        <v>Not Paid</v>
      </c>
      <c r="X15" t="s">
        <v>64</v>
      </c>
      <c r="Y15" t="s">
        <v>24</v>
      </c>
      <c r="Z15">
        <v>100202</v>
      </c>
      <c r="AA15" t="s">
        <v>201</v>
      </c>
      <c r="AB15" t="s">
        <v>71</v>
      </c>
      <c r="AC15" s="9">
        <f>COUNTIF(J:J,J15)</f>
        <v>1</v>
      </c>
      <c r="AD15" s="9" t="str">
        <f t="shared" si="19"/>
        <v>Ok</v>
      </c>
      <c r="AE15" s="11">
        <f t="shared" si="16"/>
        <v>0</v>
      </c>
    </row>
    <row r="16" spans="1:31" x14ac:dyDescent="0.3">
      <c r="A16">
        <v>101</v>
      </c>
      <c r="B16">
        <v>4441364</v>
      </c>
      <c r="C16" t="s">
        <v>47</v>
      </c>
      <c r="D16">
        <v>1358046</v>
      </c>
      <c r="E16" t="s">
        <v>94</v>
      </c>
      <c r="F16" t="s">
        <v>20</v>
      </c>
      <c r="G16" t="s">
        <v>177</v>
      </c>
      <c r="H16" t="s">
        <v>178</v>
      </c>
      <c r="I16" s="9" t="s">
        <v>252</v>
      </c>
      <c r="J16" s="9">
        <v>51161461750</v>
      </c>
      <c r="K16" s="14" t="s">
        <v>213</v>
      </c>
      <c r="L16" s="13" t="s">
        <v>312</v>
      </c>
      <c r="M16" s="14">
        <v>2500</v>
      </c>
      <c r="N16" s="14">
        <v>6.5799999999999997E-2</v>
      </c>
      <c r="O16" s="10">
        <f t="shared" si="17"/>
        <v>164.5</v>
      </c>
      <c r="P16" s="11">
        <v>21.39</v>
      </c>
      <c r="Q16" s="11">
        <v>0</v>
      </c>
      <c r="R16" s="10">
        <f>IF(COUNTIF($J$2:J16,J16)=1,SUMIFS($O:$O,$J:$J,J16)+SUMIFS($P:$P,$J:$J,J16)+SUMIFS($Q:$Q,$J:$J,J16),"")</f>
        <v>185.89</v>
      </c>
      <c r="S16" s="10">
        <v>185.89</v>
      </c>
      <c r="T16" s="11" t="str">
        <f>IFERROR(INDEX(AD:AD,MATCH(J16,J:J,0)),"")</f>
        <v>Ok</v>
      </c>
      <c r="U16" s="12">
        <v>45691</v>
      </c>
      <c r="V16" s="10">
        <v>185.89</v>
      </c>
      <c r="W16" s="10" t="str">
        <f t="shared" si="18"/>
        <v>Not Paid</v>
      </c>
      <c r="X16" t="s">
        <v>64</v>
      </c>
      <c r="Y16" t="s">
        <v>24</v>
      </c>
      <c r="Z16">
        <v>100232</v>
      </c>
      <c r="AA16" t="s">
        <v>202</v>
      </c>
      <c r="AB16" t="s">
        <v>71</v>
      </c>
      <c r="AC16" s="9">
        <f>COUNTIF(J:J,J16)</f>
        <v>1</v>
      </c>
      <c r="AD16" s="9" t="str">
        <f t="shared" si="19"/>
        <v>Ok</v>
      </c>
      <c r="AE16" s="11">
        <f t="shared" si="16"/>
        <v>0</v>
      </c>
    </row>
    <row r="17" spans="1:31" x14ac:dyDescent="0.3">
      <c r="A17">
        <v>101</v>
      </c>
      <c r="B17">
        <v>4443074</v>
      </c>
      <c r="C17" t="s">
        <v>47</v>
      </c>
      <c r="D17">
        <v>1358046</v>
      </c>
      <c r="E17" t="s">
        <v>94</v>
      </c>
      <c r="F17" t="s">
        <v>20</v>
      </c>
      <c r="G17" t="s">
        <v>179</v>
      </c>
      <c r="H17" t="s">
        <v>180</v>
      </c>
      <c r="I17" s="9" t="s">
        <v>282</v>
      </c>
      <c r="J17" s="9">
        <v>51161671738</v>
      </c>
      <c r="K17" s="14" t="s">
        <v>213</v>
      </c>
      <c r="L17" s="13" t="s">
        <v>313</v>
      </c>
      <c r="M17" s="14">
        <v>3000</v>
      </c>
      <c r="N17" s="14">
        <v>6.7100000000000007E-2</v>
      </c>
      <c r="O17" s="10">
        <f t="shared" si="17"/>
        <v>201.3</v>
      </c>
      <c r="P17" s="11">
        <v>26.17</v>
      </c>
      <c r="Q17" s="11">
        <v>38.25</v>
      </c>
      <c r="R17" s="10">
        <f>IF(COUNTIF($J$2:J17,J17)=1,SUMIFS($O:$O,$J:$J,J17)+SUMIFS($P:$P,$J:$J,J17)+SUMIFS($Q:$Q,$J:$J,J17),"")</f>
        <v>265.72000000000003</v>
      </c>
      <c r="S17" s="10">
        <v>265.72000000000003</v>
      </c>
      <c r="T17" s="11" t="str">
        <f>IFERROR(INDEX(AD:AD,MATCH(J17,J:J,0)),"")</f>
        <v>Ok</v>
      </c>
      <c r="U17" s="12">
        <v>45820</v>
      </c>
      <c r="V17" s="10">
        <v>265.72000000000003</v>
      </c>
      <c r="W17" s="10" t="str">
        <f t="shared" si="18"/>
        <v>Not Paid</v>
      </c>
      <c r="X17" t="s">
        <v>64</v>
      </c>
      <c r="Y17" t="s">
        <v>24</v>
      </c>
      <c r="Z17">
        <v>100272</v>
      </c>
      <c r="AA17" t="s">
        <v>195</v>
      </c>
      <c r="AB17" t="s">
        <v>71</v>
      </c>
      <c r="AC17" s="9">
        <f>COUNTIF(J:J,J17)</f>
        <v>1</v>
      </c>
      <c r="AD17" s="9" t="str">
        <f t="shared" si="19"/>
        <v>Ok</v>
      </c>
      <c r="AE17" s="11">
        <f t="shared" si="16"/>
        <v>0</v>
      </c>
    </row>
    <row r="18" spans="1:31" x14ac:dyDescent="0.3">
      <c r="A18">
        <v>79</v>
      </c>
      <c r="B18">
        <v>4602060</v>
      </c>
      <c r="C18" t="s">
        <v>47</v>
      </c>
      <c r="D18">
        <v>1550193</v>
      </c>
      <c r="E18" t="s">
        <v>98</v>
      </c>
      <c r="F18" t="s">
        <v>19</v>
      </c>
      <c r="G18" t="s">
        <v>181</v>
      </c>
      <c r="H18" t="s">
        <v>182</v>
      </c>
      <c r="I18" s="9" t="s">
        <v>242</v>
      </c>
      <c r="J18" s="9">
        <v>51135816411</v>
      </c>
      <c r="K18" s="14" t="s">
        <v>263</v>
      </c>
      <c r="L18" s="13" t="s">
        <v>262</v>
      </c>
      <c r="M18" s="14">
        <v>12000</v>
      </c>
      <c r="N18" s="14">
        <v>7.0809999999999998E-2</v>
      </c>
      <c r="O18" s="10">
        <f t="shared" ref="O18" si="20">M18*N18</f>
        <v>849.72</v>
      </c>
      <c r="P18" s="11">
        <v>0</v>
      </c>
      <c r="Q18" s="11">
        <v>484.34</v>
      </c>
      <c r="R18" s="10">
        <f>IF(COUNTIF($J$2:J18,J18)=1,SUMIFS($O:$O,$J:$J,J18)+SUMIFS($P:$P,$J:$J,J18)+SUMIFS($Q:$Q,$J:$J,J18),"")</f>
        <v>1334.06</v>
      </c>
      <c r="S18" s="10">
        <v>1334.06</v>
      </c>
      <c r="T18" s="11" t="str">
        <f>IFERROR(INDEX(AD:AD,MATCH(J18,J:J,0)),"")</f>
        <v>Ok</v>
      </c>
      <c r="U18" s="12">
        <v>46037</v>
      </c>
      <c r="V18" s="10">
        <v>1334.06</v>
      </c>
      <c r="W18" s="10" t="str">
        <f t="shared" ref="W18" si="21">IF(OR(S18="",V18=""),"N/A",IF(S18&lt;&gt;V18,"Short Paid","Not Paid"))</f>
        <v>Not Paid</v>
      </c>
      <c r="X18" t="s">
        <v>63</v>
      </c>
      <c r="Y18" t="s">
        <v>24</v>
      </c>
      <c r="Z18">
        <v>100275</v>
      </c>
      <c r="AA18" t="s">
        <v>67</v>
      </c>
      <c r="AB18" t="s">
        <v>74</v>
      </c>
      <c r="AC18" s="9">
        <f>COUNTIF(J:J,J18)</f>
        <v>1</v>
      </c>
      <c r="AD18" s="9" t="str">
        <f t="shared" ref="AD18" si="22">IF(AND(R18="",S18=""),"N/A",IF(R18=S18,"Ok","Check"))</f>
        <v>Ok</v>
      </c>
      <c r="AE18" s="11">
        <f t="shared" ref="AE18" si="23">R18-S18</f>
        <v>0</v>
      </c>
    </row>
    <row r="19" spans="1:31" x14ac:dyDescent="0.3">
      <c r="A19">
        <v>32</v>
      </c>
      <c r="B19">
        <v>4719496</v>
      </c>
      <c r="C19" t="s">
        <v>47</v>
      </c>
      <c r="D19">
        <v>1130746</v>
      </c>
      <c r="E19" t="s">
        <v>84</v>
      </c>
      <c r="F19" t="s">
        <v>20</v>
      </c>
      <c r="G19" t="s">
        <v>183</v>
      </c>
      <c r="H19" t="s">
        <v>184</v>
      </c>
      <c r="I19" s="9" t="s">
        <v>279</v>
      </c>
      <c r="J19" s="9">
        <v>51151939589</v>
      </c>
      <c r="K19" s="14" t="s">
        <v>247</v>
      </c>
      <c r="L19" s="13" t="s">
        <v>301</v>
      </c>
      <c r="M19" s="14">
        <v>1248</v>
      </c>
      <c r="N19" s="14">
        <v>462.88659999999999</v>
      </c>
      <c r="O19" s="10">
        <f t="shared" ref="O19:O20" si="24">M19*N19</f>
        <v>577682.47679999995</v>
      </c>
      <c r="P19" s="11">
        <v>0</v>
      </c>
      <c r="Q19" s="11">
        <v>0</v>
      </c>
      <c r="R19" s="10">
        <f>IF(COUNTIF($J$2:J19,J19)=1,SUMIFS($O:$O,$J:$J,J19)+SUMIFS($P:$P,$J:$J,J19)+SUMIFS($Q:$Q,$J:$J,J19),"")</f>
        <v>577682.47679999995</v>
      </c>
      <c r="S19" s="10">
        <v>577682.47</v>
      </c>
      <c r="T19" s="11" t="str">
        <f>IFERROR(INDEX(AD:AD,MATCH(J19,J:J,0)),"")</f>
        <v>Check</v>
      </c>
      <c r="U19" s="12">
        <v>46093</v>
      </c>
      <c r="V19" s="10">
        <v>577682.47</v>
      </c>
      <c r="W19" s="10" t="str">
        <f t="shared" ref="W19:W20" si="25">IF(OR(S19="",V19=""),"N/A",IF(S19&lt;&gt;V19,"Short Paid","Not Paid"))</f>
        <v>Not Paid</v>
      </c>
      <c r="X19" t="s">
        <v>56</v>
      </c>
      <c r="Y19" t="s">
        <v>24</v>
      </c>
      <c r="Z19">
        <v>100113</v>
      </c>
      <c r="AA19" t="s">
        <v>57</v>
      </c>
      <c r="AB19" t="s">
        <v>71</v>
      </c>
      <c r="AC19" s="9">
        <f>COUNTIF(J:J,J19)</f>
        <v>1</v>
      </c>
      <c r="AD19" s="9" t="str">
        <f t="shared" ref="AD19:AD20" si="26">IF(AND(R19="",S19=""),"N/A",IF(R19=S19,"Ok","Check"))</f>
        <v>Check</v>
      </c>
      <c r="AE19" s="11">
        <f t="shared" ref="AE19" si="27">R19-S19</f>
        <v>6.7999999737367034E-3</v>
      </c>
    </row>
    <row r="20" spans="1:31" x14ac:dyDescent="0.3">
      <c r="A20">
        <v>24</v>
      </c>
      <c r="B20">
        <v>4753447</v>
      </c>
      <c r="C20" t="s">
        <v>47</v>
      </c>
      <c r="D20">
        <v>1909226</v>
      </c>
      <c r="E20" t="s">
        <v>101</v>
      </c>
      <c r="F20" t="s">
        <v>21</v>
      </c>
      <c r="G20" t="s">
        <v>43</v>
      </c>
      <c r="H20" t="s">
        <v>44</v>
      </c>
      <c r="I20" s="9" t="s">
        <v>239</v>
      </c>
      <c r="J20" s="9">
        <v>51150684377</v>
      </c>
      <c r="K20" s="14" t="s">
        <v>212</v>
      </c>
      <c r="L20" s="13" t="s">
        <v>380</v>
      </c>
      <c r="M20" s="14">
        <v>1000</v>
      </c>
      <c r="N20" s="14">
        <v>4</v>
      </c>
      <c r="O20" s="10">
        <f t="shared" si="24"/>
        <v>4000</v>
      </c>
      <c r="P20" s="11">
        <v>0</v>
      </c>
      <c r="Q20" s="11">
        <v>1609.4</v>
      </c>
      <c r="R20" s="10">
        <f>IF(COUNTIF($J$2:J20,J20)=1,SUMIFS($O:$O,$J:$J,J20)+SUMIFS($P:$P,$J:$J,J20)+SUMIFS($Q:$Q,$J:$J,J20),"")</f>
        <v>5609.4</v>
      </c>
      <c r="S20">
        <v>14090.15</v>
      </c>
      <c r="T20" s="11" t="str">
        <f>IFERROR(INDEX(AD:AD,MATCH(J20,J:J,0)),"")</f>
        <v>Check</v>
      </c>
      <c r="U20" s="12">
        <v>46029</v>
      </c>
      <c r="V20" s="10">
        <v>8090.15</v>
      </c>
      <c r="W20" s="10" t="str">
        <f t="shared" si="25"/>
        <v>Short Paid</v>
      </c>
      <c r="X20" t="s">
        <v>61</v>
      </c>
      <c r="Y20" t="s">
        <v>34</v>
      </c>
      <c r="Z20">
        <v>100146</v>
      </c>
      <c r="AA20" t="s">
        <v>206</v>
      </c>
      <c r="AB20" t="s">
        <v>72</v>
      </c>
      <c r="AC20" s="9">
        <f>COUNTIF(J:J,J20)</f>
        <v>1</v>
      </c>
      <c r="AD20" s="9" t="str">
        <f t="shared" si="26"/>
        <v>Check</v>
      </c>
      <c r="AE20" s="11">
        <f t="shared" ref="AE20" si="28">R20-S20</f>
        <v>-8480.75</v>
      </c>
    </row>
    <row r="21" spans="1:31" x14ac:dyDescent="0.3">
      <c r="A21">
        <v>18</v>
      </c>
      <c r="B21">
        <v>4858639</v>
      </c>
      <c r="C21" t="s">
        <v>47</v>
      </c>
      <c r="D21">
        <v>1267403</v>
      </c>
      <c r="E21" t="s">
        <v>51</v>
      </c>
      <c r="F21" t="s">
        <v>20</v>
      </c>
      <c r="G21" t="s">
        <v>52</v>
      </c>
      <c r="H21" t="s">
        <v>53</v>
      </c>
      <c r="I21" s="9" t="s">
        <v>273</v>
      </c>
      <c r="J21" s="9">
        <v>51148589909</v>
      </c>
      <c r="K21" s="14" t="s">
        <v>212</v>
      </c>
      <c r="L21" s="13" t="s">
        <v>379</v>
      </c>
      <c r="M21" s="14">
        <v>2</v>
      </c>
      <c r="N21" s="14">
        <v>250</v>
      </c>
      <c r="O21" s="10">
        <f t="shared" ref="O21:O22" si="29">M21*N21</f>
        <v>500</v>
      </c>
      <c r="P21" s="11">
        <v>0</v>
      </c>
      <c r="Q21" s="11">
        <v>0</v>
      </c>
      <c r="R21" s="10">
        <f>IF(COUNTIF($J$2:J21,J21)=1,SUMIFS($O:$O,$J:$J,J21)+SUMIFS($P:$P,$J:$J,J21)+SUMIFS($Q:$Q,$J:$J,J21),"")</f>
        <v>500</v>
      </c>
      <c r="S21">
        <v>1700</v>
      </c>
      <c r="T21" s="11" t="str">
        <f>IFERROR(INDEX(AD:AD,MATCH(J21,J:J,0)),"")</f>
        <v>Check</v>
      </c>
      <c r="U21" s="12">
        <v>46148</v>
      </c>
      <c r="V21" s="10">
        <v>500</v>
      </c>
      <c r="W21" s="10" t="str">
        <f t="shared" ref="W21:W22" si="30">IF(OR(S21="",V21=""),"N/A",IF(S21&lt;&gt;V21,"Short Paid","Not Paid"))</f>
        <v>Short Paid</v>
      </c>
      <c r="X21" t="s">
        <v>64</v>
      </c>
      <c r="Y21" t="s">
        <v>24</v>
      </c>
      <c r="Z21">
        <v>100112</v>
      </c>
      <c r="AA21" t="s">
        <v>65</v>
      </c>
      <c r="AB21" t="s">
        <v>71</v>
      </c>
      <c r="AC21" s="9">
        <f>COUNTIF(J:J,J21)</f>
        <v>1</v>
      </c>
      <c r="AD21" s="9" t="str">
        <f t="shared" ref="AD21:AD22" si="31">IF(AND(R21="",S21=""),"N/A",IF(R21=S21,"Ok","Check"))</f>
        <v>Check</v>
      </c>
      <c r="AE21" s="11">
        <f t="shared" ref="AE21:AE22" si="32">R21-S21</f>
        <v>-1200</v>
      </c>
    </row>
    <row r="22" spans="1:31" x14ac:dyDescent="0.3">
      <c r="A22">
        <v>18</v>
      </c>
      <c r="B22">
        <v>4858917</v>
      </c>
      <c r="C22" t="s">
        <v>47</v>
      </c>
      <c r="D22">
        <v>1267403</v>
      </c>
      <c r="E22" t="s">
        <v>51</v>
      </c>
      <c r="F22" t="s">
        <v>20</v>
      </c>
      <c r="G22" t="s">
        <v>45</v>
      </c>
      <c r="H22" t="s">
        <v>46</v>
      </c>
      <c r="I22" s="9" t="s">
        <v>244</v>
      </c>
      <c r="J22" s="9">
        <v>51151418088</v>
      </c>
      <c r="K22" s="14" t="s">
        <v>212</v>
      </c>
      <c r="L22" s="13" t="s">
        <v>379</v>
      </c>
      <c r="M22" s="14">
        <v>1</v>
      </c>
      <c r="N22" s="14">
        <v>250</v>
      </c>
      <c r="O22" s="10">
        <f t="shared" si="29"/>
        <v>250</v>
      </c>
      <c r="P22" s="11">
        <v>0</v>
      </c>
      <c r="Q22" s="11">
        <v>566.21</v>
      </c>
      <c r="R22" s="10">
        <f>IF(COUNTIF($J$2:J22,J22)=1,SUMIFS($O:$O,$J:$J,J22)+SUMIFS($P:$P,$J:$J,J22)+SUMIFS($Q:$Q,$J:$J,J22),"")</f>
        <v>6017.2700999999997</v>
      </c>
      <c r="S22">
        <v>5201.0600000000004</v>
      </c>
      <c r="T22" s="11" t="str">
        <f>IFERROR(INDEX(AD:AD,MATCH(J22,J:J,0)),"")</f>
        <v>Check</v>
      </c>
      <c r="U22" s="12">
        <v>46150</v>
      </c>
      <c r="V22" s="10">
        <v>250</v>
      </c>
      <c r="W22" s="10" t="str">
        <f t="shared" si="30"/>
        <v>Short Paid</v>
      </c>
      <c r="X22" t="s">
        <v>64</v>
      </c>
      <c r="Y22" t="s">
        <v>24</v>
      </c>
      <c r="Z22">
        <v>100122</v>
      </c>
      <c r="AA22" t="s">
        <v>70</v>
      </c>
      <c r="AB22" t="s">
        <v>71</v>
      </c>
      <c r="AC22" s="9">
        <f>COUNTIF(J:J,J22)</f>
        <v>3</v>
      </c>
      <c r="AD22" s="9" t="str">
        <f t="shared" si="31"/>
        <v>Check</v>
      </c>
      <c r="AE22" s="11">
        <f t="shared" si="32"/>
        <v>816.21009999999933</v>
      </c>
    </row>
    <row r="23" spans="1:31" x14ac:dyDescent="0.3">
      <c r="A23">
        <v>2</v>
      </c>
      <c r="B23">
        <v>4960212</v>
      </c>
      <c r="C23" t="s">
        <v>47</v>
      </c>
      <c r="D23">
        <v>1188745</v>
      </c>
      <c r="E23" t="s">
        <v>87</v>
      </c>
      <c r="F23" t="s">
        <v>21</v>
      </c>
      <c r="G23" t="s">
        <v>49</v>
      </c>
      <c r="H23" t="s">
        <v>50</v>
      </c>
      <c r="I23" s="9" t="s">
        <v>291</v>
      </c>
      <c r="J23" s="9">
        <v>51158549454</v>
      </c>
      <c r="K23" s="14" t="s">
        <v>212</v>
      </c>
      <c r="L23" s="13" t="s">
        <v>382</v>
      </c>
      <c r="M23" s="14">
        <v>2325</v>
      </c>
      <c r="N23" s="14">
        <v>0.51</v>
      </c>
      <c r="O23" s="10">
        <f t="shared" ref="O23" si="33">M23*N23</f>
        <v>1185.75</v>
      </c>
      <c r="P23" s="11">
        <v>864.94</v>
      </c>
      <c r="Q23" s="11">
        <v>0</v>
      </c>
      <c r="R23" s="10">
        <f>IF(COUNTIF($J$2:J23,J23)=1,SUMIFS($O:$O,$J:$J,J23)+SUMIFS($P:$P,$J:$J,J23)+SUMIFS($Q:$Q,$J:$J,J23),"")</f>
        <v>2050.69</v>
      </c>
      <c r="S23">
        <v>8704.09</v>
      </c>
      <c r="T23" s="11" t="str">
        <f>IFERROR(INDEX(AD:AD,MATCH(J23,J:J,0)),"")</f>
        <v>Check</v>
      </c>
      <c r="U23" s="12">
        <v>45852</v>
      </c>
      <c r="V23" s="10">
        <v>4497.9799999999996</v>
      </c>
      <c r="W23" s="10" t="str">
        <f t="shared" ref="W23" si="34">IF(OR(S23="",V23=""),"N/A",IF(S23&lt;&gt;V23,"Short Paid","Not Paid"))</f>
        <v>Short Paid</v>
      </c>
      <c r="X23" t="s">
        <v>58</v>
      </c>
      <c r="Y23" t="s">
        <v>34</v>
      </c>
      <c r="Z23">
        <v>100264</v>
      </c>
      <c r="AA23" t="s">
        <v>208</v>
      </c>
      <c r="AB23" t="s">
        <v>72</v>
      </c>
      <c r="AC23" s="9">
        <f>COUNTIF(J:J,J23)</f>
        <v>1</v>
      </c>
      <c r="AD23" s="9" t="str">
        <f t="shared" ref="AD23" si="35">IF(AND(R23="",S23=""),"N/A",IF(R23=S23,"Ok","Check"))</f>
        <v>Check</v>
      </c>
      <c r="AE23" s="11">
        <f t="shared" ref="AE23" si="36">R23-S23</f>
        <v>-6653.4</v>
      </c>
    </row>
    <row r="24" spans="1:31" x14ac:dyDescent="0.3">
      <c r="A24">
        <v>18</v>
      </c>
      <c r="B24">
        <v>4858917</v>
      </c>
      <c r="C24" t="s">
        <v>47</v>
      </c>
      <c r="D24">
        <v>1267403</v>
      </c>
      <c r="E24" t="s">
        <v>51</v>
      </c>
      <c r="F24" t="s">
        <v>20</v>
      </c>
      <c r="G24" t="s">
        <v>45</v>
      </c>
      <c r="H24" t="s">
        <v>46</v>
      </c>
      <c r="I24" t="s">
        <v>244</v>
      </c>
      <c r="J24">
        <v>51151418088</v>
      </c>
      <c r="K24" t="s">
        <v>212</v>
      </c>
      <c r="L24" t="s">
        <v>379</v>
      </c>
      <c r="M24">
        <v>1</v>
      </c>
      <c r="N24">
        <v>250</v>
      </c>
      <c r="O24" s="10">
        <f t="shared" ref="O24:O25" si="37">M24*N24</f>
        <v>250</v>
      </c>
      <c r="P24">
        <v>0</v>
      </c>
      <c r="Q24">
        <v>566.21</v>
      </c>
      <c r="R24">
        <v>5201.0600999999997</v>
      </c>
      <c r="S24">
        <v>5201.0600000000004</v>
      </c>
      <c r="T24" s="11" t="str">
        <f>IFERROR(INDEX(AD:AD,MATCH(J24,J:J,0)),"")</f>
        <v>Check</v>
      </c>
      <c r="U24" s="12">
        <v>46150</v>
      </c>
      <c r="V24" s="10">
        <v>250</v>
      </c>
      <c r="W24" s="10" t="str">
        <f t="shared" ref="W24:W25" si="38">IF(OR(S24="",V24=""),"N/A",IF(S24&lt;&gt;V24,"Short Paid","Not Paid"))</f>
        <v>Short Paid</v>
      </c>
      <c r="X24" t="s">
        <v>64</v>
      </c>
      <c r="Y24" t="s">
        <v>24</v>
      </c>
      <c r="Z24">
        <v>100122</v>
      </c>
      <c r="AA24" t="s">
        <v>70</v>
      </c>
      <c r="AB24" t="s">
        <v>71</v>
      </c>
      <c r="AC24">
        <v>2</v>
      </c>
      <c r="AD24" s="9" t="str">
        <f t="shared" ref="AD24:AD25" si="39">IF(AND(R24="",S24=""),"N/A",IF(R24=S24,"Ok","Check"))</f>
        <v>Check</v>
      </c>
      <c r="AE24" s="11">
        <f t="shared" ref="AE24:AE25" si="40">R24-S24</f>
        <v>9.999999929277692E-5</v>
      </c>
    </row>
    <row r="25" spans="1:31" x14ac:dyDescent="0.3">
      <c r="A25">
        <v>18</v>
      </c>
      <c r="B25">
        <v>4858917</v>
      </c>
      <c r="C25" t="s">
        <v>47</v>
      </c>
      <c r="D25">
        <v>1267403</v>
      </c>
      <c r="E25" t="s">
        <v>51</v>
      </c>
      <c r="F25" t="s">
        <v>20</v>
      </c>
      <c r="G25" t="s">
        <v>45</v>
      </c>
      <c r="H25" t="s">
        <v>46</v>
      </c>
      <c r="I25" t="s">
        <v>251</v>
      </c>
      <c r="J25">
        <v>51151418088</v>
      </c>
      <c r="K25" t="s">
        <v>225</v>
      </c>
      <c r="L25" t="s">
        <v>381</v>
      </c>
      <c r="M25">
        <v>6217</v>
      </c>
      <c r="N25">
        <v>0.70529999999999993</v>
      </c>
      <c r="O25" s="10">
        <f t="shared" si="37"/>
        <v>4384.8500999999997</v>
      </c>
      <c r="P25" t="s">
        <v>383</v>
      </c>
      <c r="Q25" t="s">
        <v>383</v>
      </c>
      <c r="R25" t="s">
        <v>383</v>
      </c>
      <c r="S25" t="s">
        <v>383</v>
      </c>
      <c r="T25" s="11" t="str">
        <f>IFERROR(INDEX(AD:AD,MATCH(J25,J:J,0)),"")</f>
        <v>Check</v>
      </c>
      <c r="U25" s="12">
        <v>46150</v>
      </c>
      <c r="V25" s="10">
        <v>250</v>
      </c>
      <c r="W25" s="10" t="str">
        <f t="shared" si="38"/>
        <v>N/A</v>
      </c>
      <c r="X25" t="s">
        <v>64</v>
      </c>
      <c r="Y25" t="s">
        <v>24</v>
      </c>
      <c r="Z25">
        <v>100122</v>
      </c>
      <c r="AA25" t="s">
        <v>70</v>
      </c>
      <c r="AB25" t="s">
        <v>71</v>
      </c>
      <c r="AC25">
        <v>2</v>
      </c>
      <c r="AD25" s="9" t="str">
        <f t="shared" si="39"/>
        <v>N/A</v>
      </c>
      <c r="AE25" s="11" t="e">
        <f t="shared" si="40"/>
        <v>#VALUE!</v>
      </c>
    </row>
    <row r="26" spans="1:31" x14ac:dyDescent="0.3">
      <c r="A26">
        <v>235</v>
      </c>
      <c r="B26">
        <v>4388458</v>
      </c>
      <c r="C26" t="s">
        <v>47</v>
      </c>
      <c r="D26">
        <v>1276402</v>
      </c>
      <c r="E26" t="s">
        <v>77</v>
      </c>
      <c r="F26" t="s">
        <v>20</v>
      </c>
      <c r="G26" t="s">
        <v>141</v>
      </c>
      <c r="H26" t="s">
        <v>142</v>
      </c>
      <c r="I26" t="s">
        <v>307</v>
      </c>
      <c r="J26">
        <v>50117757017</v>
      </c>
      <c r="K26" t="s">
        <v>215</v>
      </c>
      <c r="L26" t="s">
        <v>214</v>
      </c>
      <c r="M26">
        <v>113</v>
      </c>
      <c r="N26" s="10">
        <v>20.82</v>
      </c>
      <c r="O26" s="10">
        <f t="shared" ref="O26:O29" si="41">M26*N26</f>
        <v>2352.66</v>
      </c>
      <c r="P26" s="10">
        <v>0</v>
      </c>
      <c r="Q26" s="10">
        <v>0</v>
      </c>
      <c r="R26" s="10">
        <f>IF(COUNTIF($J$2:J26,J26)=1,SUMIFS($O:$O,$J:$J,J26)+SUMIFS($P:$P,$J:$J,J26)+SUMIFS($Q:$Q,$J:$J,J26),"")</f>
        <v>2412.66</v>
      </c>
      <c r="S26" s="10">
        <v>2412.66</v>
      </c>
      <c r="T26" s="11" t="str">
        <f>IFERROR(INDEX(AD:AD,MATCH(J26,J:J,0)),"")</f>
        <v>Ok</v>
      </c>
      <c r="U26" s="12">
        <v>45747</v>
      </c>
      <c r="V26" s="10">
        <v>60</v>
      </c>
      <c r="W26" s="10" t="str">
        <f t="shared" ref="W26:W29" si="42">IF(OR(S26="",V26=""),"N/A",IF(S26&lt;&gt;V26,"Short Paid","Not Paid"))</f>
        <v>Short Paid</v>
      </c>
      <c r="X26" t="s">
        <v>64</v>
      </c>
      <c r="Y26" t="s">
        <v>24</v>
      </c>
      <c r="Z26">
        <v>100282</v>
      </c>
      <c r="AA26" t="s">
        <v>196</v>
      </c>
      <c r="AB26" t="s">
        <v>71</v>
      </c>
      <c r="AC26" s="9">
        <v>2</v>
      </c>
      <c r="AD26" s="9" t="str">
        <f t="shared" ref="AD26:AD29" si="43">IF(AND(R26="",S26=""),"N/A",IF(R26=S26,"Ok","Check"))</f>
        <v>Ok</v>
      </c>
      <c r="AE26" s="11">
        <f t="shared" ref="AE26:AE29" si="44">R26-S26</f>
        <v>0</v>
      </c>
    </row>
    <row r="27" spans="1:31" x14ac:dyDescent="0.3">
      <c r="A27">
        <v>235</v>
      </c>
      <c r="B27">
        <v>4388458</v>
      </c>
      <c r="C27" t="s">
        <v>47</v>
      </c>
      <c r="D27">
        <v>1276402</v>
      </c>
      <c r="E27" t="s">
        <v>77</v>
      </c>
      <c r="F27" t="s">
        <v>20</v>
      </c>
      <c r="G27" t="s">
        <v>141</v>
      </c>
      <c r="H27" t="s">
        <v>142</v>
      </c>
      <c r="I27" t="s">
        <v>303</v>
      </c>
      <c r="J27">
        <v>50117757017</v>
      </c>
      <c r="K27" t="s">
        <v>331</v>
      </c>
      <c r="L27" t="s">
        <v>330</v>
      </c>
      <c r="M27">
        <v>2</v>
      </c>
      <c r="N27" s="10">
        <v>30</v>
      </c>
      <c r="O27" s="10">
        <f t="shared" si="41"/>
        <v>60</v>
      </c>
      <c r="P27" s="10" t="s">
        <v>383</v>
      </c>
      <c r="Q27" s="10" t="s">
        <v>383</v>
      </c>
      <c r="R27" s="10" t="str">
        <f>IF(COUNTIF($J$2:J27,J27)=1,SUMIFS($O:$O,$J:$J,J27)+SUMIFS($P:$P,$J:$J,J27)+SUMIFS($Q:$Q,$J:$J,J27),"")</f>
        <v/>
      </c>
      <c r="S27" s="10" t="s">
        <v>383</v>
      </c>
      <c r="T27" s="11" t="str">
        <f>IFERROR(INDEX(AD:AD,MATCH(J27,J:J,0)),"")</f>
        <v>Ok</v>
      </c>
      <c r="U27" s="12">
        <v>45747</v>
      </c>
      <c r="V27" s="10">
        <v>60</v>
      </c>
      <c r="W27" s="10" t="str">
        <f t="shared" si="42"/>
        <v>N/A</v>
      </c>
      <c r="X27" t="s">
        <v>64</v>
      </c>
      <c r="Y27" t="s">
        <v>24</v>
      </c>
      <c r="Z27">
        <v>100282</v>
      </c>
      <c r="AA27" t="s">
        <v>196</v>
      </c>
      <c r="AB27" t="s">
        <v>71</v>
      </c>
      <c r="AC27" s="9">
        <v>2</v>
      </c>
      <c r="AD27" s="9" t="str">
        <f t="shared" si="43"/>
        <v>N/A</v>
      </c>
      <c r="AE27" s="11" t="e">
        <f t="shared" si="44"/>
        <v>#VALUE!</v>
      </c>
    </row>
    <row r="28" spans="1:31" x14ac:dyDescent="0.3">
      <c r="A28">
        <v>66</v>
      </c>
      <c r="B28">
        <v>4646307</v>
      </c>
      <c r="C28" t="s">
        <v>47</v>
      </c>
      <c r="D28">
        <v>1688418</v>
      </c>
      <c r="E28" t="s">
        <v>79</v>
      </c>
      <c r="F28" t="s">
        <v>20</v>
      </c>
      <c r="G28" t="s">
        <v>108</v>
      </c>
      <c r="H28" t="s">
        <v>109</v>
      </c>
      <c r="I28" t="s">
        <v>306</v>
      </c>
      <c r="J28">
        <v>51125154672</v>
      </c>
      <c r="K28" t="s">
        <v>243</v>
      </c>
      <c r="L28" t="s">
        <v>332</v>
      </c>
      <c r="M28">
        <v>100</v>
      </c>
      <c r="N28" s="10">
        <v>192.18</v>
      </c>
      <c r="O28" s="10">
        <f t="shared" si="41"/>
        <v>19218</v>
      </c>
      <c r="P28" s="10">
        <v>0</v>
      </c>
      <c r="Q28" s="10">
        <v>2591.23</v>
      </c>
      <c r="R28" s="10">
        <f>IF(COUNTIF($J$2:J28,J28)=1,SUMIFS($O:$O,$J:$J,J28)+SUMIFS($P:$P,$J:$J,J28)+SUMIFS($Q:$Q,$J:$J,J28),"")</f>
        <v>32696.73</v>
      </c>
      <c r="S28" s="10">
        <v>32696.73</v>
      </c>
      <c r="T28" s="11" t="str">
        <f>IFERROR(INDEX(AD:AD,MATCH(J28,J:J,0)),"")</f>
        <v>Ok</v>
      </c>
      <c r="U28" s="12">
        <v>46086</v>
      </c>
      <c r="V28" s="10">
        <v>18257.099999999999</v>
      </c>
      <c r="W28" s="10" t="str">
        <f t="shared" si="42"/>
        <v>Short Paid</v>
      </c>
      <c r="X28" t="s">
        <v>64</v>
      </c>
      <c r="Y28" t="s">
        <v>24</v>
      </c>
      <c r="Z28">
        <v>100242</v>
      </c>
      <c r="AA28" t="s">
        <v>197</v>
      </c>
      <c r="AB28" t="s">
        <v>71</v>
      </c>
      <c r="AC28" s="9">
        <v>2</v>
      </c>
      <c r="AD28" s="9" t="str">
        <f t="shared" si="43"/>
        <v>Ok</v>
      </c>
      <c r="AE28" s="11">
        <f t="shared" si="44"/>
        <v>0</v>
      </c>
    </row>
    <row r="29" spans="1:31" x14ac:dyDescent="0.3">
      <c r="A29">
        <v>66</v>
      </c>
      <c r="B29">
        <v>4646307</v>
      </c>
      <c r="C29" t="s">
        <v>47</v>
      </c>
      <c r="D29">
        <v>1688418</v>
      </c>
      <c r="E29" t="s">
        <v>79</v>
      </c>
      <c r="F29" t="s">
        <v>20</v>
      </c>
      <c r="G29" t="s">
        <v>108</v>
      </c>
      <c r="H29" t="s">
        <v>109</v>
      </c>
      <c r="I29" t="s">
        <v>306</v>
      </c>
      <c r="J29">
        <v>51125154672</v>
      </c>
      <c r="K29" t="s">
        <v>243</v>
      </c>
      <c r="L29" t="s">
        <v>333</v>
      </c>
      <c r="M29">
        <v>50</v>
      </c>
      <c r="N29" s="10">
        <v>217.75</v>
      </c>
      <c r="O29" s="10">
        <f t="shared" si="41"/>
        <v>10887.5</v>
      </c>
      <c r="P29" s="10" t="s">
        <v>383</v>
      </c>
      <c r="Q29" s="10" t="s">
        <v>383</v>
      </c>
      <c r="R29" s="10" t="str">
        <f>IF(COUNTIF($J$2:J29,J29)=1,SUMIFS($O:$O,$J:$J,J29)+SUMIFS($P:$P,$J:$J,J29)+SUMIFS($Q:$Q,$J:$J,J29),"")</f>
        <v/>
      </c>
      <c r="S29" s="10" t="s">
        <v>383</v>
      </c>
      <c r="T29" s="11" t="str">
        <f>IFERROR(INDEX(AD:AD,MATCH(J29,J:J,0)),"")</f>
        <v>Ok</v>
      </c>
      <c r="U29" s="12">
        <v>46086</v>
      </c>
      <c r="V29" s="10">
        <v>18257.099999999999</v>
      </c>
      <c r="W29" s="10" t="str">
        <f t="shared" si="42"/>
        <v>N/A</v>
      </c>
      <c r="X29" t="s">
        <v>64</v>
      </c>
      <c r="Y29" t="s">
        <v>24</v>
      </c>
      <c r="Z29">
        <v>100242</v>
      </c>
      <c r="AA29" t="s">
        <v>197</v>
      </c>
      <c r="AB29" t="s">
        <v>71</v>
      </c>
      <c r="AC29" s="9">
        <v>2</v>
      </c>
      <c r="AD29" s="9" t="str">
        <f t="shared" si="43"/>
        <v>N/A</v>
      </c>
      <c r="AE29" s="11" t="e">
        <f t="shared" si="44"/>
        <v>#VALUE!</v>
      </c>
    </row>
    <row r="30" spans="1:31" x14ac:dyDescent="0.3">
      <c r="A30">
        <v>74</v>
      </c>
      <c r="B30">
        <v>4625436</v>
      </c>
      <c r="C30" t="s">
        <v>47</v>
      </c>
      <c r="D30">
        <v>1607032</v>
      </c>
      <c r="E30" t="s">
        <v>377</v>
      </c>
      <c r="F30" t="s">
        <v>39</v>
      </c>
      <c r="G30" t="s">
        <v>104</v>
      </c>
      <c r="H30" t="s">
        <v>105</v>
      </c>
      <c r="I30" t="s">
        <v>288</v>
      </c>
      <c r="J30">
        <v>51139328507</v>
      </c>
      <c r="K30" t="s">
        <v>225</v>
      </c>
      <c r="L30" t="s">
        <v>294</v>
      </c>
      <c r="M30">
        <v>33000</v>
      </c>
      <c r="N30" s="10">
        <v>9.2059999999999989E-2</v>
      </c>
      <c r="O30" s="10">
        <f t="shared" ref="O30" si="45">M30*N30</f>
        <v>3037.9799999999996</v>
      </c>
      <c r="P30" s="10">
        <v>0</v>
      </c>
      <c r="Q30" s="10">
        <v>0</v>
      </c>
      <c r="R30" s="10">
        <f>IF(COUNTIF($J$2:J30,J30)=1,SUMIFS($O:$O,$J:$J,J30)+SUMIFS($P:$P,$J:$J,J30)+SUMIFS($Q:$Q,$J:$J,J30),"")</f>
        <v>553037.98</v>
      </c>
      <c r="S30" s="10">
        <v>553230.71</v>
      </c>
      <c r="T30" s="11" t="str">
        <f>IFERROR(INDEX(AD:AD,MATCH(J30,J:J,0)),"")</f>
        <v>Check</v>
      </c>
      <c r="U30" s="12">
        <v>46097</v>
      </c>
      <c r="V30" s="10">
        <v>192.73</v>
      </c>
      <c r="W30" s="10" t="str">
        <f t="shared" ref="W30" si="46">IF(OR(S30="",V30=""),"N/A",IF(S30&lt;&gt;V30,"Short Paid","Not Paid"))</f>
        <v>Short Paid</v>
      </c>
      <c r="X30" t="s">
        <v>64</v>
      </c>
      <c r="Y30" t="s">
        <v>55</v>
      </c>
      <c r="Z30">
        <v>100252</v>
      </c>
      <c r="AA30" t="s">
        <v>198</v>
      </c>
      <c r="AB30" t="s">
        <v>190</v>
      </c>
      <c r="AC30" s="9">
        <v>2</v>
      </c>
      <c r="AD30" s="9" t="str">
        <f t="shared" ref="AD30" si="47">IF(AND(R30="",S30=""),"N/A",IF(R30=S30,"Ok","Check"))</f>
        <v>Check</v>
      </c>
      <c r="AE30" s="11">
        <f t="shared" ref="AE30:AE31" si="48">R30-S30</f>
        <v>-192.72999999998137</v>
      </c>
    </row>
    <row r="31" spans="1:31" x14ac:dyDescent="0.3">
      <c r="A31">
        <v>74</v>
      </c>
      <c r="B31">
        <v>4625436</v>
      </c>
      <c r="C31" t="s">
        <v>47</v>
      </c>
      <c r="D31">
        <v>1607032</v>
      </c>
      <c r="E31" t="s">
        <v>377</v>
      </c>
      <c r="F31" t="s">
        <v>39</v>
      </c>
      <c r="G31" t="s">
        <v>104</v>
      </c>
      <c r="H31" t="s">
        <v>105</v>
      </c>
      <c r="I31" t="s">
        <v>211</v>
      </c>
      <c r="J31">
        <v>51139328507</v>
      </c>
      <c r="K31" t="s">
        <v>264</v>
      </c>
      <c r="L31" t="s">
        <v>334</v>
      </c>
      <c r="M31">
        <v>20000</v>
      </c>
      <c r="N31" s="10">
        <v>27.5</v>
      </c>
      <c r="O31" s="10">
        <f t="shared" ref="O31:O33" si="49">M31*N31</f>
        <v>550000</v>
      </c>
      <c r="P31" s="10" t="s">
        <v>383</v>
      </c>
      <c r="Q31" s="10" t="s">
        <v>383</v>
      </c>
      <c r="R31" s="10" t="str">
        <f>IF(COUNTIF($J$2:J31,J31)=1,SUMIFS($O:$O,$J:$J,J31)+SUMIFS($P:$P,$J:$J,J31)+SUMIFS($Q:$Q,$J:$J,J31),"")</f>
        <v/>
      </c>
      <c r="S31" s="10" t="s">
        <v>383</v>
      </c>
      <c r="T31" s="11" t="str">
        <f>IFERROR(INDEX(AD:AD,MATCH(J31,J:J,0)),"")</f>
        <v>Check</v>
      </c>
      <c r="U31" s="12">
        <v>46097</v>
      </c>
      <c r="V31" s="10">
        <v>192.73</v>
      </c>
      <c r="W31" s="10" t="str">
        <f t="shared" ref="W31:W33" si="50">IF(OR(S31="",V31=""),"N/A",IF(S31&lt;&gt;V31,"Short Paid","Not Paid"))</f>
        <v>N/A</v>
      </c>
      <c r="X31" t="s">
        <v>64</v>
      </c>
      <c r="Y31" t="s">
        <v>55</v>
      </c>
      <c r="Z31">
        <v>100252</v>
      </c>
      <c r="AA31" t="s">
        <v>198</v>
      </c>
      <c r="AB31" t="s">
        <v>190</v>
      </c>
      <c r="AC31" s="9">
        <v>2</v>
      </c>
      <c r="AD31" s="9" t="str">
        <f t="shared" ref="AD31:AD33" si="51">IF(AND(R31="",S31=""),"N/A",IF(R31=S31,"Ok","Check"))</f>
        <v>N/A</v>
      </c>
      <c r="AE31" s="11" t="e">
        <f t="shared" si="48"/>
        <v>#VALUE!</v>
      </c>
    </row>
    <row r="32" spans="1:31" x14ac:dyDescent="0.3">
      <c r="A32">
        <v>73</v>
      </c>
      <c r="B32">
        <v>4626828</v>
      </c>
      <c r="C32" t="s">
        <v>47</v>
      </c>
      <c r="D32">
        <v>1269432</v>
      </c>
      <c r="E32" t="s">
        <v>99</v>
      </c>
      <c r="F32" t="s">
        <v>20</v>
      </c>
      <c r="G32" t="s">
        <v>106</v>
      </c>
      <c r="H32" t="s">
        <v>107</v>
      </c>
      <c r="I32" t="s">
        <v>296</v>
      </c>
      <c r="J32">
        <v>51139366712</v>
      </c>
      <c r="K32" t="s">
        <v>259</v>
      </c>
      <c r="L32" t="s">
        <v>335</v>
      </c>
      <c r="M32">
        <v>2500</v>
      </c>
      <c r="N32" s="10">
        <v>0.88400000000000001</v>
      </c>
      <c r="O32" s="10">
        <f t="shared" si="49"/>
        <v>2210</v>
      </c>
      <c r="P32" s="10">
        <v>0</v>
      </c>
      <c r="Q32" s="10">
        <v>0</v>
      </c>
      <c r="R32" s="10">
        <f>IF(COUNTIF($J$2:J32,J32)=1,SUMIFS($O:$O,$J:$J,J32)+SUMIFS($P:$P,$J:$J,J32)+SUMIFS($Q:$Q,$J:$J,J32),"")</f>
        <v>2841.41</v>
      </c>
      <c r="S32" s="10">
        <v>2841.41</v>
      </c>
      <c r="T32" s="11" t="str">
        <f>IFERROR(INDEX(AD:AD,MATCH(J32,J:J,0)),"")</f>
        <v>Ok</v>
      </c>
      <c r="U32" s="12">
        <v>46080</v>
      </c>
      <c r="V32" s="10">
        <v>2210</v>
      </c>
      <c r="W32" s="10" t="str">
        <f t="shared" si="50"/>
        <v>Short Paid</v>
      </c>
      <c r="X32" t="s">
        <v>64</v>
      </c>
      <c r="Y32" t="s">
        <v>24</v>
      </c>
      <c r="Z32">
        <v>100242</v>
      </c>
      <c r="AA32" t="s">
        <v>197</v>
      </c>
      <c r="AB32" t="s">
        <v>71</v>
      </c>
      <c r="AC32" s="9">
        <v>2</v>
      </c>
      <c r="AD32" s="9" t="str">
        <f t="shared" si="51"/>
        <v>Ok</v>
      </c>
      <c r="AE32" s="11">
        <f t="shared" ref="AE32:AE33" si="52">R32-S32</f>
        <v>0</v>
      </c>
    </row>
    <row r="33" spans="1:31" x14ac:dyDescent="0.3">
      <c r="A33">
        <v>73</v>
      </c>
      <c r="B33">
        <v>4626828</v>
      </c>
      <c r="C33" t="s">
        <v>47</v>
      </c>
      <c r="D33">
        <v>1269432</v>
      </c>
      <c r="E33" t="s">
        <v>99</v>
      </c>
      <c r="F33" t="s">
        <v>20</v>
      </c>
      <c r="G33" t="s">
        <v>106</v>
      </c>
      <c r="H33" t="s">
        <v>107</v>
      </c>
      <c r="I33" t="s">
        <v>244</v>
      </c>
      <c r="J33">
        <v>51139366712</v>
      </c>
      <c r="K33" t="s">
        <v>265</v>
      </c>
      <c r="L33" t="s">
        <v>276</v>
      </c>
      <c r="M33">
        <v>39000</v>
      </c>
      <c r="N33" s="10">
        <v>1.619E-2</v>
      </c>
      <c r="O33" s="10">
        <f t="shared" si="49"/>
        <v>631.41</v>
      </c>
      <c r="P33" s="10" t="s">
        <v>383</v>
      </c>
      <c r="Q33" s="10" t="s">
        <v>383</v>
      </c>
      <c r="R33" s="10" t="str">
        <f>IF(COUNTIF($J$2:J33,J33)=1,SUMIFS($O:$O,$J:$J,J33)+SUMIFS($P:$P,$J:$J,J33)+SUMIFS($Q:$Q,$J:$J,J33),"")</f>
        <v/>
      </c>
      <c r="S33" s="10" t="s">
        <v>383</v>
      </c>
      <c r="T33" s="11" t="str">
        <f>IFERROR(INDEX(AD:AD,MATCH(J33,J:J,0)),"")</f>
        <v>Ok</v>
      </c>
      <c r="U33" s="12">
        <v>46080</v>
      </c>
      <c r="V33" s="10">
        <v>2210</v>
      </c>
      <c r="W33" s="10" t="str">
        <f t="shared" si="50"/>
        <v>N/A</v>
      </c>
      <c r="X33" t="s">
        <v>64</v>
      </c>
      <c r="Y33" t="s">
        <v>24</v>
      </c>
      <c r="Z33">
        <v>100242</v>
      </c>
      <c r="AA33" t="s">
        <v>197</v>
      </c>
      <c r="AB33" t="s">
        <v>71</v>
      </c>
      <c r="AC33" s="9">
        <v>2</v>
      </c>
      <c r="AD33" s="9" t="str">
        <f t="shared" si="51"/>
        <v>N/A</v>
      </c>
      <c r="AE33" s="11" t="e">
        <f t="shared" si="52"/>
        <v>#VALUE!</v>
      </c>
    </row>
    <row r="34" spans="1:31" x14ac:dyDescent="0.3">
      <c r="A34">
        <v>55</v>
      </c>
      <c r="B34">
        <v>4675527</v>
      </c>
      <c r="C34" t="s">
        <v>47</v>
      </c>
      <c r="D34">
        <v>1818207</v>
      </c>
      <c r="E34" t="s">
        <v>100</v>
      </c>
      <c r="F34" t="s">
        <v>39</v>
      </c>
      <c r="G34" t="s">
        <v>110</v>
      </c>
      <c r="H34" t="s">
        <v>111</v>
      </c>
      <c r="I34" t="s">
        <v>289</v>
      </c>
      <c r="J34">
        <v>51143261807</v>
      </c>
      <c r="K34" t="s">
        <v>265</v>
      </c>
      <c r="L34" t="s">
        <v>276</v>
      </c>
      <c r="M34">
        <v>198000</v>
      </c>
      <c r="N34" s="10">
        <v>1.619E-2</v>
      </c>
      <c r="O34" s="10">
        <f t="shared" ref="O34:O37" si="53">M34*N34</f>
        <v>3205.62</v>
      </c>
      <c r="P34" s="10">
        <v>0</v>
      </c>
      <c r="Q34" s="10">
        <v>0</v>
      </c>
      <c r="R34" s="10">
        <f>IF(COUNTIF($J$2:J34,J34)=1,SUMIFS($O:$O,$J:$J,J34)+SUMIFS($P:$P,$J:$J,J34)+SUMIFS($Q:$Q,$J:$J,J34),"")</f>
        <v>3210.9847099999997</v>
      </c>
      <c r="S34" s="10">
        <v>3219.5499999999997</v>
      </c>
      <c r="T34" s="11" t="str">
        <f>IFERROR(INDEX(AD:AD,MATCH(J34,J:J,0)),"")</f>
        <v>Check</v>
      </c>
      <c r="U34" s="12">
        <v>46099</v>
      </c>
      <c r="V34" s="10">
        <v>8.57</v>
      </c>
      <c r="W34" s="10" t="str">
        <f t="shared" ref="W34:W37" si="54">IF(OR(S34="",V34=""),"N/A",IF(S34&lt;&gt;V34,"Short Paid","Not Paid"))</f>
        <v>Short Paid</v>
      </c>
      <c r="X34" t="s">
        <v>64</v>
      </c>
      <c r="Y34" t="s">
        <v>55</v>
      </c>
      <c r="Z34">
        <v>100132</v>
      </c>
      <c r="AA34" t="s">
        <v>193</v>
      </c>
      <c r="AB34" t="s">
        <v>190</v>
      </c>
      <c r="AC34" s="9">
        <v>2</v>
      </c>
      <c r="AD34" s="9" t="str">
        <f t="shared" ref="AD34:AD37" si="55">IF(AND(R34="",S34=""),"N/A",IF(R34=S34,"Ok","Check"))</f>
        <v>Check</v>
      </c>
      <c r="AE34" s="11">
        <f t="shared" ref="AE34:AE35" si="56">R34-S34</f>
        <v>-8.5652900000000045</v>
      </c>
    </row>
    <row r="35" spans="1:31" x14ac:dyDescent="0.3">
      <c r="A35">
        <v>55</v>
      </c>
      <c r="B35">
        <v>4675527</v>
      </c>
      <c r="C35" t="s">
        <v>47</v>
      </c>
      <c r="D35">
        <v>1818207</v>
      </c>
      <c r="E35" t="s">
        <v>100</v>
      </c>
      <c r="F35" t="s">
        <v>39</v>
      </c>
      <c r="G35" t="s">
        <v>110</v>
      </c>
      <c r="H35" t="s">
        <v>111</v>
      </c>
      <c r="I35" t="s">
        <v>277</v>
      </c>
      <c r="J35">
        <v>51143261807</v>
      </c>
      <c r="K35" t="s">
        <v>337</v>
      </c>
      <c r="L35" t="s">
        <v>336</v>
      </c>
      <c r="M35">
        <v>1</v>
      </c>
      <c r="N35" s="10">
        <v>5.3647099999999996</v>
      </c>
      <c r="O35" s="10">
        <f t="shared" si="53"/>
        <v>5.3647099999999996</v>
      </c>
      <c r="P35" s="10" t="s">
        <v>383</v>
      </c>
      <c r="Q35" s="10" t="s">
        <v>383</v>
      </c>
      <c r="R35" s="10" t="str">
        <f>IF(COUNTIF($J$2:J35,J35)=1,SUMIFS($O:$O,$J:$J,J35)+SUMIFS($P:$P,$J:$J,J35)+SUMIFS($Q:$Q,$J:$J,J35),"")</f>
        <v/>
      </c>
      <c r="S35" s="10" t="s">
        <v>383</v>
      </c>
      <c r="T35" s="11" t="str">
        <f>IFERROR(INDEX(AD:AD,MATCH(J35,J:J,0)),"")</f>
        <v>Check</v>
      </c>
      <c r="U35" s="12">
        <v>46099</v>
      </c>
      <c r="V35" s="10">
        <v>8.57</v>
      </c>
      <c r="W35" s="10" t="str">
        <f t="shared" si="54"/>
        <v>N/A</v>
      </c>
      <c r="X35" t="s">
        <v>64</v>
      </c>
      <c r="Y35" t="s">
        <v>55</v>
      </c>
      <c r="Z35">
        <v>100132</v>
      </c>
      <c r="AA35" t="s">
        <v>193</v>
      </c>
      <c r="AB35" t="s">
        <v>190</v>
      </c>
      <c r="AC35" s="9">
        <v>2</v>
      </c>
      <c r="AD35" s="9" t="str">
        <f t="shared" si="55"/>
        <v>N/A</v>
      </c>
      <c r="AE35" s="11" t="e">
        <f t="shared" si="56"/>
        <v>#VALUE!</v>
      </c>
    </row>
    <row r="36" spans="1:31" x14ac:dyDescent="0.3">
      <c r="A36">
        <v>50</v>
      </c>
      <c r="B36">
        <v>4688050</v>
      </c>
      <c r="C36" t="s">
        <v>47</v>
      </c>
      <c r="D36">
        <v>1403565</v>
      </c>
      <c r="E36" t="s">
        <v>97</v>
      </c>
      <c r="F36" t="s">
        <v>19</v>
      </c>
      <c r="G36" t="s">
        <v>112</v>
      </c>
      <c r="H36" t="s">
        <v>113</v>
      </c>
      <c r="I36" t="s">
        <v>300</v>
      </c>
      <c r="J36">
        <v>51145180932</v>
      </c>
      <c r="K36" t="s">
        <v>241</v>
      </c>
      <c r="L36" t="s">
        <v>287</v>
      </c>
      <c r="M36">
        <v>4000</v>
      </c>
      <c r="N36" s="10">
        <v>1.0669999999999999</v>
      </c>
      <c r="O36" s="10">
        <f t="shared" si="53"/>
        <v>4268</v>
      </c>
      <c r="P36" s="10">
        <v>0</v>
      </c>
      <c r="Q36" s="10">
        <v>0</v>
      </c>
      <c r="R36" s="10">
        <f>IF(COUNTIF($J$2:J36,J36)=1,SUMIFS($O:$O,$J:$J,J36)+SUMIFS($P:$P,$J:$J,J36)+SUMIFS($Q:$Q,$J:$J,J36),"")</f>
        <v>26319.05</v>
      </c>
      <c r="S36" s="10">
        <v>27875.15</v>
      </c>
      <c r="T36" s="11" t="str">
        <f>IFERROR(INDEX(AD:AD,MATCH(J36,J:J,0)),"")</f>
        <v>Check</v>
      </c>
      <c r="U36" s="12">
        <v>46070</v>
      </c>
      <c r="V36" s="10">
        <v>23607.15</v>
      </c>
      <c r="W36" s="10" t="str">
        <f t="shared" si="54"/>
        <v>Short Paid</v>
      </c>
      <c r="X36" t="s">
        <v>64</v>
      </c>
      <c r="Y36" t="s">
        <v>24</v>
      </c>
      <c r="Z36">
        <v>100242</v>
      </c>
      <c r="AA36" t="s">
        <v>197</v>
      </c>
      <c r="AB36" t="s">
        <v>74</v>
      </c>
      <c r="AC36" s="9">
        <v>2</v>
      </c>
      <c r="AD36" s="9" t="str">
        <f t="shared" si="55"/>
        <v>Check</v>
      </c>
      <c r="AE36" s="11">
        <f t="shared" ref="AE36:AE37" si="57">R36-S36</f>
        <v>-1556.1000000000022</v>
      </c>
    </row>
    <row r="37" spans="1:31" x14ac:dyDescent="0.3">
      <c r="A37">
        <v>50</v>
      </c>
      <c r="B37">
        <v>4688050</v>
      </c>
      <c r="C37" t="s">
        <v>47</v>
      </c>
      <c r="D37">
        <v>1403565</v>
      </c>
      <c r="E37" t="s">
        <v>97</v>
      </c>
      <c r="F37" t="s">
        <v>19</v>
      </c>
      <c r="G37" t="s">
        <v>112</v>
      </c>
      <c r="H37" t="s">
        <v>113</v>
      </c>
      <c r="I37" t="s">
        <v>297</v>
      </c>
      <c r="J37">
        <v>51145180932</v>
      </c>
      <c r="K37" t="s">
        <v>241</v>
      </c>
      <c r="L37" t="s">
        <v>319</v>
      </c>
      <c r="M37">
        <v>21001</v>
      </c>
      <c r="N37" s="10">
        <v>1.05</v>
      </c>
      <c r="O37" s="10">
        <f t="shared" si="53"/>
        <v>22051.05</v>
      </c>
      <c r="P37" s="10" t="s">
        <v>383</v>
      </c>
      <c r="Q37" s="10" t="s">
        <v>383</v>
      </c>
      <c r="R37" s="10" t="str">
        <f>IF(COUNTIF($J$2:J37,J37)=1,SUMIFS($O:$O,$J:$J,J37)+SUMIFS($P:$P,$J:$J,J37)+SUMIFS($Q:$Q,$J:$J,J37),"")</f>
        <v/>
      </c>
      <c r="S37" s="10" t="s">
        <v>383</v>
      </c>
      <c r="T37" s="11" t="str">
        <f>IFERROR(INDEX(AD:AD,MATCH(J37,J:J,0)),"")</f>
        <v>Check</v>
      </c>
      <c r="U37" s="12">
        <v>46070</v>
      </c>
      <c r="V37" s="10">
        <v>23607.15</v>
      </c>
      <c r="W37" s="10" t="str">
        <f t="shared" si="54"/>
        <v>N/A</v>
      </c>
      <c r="X37" t="s">
        <v>64</v>
      </c>
      <c r="Y37" t="s">
        <v>24</v>
      </c>
      <c r="Z37">
        <v>100242</v>
      </c>
      <c r="AA37" t="s">
        <v>197</v>
      </c>
      <c r="AB37" t="s">
        <v>74</v>
      </c>
      <c r="AC37" s="9">
        <v>2</v>
      </c>
      <c r="AD37" s="9" t="str">
        <f t="shared" si="55"/>
        <v>N/A</v>
      </c>
      <c r="AE37" s="11" t="e">
        <f t="shared" si="57"/>
        <v>#VALUE!</v>
      </c>
    </row>
    <row r="38" spans="1:31" x14ac:dyDescent="0.3">
      <c r="A38">
        <v>39</v>
      </c>
      <c r="B38">
        <v>4717548</v>
      </c>
      <c r="C38" t="s">
        <v>47</v>
      </c>
      <c r="D38">
        <v>1160221</v>
      </c>
      <c r="E38" t="s">
        <v>80</v>
      </c>
      <c r="F38" t="s">
        <v>22</v>
      </c>
      <c r="G38" t="s">
        <v>114</v>
      </c>
      <c r="H38" t="s">
        <v>115</v>
      </c>
      <c r="I38" t="s">
        <v>295</v>
      </c>
      <c r="J38">
        <v>51146265586</v>
      </c>
      <c r="K38" t="s">
        <v>259</v>
      </c>
      <c r="L38" t="s">
        <v>280</v>
      </c>
      <c r="M38">
        <v>1000</v>
      </c>
      <c r="N38" s="10">
        <v>3.8679999999999999</v>
      </c>
      <c r="O38" s="10">
        <f t="shared" ref="O38:O41" si="58">M38*N38</f>
        <v>3868</v>
      </c>
      <c r="P38" s="10">
        <v>461.94</v>
      </c>
      <c r="Q38" s="10">
        <v>0</v>
      </c>
      <c r="R38" s="10">
        <f>IF(COUNTIF($J$2:J38,J38)=1,SUMIFS($O:$O,$J:$J,J38)+SUMIFS($P:$P,$J:$J,J38)+SUMIFS($Q:$Q,$J:$J,J38),"")</f>
        <v>8179.4199999999992</v>
      </c>
      <c r="S38" s="10">
        <v>8179.42</v>
      </c>
      <c r="T38" s="11" t="str">
        <f>IFERROR(INDEX(AD:AD,MATCH(J38,J:J,0)),"")</f>
        <v>Ok</v>
      </c>
      <c r="U38" s="12">
        <v>46104</v>
      </c>
      <c r="V38" s="10">
        <v>4311.42</v>
      </c>
      <c r="W38" s="10" t="str">
        <f t="shared" ref="W38:W41" si="59">IF(OR(S38="",V38=""),"N/A",IF(S38&lt;&gt;V38,"Short Paid","Not Paid"))</f>
        <v>Short Paid</v>
      </c>
      <c r="X38" t="s">
        <v>64</v>
      </c>
      <c r="Y38" t="s">
        <v>24</v>
      </c>
      <c r="Z38">
        <v>100162</v>
      </c>
      <c r="AA38" t="s">
        <v>194</v>
      </c>
      <c r="AB38" t="s">
        <v>75</v>
      </c>
      <c r="AC38" s="9">
        <v>4</v>
      </c>
      <c r="AD38" s="9" t="str">
        <f t="shared" ref="AD38:AD41" si="60">IF(AND(R38="",S38=""),"N/A",IF(R38=S38,"Ok","Check"))</f>
        <v>Ok</v>
      </c>
      <c r="AE38" s="11">
        <f t="shared" ref="AE38:AE41" si="61">R38-S38</f>
        <v>0</v>
      </c>
    </row>
    <row r="39" spans="1:31" x14ac:dyDescent="0.3">
      <c r="A39">
        <v>39</v>
      </c>
      <c r="B39">
        <v>4717548</v>
      </c>
      <c r="C39" t="s">
        <v>47</v>
      </c>
      <c r="D39">
        <v>1160221</v>
      </c>
      <c r="E39" t="s">
        <v>80</v>
      </c>
      <c r="F39" t="s">
        <v>22</v>
      </c>
      <c r="G39" t="s">
        <v>114</v>
      </c>
      <c r="H39" t="s">
        <v>115</v>
      </c>
      <c r="I39" t="s">
        <v>304</v>
      </c>
      <c r="J39">
        <v>51146265586</v>
      </c>
      <c r="K39" t="s">
        <v>233</v>
      </c>
      <c r="L39" t="s">
        <v>338</v>
      </c>
      <c r="M39">
        <v>4000</v>
      </c>
      <c r="N39" s="10">
        <v>0.92276999999999998</v>
      </c>
      <c r="O39" s="10">
        <f t="shared" si="58"/>
        <v>3691.08</v>
      </c>
      <c r="P39" s="10" t="s">
        <v>383</v>
      </c>
      <c r="Q39" s="10" t="s">
        <v>383</v>
      </c>
      <c r="R39" s="10" t="str">
        <f>IF(COUNTIF($J$2:J39,J39)=1,SUMIFS($O:$O,$J:$J,J39)+SUMIFS($P:$P,$J:$J,J39)+SUMIFS($Q:$Q,$J:$J,J39),"")</f>
        <v/>
      </c>
      <c r="S39" s="10" t="s">
        <v>383</v>
      </c>
      <c r="T39" s="11" t="str">
        <f>IFERROR(INDEX(AD:AD,MATCH(J39,J:J,0)),"")</f>
        <v>Ok</v>
      </c>
      <c r="U39" s="12">
        <v>46104</v>
      </c>
      <c r="V39" s="10">
        <v>4311.42</v>
      </c>
      <c r="W39" s="10" t="str">
        <f t="shared" si="59"/>
        <v>N/A</v>
      </c>
      <c r="X39" t="s">
        <v>64</v>
      </c>
      <c r="Y39" t="s">
        <v>24</v>
      </c>
      <c r="Z39">
        <v>100162</v>
      </c>
      <c r="AA39" t="s">
        <v>194</v>
      </c>
      <c r="AB39" t="s">
        <v>75</v>
      </c>
      <c r="AC39" s="9">
        <v>4</v>
      </c>
      <c r="AD39" s="9" t="str">
        <f t="shared" si="60"/>
        <v>N/A</v>
      </c>
      <c r="AE39" s="11" t="e">
        <f t="shared" si="61"/>
        <v>#VALUE!</v>
      </c>
    </row>
    <row r="40" spans="1:31" x14ac:dyDescent="0.3">
      <c r="A40">
        <v>39</v>
      </c>
      <c r="B40">
        <v>4717548</v>
      </c>
      <c r="C40" t="s">
        <v>47</v>
      </c>
      <c r="D40">
        <v>1160221</v>
      </c>
      <c r="E40" t="s">
        <v>80</v>
      </c>
      <c r="F40" t="s">
        <v>22</v>
      </c>
      <c r="G40" t="s">
        <v>114</v>
      </c>
      <c r="H40" t="s">
        <v>115</v>
      </c>
      <c r="I40" t="s">
        <v>304</v>
      </c>
      <c r="J40">
        <v>51146265586</v>
      </c>
      <c r="K40" t="s">
        <v>237</v>
      </c>
      <c r="L40" t="s">
        <v>339</v>
      </c>
      <c r="M40">
        <v>50000</v>
      </c>
      <c r="N40" s="10">
        <v>2.64E-3</v>
      </c>
      <c r="O40" s="10">
        <f t="shared" si="58"/>
        <v>132</v>
      </c>
      <c r="P40" s="10" t="s">
        <v>383</v>
      </c>
      <c r="Q40" s="10" t="s">
        <v>383</v>
      </c>
      <c r="R40" s="10" t="str">
        <f>IF(COUNTIF($J$2:J40,J40)=1,SUMIFS($O:$O,$J:$J,J40)+SUMIFS($P:$P,$J:$J,J40)+SUMIFS($Q:$Q,$J:$J,J40),"")</f>
        <v/>
      </c>
      <c r="S40" s="10" t="s">
        <v>383</v>
      </c>
      <c r="T40" s="11" t="str">
        <f>IFERROR(INDEX(AD:AD,MATCH(J40,J:J,0)),"")</f>
        <v>Ok</v>
      </c>
      <c r="U40" s="12">
        <v>46104</v>
      </c>
      <c r="V40" s="10">
        <v>4311.42</v>
      </c>
      <c r="W40" s="10" t="str">
        <f t="shared" si="59"/>
        <v>N/A</v>
      </c>
      <c r="X40" t="s">
        <v>64</v>
      </c>
      <c r="Y40" t="s">
        <v>24</v>
      </c>
      <c r="Z40">
        <v>100162</v>
      </c>
      <c r="AA40" t="s">
        <v>194</v>
      </c>
      <c r="AB40" t="s">
        <v>75</v>
      </c>
      <c r="AC40" s="9">
        <v>4</v>
      </c>
      <c r="AD40" s="9" t="str">
        <f t="shared" si="60"/>
        <v>N/A</v>
      </c>
      <c r="AE40" s="11" t="e">
        <f t="shared" si="61"/>
        <v>#VALUE!</v>
      </c>
    </row>
    <row r="41" spans="1:31" x14ac:dyDescent="0.3">
      <c r="A41">
        <v>39</v>
      </c>
      <c r="B41">
        <v>4717548</v>
      </c>
      <c r="C41" t="s">
        <v>47</v>
      </c>
      <c r="D41">
        <v>1160221</v>
      </c>
      <c r="E41" t="s">
        <v>80</v>
      </c>
      <c r="F41" t="s">
        <v>22</v>
      </c>
      <c r="G41" t="s">
        <v>114</v>
      </c>
      <c r="H41" t="s">
        <v>115</v>
      </c>
      <c r="I41" t="s">
        <v>304</v>
      </c>
      <c r="J41">
        <v>51146265586</v>
      </c>
      <c r="K41" t="s">
        <v>237</v>
      </c>
      <c r="L41" t="s">
        <v>340</v>
      </c>
      <c r="M41">
        <v>10000</v>
      </c>
      <c r="N41" s="10">
        <v>2.64E-3</v>
      </c>
      <c r="O41" s="10">
        <f t="shared" si="58"/>
        <v>26.4</v>
      </c>
      <c r="P41" s="10" t="s">
        <v>383</v>
      </c>
      <c r="Q41" s="10" t="s">
        <v>383</v>
      </c>
      <c r="R41" s="10" t="str">
        <f>IF(COUNTIF($J$2:J41,J41)=1,SUMIFS($O:$O,$J:$J,J41)+SUMIFS($P:$P,$J:$J,J41)+SUMIFS($Q:$Q,$J:$J,J41),"")</f>
        <v/>
      </c>
      <c r="S41" s="10" t="s">
        <v>383</v>
      </c>
      <c r="T41" s="11" t="str">
        <f>IFERROR(INDEX(AD:AD,MATCH(J41,J:J,0)),"")</f>
        <v>Ok</v>
      </c>
      <c r="U41" s="12">
        <v>46104</v>
      </c>
      <c r="V41" s="10">
        <v>4311.42</v>
      </c>
      <c r="W41" s="10" t="str">
        <f t="shared" si="59"/>
        <v>N/A</v>
      </c>
      <c r="X41" t="s">
        <v>64</v>
      </c>
      <c r="Y41" t="s">
        <v>24</v>
      </c>
      <c r="Z41">
        <v>100162</v>
      </c>
      <c r="AA41" t="s">
        <v>194</v>
      </c>
      <c r="AB41" t="s">
        <v>75</v>
      </c>
      <c r="AC41" s="9">
        <v>4</v>
      </c>
      <c r="AD41" s="9" t="str">
        <f t="shared" si="60"/>
        <v>N/A</v>
      </c>
      <c r="AE41" s="11" t="e">
        <f t="shared" si="61"/>
        <v>#VALUE!</v>
      </c>
    </row>
    <row r="42" spans="1:31" x14ac:dyDescent="0.3">
      <c r="A42">
        <v>13</v>
      </c>
      <c r="B42">
        <v>4896207</v>
      </c>
      <c r="C42" t="s">
        <v>47</v>
      </c>
      <c r="D42">
        <v>1372540</v>
      </c>
      <c r="E42" t="s">
        <v>82</v>
      </c>
      <c r="F42" t="s">
        <v>326</v>
      </c>
      <c r="G42" t="s">
        <v>134</v>
      </c>
      <c r="H42" t="s">
        <v>135</v>
      </c>
      <c r="I42" t="s">
        <v>219</v>
      </c>
      <c r="J42">
        <v>51146826414</v>
      </c>
      <c r="K42" t="s">
        <v>216</v>
      </c>
      <c r="L42" t="s">
        <v>329</v>
      </c>
      <c r="M42">
        <v>20000</v>
      </c>
      <c r="N42" s="10">
        <v>1.4500000000000001E-2</v>
      </c>
      <c r="O42" s="10">
        <f t="shared" ref="O42:O45" si="62">M42*N42</f>
        <v>290</v>
      </c>
      <c r="P42" s="10">
        <v>0</v>
      </c>
      <c r="Q42" s="10">
        <v>0</v>
      </c>
      <c r="R42" s="10">
        <f>IF(COUNTIF($J$2:J42,J42)=1,SUMIFS($O:$O,$J:$J,J42)+SUMIFS($P:$P,$J:$J,J42)+SUMIFS($Q:$Q,$J:$J,J42),"")</f>
        <v>404.3</v>
      </c>
      <c r="S42" s="10">
        <v>404.3</v>
      </c>
      <c r="T42" s="11" t="str">
        <f>IFERROR(INDEX(AD:AD,MATCH(J42,J:J,0)),"")</f>
        <v>Ok</v>
      </c>
      <c r="U42" s="12">
        <v>46177</v>
      </c>
      <c r="V42" s="10">
        <v>249.84</v>
      </c>
      <c r="W42" s="10" t="str">
        <f t="shared" ref="W42:W45" si="63">IF(OR(S42="",V42=""),"N/A",IF(S42&lt;&gt;V42,"Short Paid","Not Paid"))</f>
        <v>Short Paid</v>
      </c>
      <c r="X42" t="s">
        <v>64</v>
      </c>
      <c r="Y42" t="s">
        <v>34</v>
      </c>
      <c r="Z42">
        <v>100262</v>
      </c>
      <c r="AA42" t="s">
        <v>210</v>
      </c>
      <c r="AB42" t="s">
        <v>327</v>
      </c>
      <c r="AC42" s="9">
        <v>2</v>
      </c>
      <c r="AD42" s="9" t="str">
        <f t="shared" ref="AD42:AD45" si="64">IF(AND(R42="",S42=""),"N/A",IF(R42=S42,"Ok","Check"))</f>
        <v>Ok</v>
      </c>
      <c r="AE42" s="11">
        <f t="shared" ref="AE42:AE45" si="65">R42-S42</f>
        <v>0</v>
      </c>
    </row>
    <row r="43" spans="1:31" x14ac:dyDescent="0.3">
      <c r="A43">
        <v>13</v>
      </c>
      <c r="B43">
        <v>4896207</v>
      </c>
      <c r="C43" t="s">
        <v>47</v>
      </c>
      <c r="D43">
        <v>1372540</v>
      </c>
      <c r="E43" t="s">
        <v>82</v>
      </c>
      <c r="F43" t="s">
        <v>326</v>
      </c>
      <c r="G43" t="s">
        <v>134</v>
      </c>
      <c r="H43" t="s">
        <v>135</v>
      </c>
      <c r="I43" t="s">
        <v>219</v>
      </c>
      <c r="J43">
        <v>51146826414</v>
      </c>
      <c r="K43" t="s">
        <v>213</v>
      </c>
      <c r="L43" t="s">
        <v>341</v>
      </c>
      <c r="M43">
        <v>9000</v>
      </c>
      <c r="N43" s="10">
        <v>1.2699999999999999E-2</v>
      </c>
      <c r="O43" s="10">
        <f t="shared" si="62"/>
        <v>114.3</v>
      </c>
      <c r="P43" s="10" t="s">
        <v>383</v>
      </c>
      <c r="Q43" s="10" t="s">
        <v>383</v>
      </c>
      <c r="R43" s="10" t="str">
        <f>IF(COUNTIF($J$2:J43,J43)=1,SUMIFS($O:$O,$J:$J,J43)+SUMIFS($P:$P,$J:$J,J43)+SUMIFS($Q:$Q,$J:$J,J43),"")</f>
        <v/>
      </c>
      <c r="S43" s="10" t="s">
        <v>383</v>
      </c>
      <c r="T43" s="11" t="str">
        <f>IFERROR(INDEX(AD:AD,MATCH(J43,J:J,0)),"")</f>
        <v>Ok</v>
      </c>
      <c r="U43" s="12">
        <v>46177</v>
      </c>
      <c r="V43" s="10">
        <v>249.84</v>
      </c>
      <c r="W43" s="10" t="str">
        <f t="shared" si="63"/>
        <v>N/A</v>
      </c>
      <c r="X43" t="s">
        <v>64</v>
      </c>
      <c r="Y43" t="s">
        <v>34</v>
      </c>
      <c r="Z43">
        <v>100262</v>
      </c>
      <c r="AA43" t="s">
        <v>210</v>
      </c>
      <c r="AB43" t="s">
        <v>327</v>
      </c>
      <c r="AC43" s="9">
        <v>2</v>
      </c>
      <c r="AD43" s="9" t="str">
        <f t="shared" si="64"/>
        <v>N/A</v>
      </c>
      <c r="AE43" s="11" t="e">
        <f t="shared" si="65"/>
        <v>#VALUE!</v>
      </c>
    </row>
    <row r="44" spans="1:31" x14ac:dyDescent="0.3">
      <c r="A44">
        <v>13</v>
      </c>
      <c r="B44">
        <v>4895929</v>
      </c>
      <c r="C44" t="s">
        <v>47</v>
      </c>
      <c r="D44">
        <v>1531094</v>
      </c>
      <c r="E44" t="s">
        <v>78</v>
      </c>
      <c r="F44" t="s">
        <v>20</v>
      </c>
      <c r="G44" t="s">
        <v>136</v>
      </c>
      <c r="H44" t="s">
        <v>137</v>
      </c>
      <c r="I44" t="s">
        <v>261</v>
      </c>
      <c r="J44">
        <v>51146826455</v>
      </c>
      <c r="K44" t="s">
        <v>227</v>
      </c>
      <c r="L44" t="s">
        <v>328</v>
      </c>
      <c r="M44">
        <v>8000</v>
      </c>
      <c r="N44" s="10">
        <v>0.1172</v>
      </c>
      <c r="O44" s="10">
        <f t="shared" si="62"/>
        <v>937.6</v>
      </c>
      <c r="P44" s="10">
        <v>77.349999999999994</v>
      </c>
      <c r="Q44" s="10">
        <v>0</v>
      </c>
      <c r="R44" s="10">
        <f>IF(COUNTIF($J$2:J44,J44)=1,SUMIFS($O:$O,$J:$J,J44)+SUMIFS($P:$P,$J:$J,J44)+SUMIFS($Q:$Q,$J:$J,J44),"")</f>
        <v>6585.5400000000009</v>
      </c>
      <c r="S44" s="10">
        <v>6780.24</v>
      </c>
      <c r="T44" s="11" t="str">
        <f>IFERROR(INDEX(AD:AD,MATCH(J44,J:J,0)),"")</f>
        <v>Check</v>
      </c>
      <c r="U44" s="12">
        <v>46163</v>
      </c>
      <c r="V44" s="10">
        <v>194.7</v>
      </c>
      <c r="W44" s="10" t="str">
        <f t="shared" si="63"/>
        <v>Short Paid</v>
      </c>
      <c r="X44" t="s">
        <v>64</v>
      </c>
      <c r="Y44" t="s">
        <v>24</v>
      </c>
      <c r="Z44">
        <v>100192</v>
      </c>
      <c r="AA44" t="s">
        <v>200</v>
      </c>
      <c r="AB44" t="s">
        <v>71</v>
      </c>
      <c r="AC44" s="9">
        <v>2</v>
      </c>
      <c r="AD44" s="9" t="str">
        <f t="shared" si="64"/>
        <v>Check</v>
      </c>
      <c r="AE44" s="11">
        <f t="shared" si="65"/>
        <v>-194.69999999999891</v>
      </c>
    </row>
    <row r="45" spans="1:31" x14ac:dyDescent="0.3">
      <c r="A45">
        <v>13</v>
      </c>
      <c r="B45">
        <v>4895929</v>
      </c>
      <c r="C45" t="s">
        <v>47</v>
      </c>
      <c r="D45">
        <v>1531094</v>
      </c>
      <c r="E45" t="s">
        <v>78</v>
      </c>
      <c r="F45" t="s">
        <v>20</v>
      </c>
      <c r="G45" t="s">
        <v>136</v>
      </c>
      <c r="H45" t="s">
        <v>137</v>
      </c>
      <c r="I45" t="s">
        <v>255</v>
      </c>
      <c r="J45">
        <v>51146826455</v>
      </c>
      <c r="K45" t="s">
        <v>233</v>
      </c>
      <c r="L45" t="s">
        <v>342</v>
      </c>
      <c r="M45">
        <v>500</v>
      </c>
      <c r="N45" s="10">
        <v>11.14118</v>
      </c>
      <c r="O45" s="10">
        <f t="shared" si="62"/>
        <v>5570.59</v>
      </c>
      <c r="P45" s="10" t="s">
        <v>383</v>
      </c>
      <c r="Q45" s="10" t="s">
        <v>383</v>
      </c>
      <c r="R45" s="10" t="str">
        <f>IF(COUNTIF($J$2:J45,J45)=1,SUMIFS($O:$O,$J:$J,J45)+SUMIFS($P:$P,$J:$J,J45)+SUMIFS($Q:$Q,$J:$J,J45),"")</f>
        <v/>
      </c>
      <c r="S45" s="10" t="s">
        <v>383</v>
      </c>
      <c r="T45" s="11" t="str">
        <f>IFERROR(INDEX(AD:AD,MATCH(J45,J:J,0)),"")</f>
        <v>Check</v>
      </c>
      <c r="U45" s="12">
        <v>46163</v>
      </c>
      <c r="V45" s="10">
        <v>194.7</v>
      </c>
      <c r="W45" s="10" t="str">
        <f t="shared" si="63"/>
        <v>N/A</v>
      </c>
      <c r="X45" t="s">
        <v>64</v>
      </c>
      <c r="Y45" t="s">
        <v>24</v>
      </c>
      <c r="Z45">
        <v>100192</v>
      </c>
      <c r="AA45" t="s">
        <v>200</v>
      </c>
      <c r="AB45" t="s">
        <v>71</v>
      </c>
      <c r="AC45" s="9">
        <v>2</v>
      </c>
      <c r="AD45" s="9" t="str">
        <f t="shared" si="64"/>
        <v>N/A</v>
      </c>
      <c r="AE45" s="11" t="e">
        <f t="shared" si="65"/>
        <v>#VALUE!</v>
      </c>
    </row>
    <row r="46" spans="1:31" x14ac:dyDescent="0.3">
      <c r="A46">
        <v>32</v>
      </c>
      <c r="B46">
        <v>4750386</v>
      </c>
      <c r="C46" t="s">
        <v>47</v>
      </c>
      <c r="D46">
        <v>1648238</v>
      </c>
      <c r="E46" t="s">
        <v>378</v>
      </c>
      <c r="F46" t="s">
        <v>20</v>
      </c>
      <c r="G46" t="s">
        <v>116</v>
      </c>
      <c r="H46" t="s">
        <v>117</v>
      </c>
      <c r="I46" t="s">
        <v>250</v>
      </c>
      <c r="J46">
        <v>51148864328</v>
      </c>
      <c r="K46" t="s">
        <v>221</v>
      </c>
      <c r="L46" t="s">
        <v>228</v>
      </c>
      <c r="M46">
        <v>12000</v>
      </c>
      <c r="N46" s="10">
        <v>0.53</v>
      </c>
      <c r="O46" s="10">
        <f t="shared" ref="O46:O47" si="66">M46*N46</f>
        <v>6360</v>
      </c>
      <c r="P46" s="10">
        <v>546.96</v>
      </c>
      <c r="Q46" s="10">
        <v>0</v>
      </c>
      <c r="R46" s="10">
        <f>IF(COUNTIF($J$2:J46,J46)=1,SUMIFS($O:$O,$J:$J,J46)+SUMIFS($P:$P,$J:$J,J46)+SUMIFS($Q:$Q,$J:$J,J46),"")</f>
        <v>9406.9599999999991</v>
      </c>
      <c r="S46" s="10">
        <v>9425.02</v>
      </c>
      <c r="T46" s="11" t="str">
        <f>IFERROR(INDEX(AD:AD,MATCH(J46,J:J,0)),"")</f>
        <v>Check</v>
      </c>
      <c r="U46" s="12">
        <v>46104</v>
      </c>
      <c r="V46" s="10">
        <v>2518.06</v>
      </c>
      <c r="W46" s="10" t="str">
        <f t="shared" ref="W46:W47" si="67">IF(OR(S46="",V46=""),"N/A",IF(S46&lt;&gt;V46,"Short Paid","Not Paid"))</f>
        <v>Short Paid</v>
      </c>
      <c r="X46" t="s">
        <v>64</v>
      </c>
      <c r="Y46" t="s">
        <v>24</v>
      </c>
      <c r="Z46">
        <v>100122</v>
      </c>
      <c r="AA46" t="s">
        <v>70</v>
      </c>
      <c r="AB46" t="s">
        <v>71</v>
      </c>
      <c r="AC46" s="9">
        <v>2</v>
      </c>
      <c r="AD46" s="9" t="str">
        <f t="shared" ref="AD46:AD47" si="68">IF(AND(R46="",S46=""),"N/A",IF(R46=S46,"Ok","Check"))</f>
        <v>Check</v>
      </c>
      <c r="AE46" s="11">
        <f t="shared" ref="AE46:AE47" si="69">R46-S46</f>
        <v>-18.06000000000131</v>
      </c>
    </row>
    <row r="47" spans="1:31" x14ac:dyDescent="0.3">
      <c r="A47">
        <v>32</v>
      </c>
      <c r="B47">
        <v>4750386</v>
      </c>
      <c r="C47" t="s">
        <v>47</v>
      </c>
      <c r="D47">
        <v>1648238</v>
      </c>
      <c r="E47" t="s">
        <v>378</v>
      </c>
      <c r="F47" t="s">
        <v>20</v>
      </c>
      <c r="G47" t="s">
        <v>116</v>
      </c>
      <c r="H47" t="s">
        <v>117</v>
      </c>
      <c r="I47" t="s">
        <v>274</v>
      </c>
      <c r="J47">
        <v>51148864328</v>
      </c>
      <c r="K47" t="s">
        <v>227</v>
      </c>
      <c r="L47" t="s">
        <v>343</v>
      </c>
      <c r="M47">
        <v>1</v>
      </c>
      <c r="N47" s="10">
        <v>2500</v>
      </c>
      <c r="O47" s="10">
        <f t="shared" si="66"/>
        <v>2500</v>
      </c>
      <c r="P47" s="10" t="s">
        <v>383</v>
      </c>
      <c r="Q47" s="10" t="s">
        <v>383</v>
      </c>
      <c r="R47" s="10" t="str">
        <f>IF(COUNTIF($J$2:J47,J47)=1,SUMIFS($O:$O,$J:$J,J47)+SUMIFS($P:$P,$J:$J,J47)+SUMIFS($Q:$Q,$J:$J,J47),"")</f>
        <v/>
      </c>
      <c r="S47" s="10" t="s">
        <v>383</v>
      </c>
      <c r="T47" s="11" t="str">
        <f>IFERROR(INDEX(AD:AD,MATCH(J47,J:J,0)),"")</f>
        <v>Check</v>
      </c>
      <c r="U47" s="12">
        <v>46104</v>
      </c>
      <c r="V47" s="10">
        <v>2518.06</v>
      </c>
      <c r="W47" s="10" t="str">
        <f t="shared" si="67"/>
        <v>N/A</v>
      </c>
      <c r="X47" t="s">
        <v>64</v>
      </c>
      <c r="Y47" t="s">
        <v>24</v>
      </c>
      <c r="Z47">
        <v>100122</v>
      </c>
      <c r="AA47" t="s">
        <v>70</v>
      </c>
      <c r="AB47" t="s">
        <v>71</v>
      </c>
      <c r="AC47" s="9">
        <v>2</v>
      </c>
      <c r="AD47" s="9" t="str">
        <f t="shared" si="68"/>
        <v>N/A</v>
      </c>
      <c r="AE47" s="11" t="e">
        <f t="shared" si="69"/>
        <v>#VALUE!</v>
      </c>
    </row>
    <row r="48" spans="1:31" x14ac:dyDescent="0.3">
      <c r="A48">
        <v>31</v>
      </c>
      <c r="B48">
        <v>4756786</v>
      </c>
      <c r="C48" t="s">
        <v>47</v>
      </c>
      <c r="D48">
        <v>1276402</v>
      </c>
      <c r="E48" t="s">
        <v>77</v>
      </c>
      <c r="F48" t="s">
        <v>23</v>
      </c>
      <c r="G48" t="s">
        <v>120</v>
      </c>
      <c r="H48" t="s">
        <v>121</v>
      </c>
      <c r="I48" t="s">
        <v>304</v>
      </c>
      <c r="J48">
        <v>51150187585</v>
      </c>
      <c r="K48" t="s">
        <v>217</v>
      </c>
      <c r="L48" t="s">
        <v>344</v>
      </c>
      <c r="M48">
        <v>1000</v>
      </c>
      <c r="N48" s="10">
        <v>1.8660000000000001</v>
      </c>
      <c r="O48" s="10">
        <f t="shared" ref="O48:O58" si="70">M48*N48</f>
        <v>1866</v>
      </c>
      <c r="P48" s="10">
        <v>0</v>
      </c>
      <c r="Q48" s="10">
        <v>0</v>
      </c>
      <c r="R48" s="10">
        <f>IF(COUNTIF($J$2:J48,J48)=1,SUMIFS($O:$O,$J:$J,J48)+SUMIFS($P:$P,$J:$J,J48)+SUMIFS($Q:$Q,$J:$J,J48),"")</f>
        <v>3972</v>
      </c>
      <c r="S48" s="10">
        <v>3972</v>
      </c>
      <c r="T48" s="11" t="str">
        <f>IFERROR(INDEX(AD:AD,MATCH(J48,J:J,0)),"")</f>
        <v>Ok</v>
      </c>
      <c r="U48" s="12">
        <v>45902</v>
      </c>
      <c r="V48" s="10">
        <v>2106</v>
      </c>
      <c r="W48" s="10" t="str">
        <f t="shared" ref="W48:W58" si="71">IF(OR(S48="",V48=""),"N/A",IF(S48&lt;&gt;V48,"Short Paid","Not Paid"))</f>
        <v>Short Paid</v>
      </c>
      <c r="X48" t="s">
        <v>64</v>
      </c>
      <c r="Y48" t="s">
        <v>55</v>
      </c>
      <c r="Z48">
        <v>100252</v>
      </c>
      <c r="AA48" t="s">
        <v>198</v>
      </c>
      <c r="AB48" t="s">
        <v>188</v>
      </c>
      <c r="AC48" s="9">
        <v>2</v>
      </c>
      <c r="AD48" s="9" t="str">
        <f t="shared" ref="AD48:AD58" si="72">IF(AND(R48="",S48=""),"N/A",IF(R48=S48,"Ok","Check"))</f>
        <v>Ok</v>
      </c>
      <c r="AE48" s="11">
        <f t="shared" ref="AE48:AE58" si="73">R48-S48</f>
        <v>0</v>
      </c>
    </row>
    <row r="49" spans="1:31" x14ac:dyDescent="0.3">
      <c r="A49">
        <v>31</v>
      </c>
      <c r="B49">
        <v>4756786</v>
      </c>
      <c r="C49" t="s">
        <v>47</v>
      </c>
      <c r="D49">
        <v>1276402</v>
      </c>
      <c r="E49" t="s">
        <v>77</v>
      </c>
      <c r="F49" t="s">
        <v>23</v>
      </c>
      <c r="G49" t="s">
        <v>120</v>
      </c>
      <c r="H49" t="s">
        <v>121</v>
      </c>
      <c r="I49" t="s">
        <v>278</v>
      </c>
      <c r="J49">
        <v>51150187585</v>
      </c>
      <c r="K49" t="s">
        <v>230</v>
      </c>
      <c r="L49" t="s">
        <v>345</v>
      </c>
      <c r="M49">
        <v>90000</v>
      </c>
      <c r="N49" s="10">
        <v>2.3400000000000001E-2</v>
      </c>
      <c r="O49" s="10">
        <f t="shared" si="70"/>
        <v>2106</v>
      </c>
      <c r="P49" s="10" t="s">
        <v>383</v>
      </c>
      <c r="Q49" s="10" t="s">
        <v>383</v>
      </c>
      <c r="R49" s="10" t="str">
        <f>IF(COUNTIF($J$2:J49,J49)=1,SUMIFS($O:$O,$J:$J,J49)+SUMIFS($P:$P,$J:$J,J49)+SUMIFS($Q:$Q,$J:$J,J49),"")</f>
        <v/>
      </c>
      <c r="S49" s="10" t="s">
        <v>383</v>
      </c>
      <c r="T49" s="11" t="str">
        <f>IFERROR(INDEX(AD:AD,MATCH(J49,J:J,0)),"")</f>
        <v>Ok</v>
      </c>
      <c r="U49" s="12">
        <v>45902</v>
      </c>
      <c r="V49" s="10">
        <v>2106</v>
      </c>
      <c r="W49" s="10" t="str">
        <f t="shared" si="71"/>
        <v>N/A</v>
      </c>
      <c r="X49" t="s">
        <v>64</v>
      </c>
      <c r="Y49" t="s">
        <v>55</v>
      </c>
      <c r="Z49">
        <v>100252</v>
      </c>
      <c r="AA49" t="s">
        <v>198</v>
      </c>
      <c r="AB49" t="s">
        <v>188</v>
      </c>
      <c r="AC49" s="9">
        <v>2</v>
      </c>
      <c r="AD49" s="9" t="str">
        <f t="shared" si="72"/>
        <v>N/A</v>
      </c>
      <c r="AE49" s="11" t="e">
        <f t="shared" si="73"/>
        <v>#VALUE!</v>
      </c>
    </row>
    <row r="50" spans="1:31" x14ac:dyDescent="0.3">
      <c r="A50">
        <v>31</v>
      </c>
      <c r="B50">
        <v>4756508</v>
      </c>
      <c r="C50" t="s">
        <v>47</v>
      </c>
      <c r="D50">
        <v>1276402</v>
      </c>
      <c r="E50" t="s">
        <v>77</v>
      </c>
      <c r="F50" t="s">
        <v>23</v>
      </c>
      <c r="G50" t="s">
        <v>118</v>
      </c>
      <c r="H50" t="s">
        <v>119</v>
      </c>
      <c r="I50" t="s">
        <v>281</v>
      </c>
      <c r="J50">
        <v>51150458266</v>
      </c>
      <c r="K50" t="s">
        <v>271</v>
      </c>
      <c r="L50" t="s">
        <v>284</v>
      </c>
      <c r="M50">
        <v>94</v>
      </c>
      <c r="N50" s="10">
        <v>37.277999999999999</v>
      </c>
      <c r="O50" s="10">
        <f t="shared" si="70"/>
        <v>3504.1320000000001</v>
      </c>
      <c r="P50" s="10">
        <v>0</v>
      </c>
      <c r="Q50" s="10">
        <v>0</v>
      </c>
      <c r="R50" s="10">
        <f>IF(COUNTIF($J$2:J50,J50)=1,SUMIFS($O:$O,$J:$J,J50)+SUMIFS($P:$P,$J:$J,J50)+SUMIFS($Q:$Q,$J:$J,J50),"")</f>
        <v>4159.3320000000003</v>
      </c>
      <c r="S50" s="10">
        <v>4159.34</v>
      </c>
      <c r="T50" s="11" t="str">
        <f>IFERROR(INDEX(AD:AD,MATCH(J50,J:J,0)),"")</f>
        <v>Check</v>
      </c>
      <c r="U50" s="12">
        <v>45902</v>
      </c>
      <c r="V50" s="10">
        <v>655.20000000000005</v>
      </c>
      <c r="W50" s="10" t="str">
        <f t="shared" si="71"/>
        <v>Short Paid</v>
      </c>
      <c r="X50" t="s">
        <v>64</v>
      </c>
      <c r="Y50" t="s">
        <v>55</v>
      </c>
      <c r="Z50">
        <v>100212</v>
      </c>
      <c r="AA50" t="s">
        <v>205</v>
      </c>
      <c r="AB50" t="s">
        <v>188</v>
      </c>
      <c r="AC50" s="9">
        <v>2</v>
      </c>
      <c r="AD50" s="9" t="str">
        <f t="shared" si="72"/>
        <v>Check</v>
      </c>
      <c r="AE50" s="11">
        <f t="shared" si="73"/>
        <v>-7.9999999998108251E-3</v>
      </c>
    </row>
    <row r="51" spans="1:31" x14ac:dyDescent="0.3">
      <c r="A51">
        <v>31</v>
      </c>
      <c r="B51">
        <v>4756508</v>
      </c>
      <c r="C51" t="s">
        <v>47</v>
      </c>
      <c r="D51">
        <v>1276402</v>
      </c>
      <c r="E51" t="s">
        <v>77</v>
      </c>
      <c r="F51" t="s">
        <v>23</v>
      </c>
      <c r="G51" t="s">
        <v>118</v>
      </c>
      <c r="H51" t="s">
        <v>119</v>
      </c>
      <c r="I51" t="s">
        <v>257</v>
      </c>
      <c r="J51">
        <v>51150458266</v>
      </c>
      <c r="K51" t="s">
        <v>230</v>
      </c>
      <c r="L51" t="s">
        <v>345</v>
      </c>
      <c r="M51">
        <v>28000</v>
      </c>
      <c r="N51" s="10">
        <v>2.3400000000000001E-2</v>
      </c>
      <c r="O51" s="10">
        <f t="shared" si="70"/>
        <v>655.20000000000005</v>
      </c>
      <c r="P51" s="10" t="s">
        <v>383</v>
      </c>
      <c r="Q51" s="10" t="s">
        <v>383</v>
      </c>
      <c r="R51" s="10" t="str">
        <f>IF(COUNTIF($J$2:J51,J51)=1,SUMIFS($O:$O,$J:$J,J51)+SUMIFS($P:$P,$J:$J,J51)+SUMIFS($Q:$Q,$J:$J,J51),"")</f>
        <v/>
      </c>
      <c r="S51" s="10" t="s">
        <v>383</v>
      </c>
      <c r="T51" s="11" t="str">
        <f>IFERROR(INDEX(AD:AD,MATCH(J51,J:J,0)),"")</f>
        <v>Check</v>
      </c>
      <c r="U51" s="12">
        <v>45902</v>
      </c>
      <c r="V51" s="10">
        <v>655.20000000000005</v>
      </c>
      <c r="W51" s="10" t="str">
        <f t="shared" si="71"/>
        <v>N/A</v>
      </c>
      <c r="X51" t="s">
        <v>64</v>
      </c>
      <c r="Y51" t="s">
        <v>55</v>
      </c>
      <c r="Z51">
        <v>100212</v>
      </c>
      <c r="AA51" t="s">
        <v>205</v>
      </c>
      <c r="AB51" t="s">
        <v>188</v>
      </c>
      <c r="AC51" s="9">
        <v>2</v>
      </c>
      <c r="AD51" s="9" t="str">
        <f t="shared" si="72"/>
        <v>N/A</v>
      </c>
      <c r="AE51" s="11" t="e">
        <f t="shared" si="73"/>
        <v>#VALUE!</v>
      </c>
    </row>
    <row r="52" spans="1:31" x14ac:dyDescent="0.3">
      <c r="A52">
        <v>18</v>
      </c>
      <c r="B52">
        <v>4859195</v>
      </c>
      <c r="C52" t="s">
        <v>47</v>
      </c>
      <c r="D52">
        <v>1372540</v>
      </c>
      <c r="E52" t="s">
        <v>82</v>
      </c>
      <c r="F52" t="s">
        <v>20</v>
      </c>
      <c r="G52" t="s">
        <v>126</v>
      </c>
      <c r="H52" t="s">
        <v>127</v>
      </c>
      <c r="I52" t="s">
        <v>293</v>
      </c>
      <c r="J52">
        <v>51151760697</v>
      </c>
      <c r="K52" t="s">
        <v>263</v>
      </c>
      <c r="L52" t="s">
        <v>346</v>
      </c>
      <c r="M52">
        <v>6000</v>
      </c>
      <c r="N52" s="10">
        <v>4.3200000000000002E-2</v>
      </c>
      <c r="O52" s="10">
        <f t="shared" si="70"/>
        <v>259.2</v>
      </c>
      <c r="P52" s="10">
        <v>0</v>
      </c>
      <c r="Q52" s="10">
        <v>0</v>
      </c>
      <c r="R52" s="10">
        <f>IF(COUNTIF($J$2:J52,J52)=1,SUMIFS($O:$O,$J:$J,J52)+SUMIFS($P:$P,$J:$J,J52)+SUMIFS($Q:$Q,$J:$J,J52),"")</f>
        <v>10550.259999999998</v>
      </c>
      <c r="S52" s="10">
        <v>10776.26</v>
      </c>
      <c r="T52" s="11" t="str">
        <f>IFERROR(INDEX(AD:AD,MATCH(J52,J:J,0)),"")</f>
        <v>Check</v>
      </c>
      <c r="U52" s="12">
        <v>46058</v>
      </c>
      <c r="V52" s="10">
        <v>10517.06</v>
      </c>
      <c r="W52" s="10" t="str">
        <f t="shared" si="71"/>
        <v>Short Paid</v>
      </c>
      <c r="X52" t="s">
        <v>64</v>
      </c>
      <c r="Y52" t="s">
        <v>24</v>
      </c>
      <c r="Z52">
        <v>100152</v>
      </c>
      <c r="AA52" t="s">
        <v>199</v>
      </c>
      <c r="AB52" t="s">
        <v>71</v>
      </c>
      <c r="AC52" s="9">
        <v>7</v>
      </c>
      <c r="AD52" s="9" t="str">
        <f t="shared" si="72"/>
        <v>Check</v>
      </c>
      <c r="AE52" s="11">
        <f t="shared" si="73"/>
        <v>-226.00000000000182</v>
      </c>
    </row>
    <row r="53" spans="1:31" x14ac:dyDescent="0.3">
      <c r="A53">
        <v>18</v>
      </c>
      <c r="B53">
        <v>4859195</v>
      </c>
      <c r="C53" t="s">
        <v>47</v>
      </c>
      <c r="D53">
        <v>1372540</v>
      </c>
      <c r="E53" t="s">
        <v>82</v>
      </c>
      <c r="F53" t="s">
        <v>20</v>
      </c>
      <c r="G53" t="s">
        <v>126</v>
      </c>
      <c r="H53" t="s">
        <v>127</v>
      </c>
      <c r="I53" t="s">
        <v>235</v>
      </c>
      <c r="J53">
        <v>51151760697</v>
      </c>
      <c r="K53" t="s">
        <v>269</v>
      </c>
      <c r="L53" t="s">
        <v>347</v>
      </c>
      <c r="M53">
        <v>48000</v>
      </c>
      <c r="N53" s="10">
        <v>0.11912</v>
      </c>
      <c r="O53" s="10">
        <f t="shared" si="70"/>
        <v>5717.76</v>
      </c>
      <c r="P53" s="10" t="s">
        <v>383</v>
      </c>
      <c r="Q53" s="10" t="s">
        <v>383</v>
      </c>
      <c r="R53" s="10" t="str">
        <f>IF(COUNTIF($J$2:J53,J53)=1,SUMIFS($O:$O,$J:$J,J53)+SUMIFS($P:$P,$J:$J,J53)+SUMIFS($Q:$Q,$J:$J,J53),"")</f>
        <v/>
      </c>
      <c r="S53" s="10" t="s">
        <v>383</v>
      </c>
      <c r="T53" s="11" t="str">
        <f>IFERROR(INDEX(AD:AD,MATCH(J53,J:J,0)),"")</f>
        <v>Check</v>
      </c>
      <c r="U53" s="12">
        <v>46058</v>
      </c>
      <c r="V53" s="10">
        <v>10517.06</v>
      </c>
      <c r="W53" s="10" t="str">
        <f t="shared" si="71"/>
        <v>N/A</v>
      </c>
      <c r="X53" t="s">
        <v>64</v>
      </c>
      <c r="Y53" t="s">
        <v>24</v>
      </c>
      <c r="Z53">
        <v>100152</v>
      </c>
      <c r="AA53" t="s">
        <v>199</v>
      </c>
      <c r="AB53" t="s">
        <v>71</v>
      </c>
      <c r="AC53" s="9">
        <v>7</v>
      </c>
      <c r="AD53" s="9" t="str">
        <f t="shared" si="72"/>
        <v>N/A</v>
      </c>
      <c r="AE53" s="11" t="e">
        <f t="shared" si="73"/>
        <v>#VALUE!</v>
      </c>
    </row>
    <row r="54" spans="1:31" x14ac:dyDescent="0.3">
      <c r="A54">
        <v>18</v>
      </c>
      <c r="B54">
        <v>4859195</v>
      </c>
      <c r="C54" t="s">
        <v>47</v>
      </c>
      <c r="D54">
        <v>1372540</v>
      </c>
      <c r="E54" t="s">
        <v>82</v>
      </c>
      <c r="F54" t="s">
        <v>20</v>
      </c>
      <c r="G54" t="s">
        <v>126</v>
      </c>
      <c r="H54" t="s">
        <v>127</v>
      </c>
      <c r="I54" t="s">
        <v>235</v>
      </c>
      <c r="J54">
        <v>51151760697</v>
      </c>
      <c r="K54" t="s">
        <v>269</v>
      </c>
      <c r="L54" t="s">
        <v>348</v>
      </c>
      <c r="M54">
        <v>50000</v>
      </c>
      <c r="N54" s="10">
        <v>7.0650000000000004E-2</v>
      </c>
      <c r="O54" s="10">
        <f t="shared" si="70"/>
        <v>3532.5</v>
      </c>
      <c r="P54" s="10" t="s">
        <v>383</v>
      </c>
      <c r="Q54" s="10" t="s">
        <v>383</v>
      </c>
      <c r="R54" s="10" t="str">
        <f>IF(COUNTIF($J$2:J54,J54)=1,SUMIFS($O:$O,$J:$J,J54)+SUMIFS($P:$P,$J:$J,J54)+SUMIFS($Q:$Q,$J:$J,J54),"")</f>
        <v/>
      </c>
      <c r="S54" s="10" t="s">
        <v>383</v>
      </c>
      <c r="T54" s="11" t="str">
        <f>IFERROR(INDEX(AD:AD,MATCH(J54,J:J,0)),"")</f>
        <v>Check</v>
      </c>
      <c r="U54" s="12">
        <v>46058</v>
      </c>
      <c r="V54" s="10">
        <v>10517.06</v>
      </c>
      <c r="W54" s="10" t="str">
        <f t="shared" si="71"/>
        <v>N/A</v>
      </c>
      <c r="X54" t="s">
        <v>64</v>
      </c>
      <c r="Y54" t="s">
        <v>24</v>
      </c>
      <c r="Z54">
        <v>100152</v>
      </c>
      <c r="AA54" t="s">
        <v>199</v>
      </c>
      <c r="AB54" t="s">
        <v>71</v>
      </c>
      <c r="AC54" s="9">
        <v>7</v>
      </c>
      <c r="AD54" s="9" t="str">
        <f t="shared" si="72"/>
        <v>N/A</v>
      </c>
      <c r="AE54" s="11" t="e">
        <f t="shared" si="73"/>
        <v>#VALUE!</v>
      </c>
    </row>
    <row r="55" spans="1:31" x14ac:dyDescent="0.3">
      <c r="A55">
        <v>18</v>
      </c>
      <c r="B55">
        <v>4859195</v>
      </c>
      <c r="C55" t="s">
        <v>47</v>
      </c>
      <c r="D55">
        <v>1372540</v>
      </c>
      <c r="E55" t="s">
        <v>82</v>
      </c>
      <c r="F55" t="s">
        <v>20</v>
      </c>
      <c r="G55" t="s">
        <v>126</v>
      </c>
      <c r="H55" t="s">
        <v>127</v>
      </c>
      <c r="I55" t="s">
        <v>235</v>
      </c>
      <c r="J55">
        <v>51151760697</v>
      </c>
      <c r="K55" t="s">
        <v>269</v>
      </c>
      <c r="L55" t="s">
        <v>349</v>
      </c>
      <c r="M55">
        <v>200000</v>
      </c>
      <c r="N55" s="10">
        <v>7.9000000000000001E-4</v>
      </c>
      <c r="O55" s="10">
        <f t="shared" si="70"/>
        <v>158</v>
      </c>
      <c r="P55" s="10" t="s">
        <v>383</v>
      </c>
      <c r="Q55" s="10" t="s">
        <v>383</v>
      </c>
      <c r="R55" s="10" t="str">
        <f>IF(COUNTIF($J$2:J55,J55)=1,SUMIFS($O:$O,$J:$J,J55)+SUMIFS($P:$P,$J:$J,J55)+SUMIFS($Q:$Q,$J:$J,J55),"")</f>
        <v/>
      </c>
      <c r="S55" s="10" t="s">
        <v>383</v>
      </c>
      <c r="T55" s="11" t="str">
        <f>IFERROR(INDEX(AD:AD,MATCH(J55,J:J,0)),"")</f>
        <v>Check</v>
      </c>
      <c r="U55" s="12">
        <v>46058</v>
      </c>
      <c r="V55" s="10">
        <v>10517.06</v>
      </c>
      <c r="W55" s="10" t="str">
        <f t="shared" si="71"/>
        <v>N/A</v>
      </c>
      <c r="X55" t="s">
        <v>64</v>
      </c>
      <c r="Y55" t="s">
        <v>24</v>
      </c>
      <c r="Z55">
        <v>100152</v>
      </c>
      <c r="AA55" t="s">
        <v>199</v>
      </c>
      <c r="AB55" t="s">
        <v>71</v>
      </c>
      <c r="AC55" s="9">
        <v>7</v>
      </c>
      <c r="AD55" s="9" t="str">
        <f t="shared" si="72"/>
        <v>N/A</v>
      </c>
      <c r="AE55" s="11" t="e">
        <f t="shared" si="73"/>
        <v>#VALUE!</v>
      </c>
    </row>
    <row r="56" spans="1:31" x14ac:dyDescent="0.3">
      <c r="A56">
        <v>18</v>
      </c>
      <c r="B56">
        <v>4859195</v>
      </c>
      <c r="C56" t="s">
        <v>47</v>
      </c>
      <c r="D56">
        <v>1372540</v>
      </c>
      <c r="E56" t="s">
        <v>82</v>
      </c>
      <c r="F56" t="s">
        <v>20</v>
      </c>
      <c r="G56" t="s">
        <v>126</v>
      </c>
      <c r="H56" t="s">
        <v>127</v>
      </c>
      <c r="I56" t="s">
        <v>235</v>
      </c>
      <c r="J56">
        <v>51151760697</v>
      </c>
      <c r="K56" t="s">
        <v>269</v>
      </c>
      <c r="L56" t="s">
        <v>350</v>
      </c>
      <c r="M56">
        <v>100000</v>
      </c>
      <c r="N56" s="10">
        <v>1E-3</v>
      </c>
      <c r="O56" s="10">
        <f t="shared" si="70"/>
        <v>100</v>
      </c>
      <c r="P56" s="10" t="s">
        <v>383</v>
      </c>
      <c r="Q56" s="10" t="s">
        <v>383</v>
      </c>
      <c r="R56" s="10" t="str">
        <f>IF(COUNTIF($J$2:J56,J56)=1,SUMIFS($O:$O,$J:$J,J56)+SUMIFS($P:$P,$J:$J,J56)+SUMIFS($Q:$Q,$J:$J,J56),"")</f>
        <v/>
      </c>
      <c r="S56" s="10" t="s">
        <v>383</v>
      </c>
      <c r="T56" s="11" t="str">
        <f>IFERROR(INDEX(AD:AD,MATCH(J56,J:J,0)),"")</f>
        <v>Check</v>
      </c>
      <c r="U56" s="12">
        <v>46058</v>
      </c>
      <c r="V56" s="10">
        <v>10517.06</v>
      </c>
      <c r="W56" s="10" t="str">
        <f t="shared" si="71"/>
        <v>N/A</v>
      </c>
      <c r="X56" t="s">
        <v>64</v>
      </c>
      <c r="Y56" t="s">
        <v>24</v>
      </c>
      <c r="Z56">
        <v>100152</v>
      </c>
      <c r="AA56" t="s">
        <v>199</v>
      </c>
      <c r="AB56" t="s">
        <v>71</v>
      </c>
      <c r="AC56" s="9">
        <v>7</v>
      </c>
      <c r="AD56" s="9" t="str">
        <f t="shared" si="72"/>
        <v>N/A</v>
      </c>
      <c r="AE56" s="11" t="e">
        <f t="shared" si="73"/>
        <v>#VALUE!</v>
      </c>
    </row>
    <row r="57" spans="1:31" x14ac:dyDescent="0.3">
      <c r="A57">
        <v>18</v>
      </c>
      <c r="B57">
        <v>4859195</v>
      </c>
      <c r="C57" t="s">
        <v>47</v>
      </c>
      <c r="D57">
        <v>1372540</v>
      </c>
      <c r="E57" t="s">
        <v>82</v>
      </c>
      <c r="F57" t="s">
        <v>20</v>
      </c>
      <c r="G57" t="s">
        <v>126</v>
      </c>
      <c r="H57" t="s">
        <v>127</v>
      </c>
      <c r="I57" t="s">
        <v>235</v>
      </c>
      <c r="J57">
        <v>51151760697</v>
      </c>
      <c r="K57" t="s">
        <v>269</v>
      </c>
      <c r="L57" t="s">
        <v>351</v>
      </c>
      <c r="M57">
        <v>40000</v>
      </c>
      <c r="N57" s="10">
        <v>3.82E-3</v>
      </c>
      <c r="O57" s="10">
        <f t="shared" si="70"/>
        <v>152.80000000000001</v>
      </c>
      <c r="P57" s="10" t="s">
        <v>383</v>
      </c>
      <c r="Q57" s="10" t="s">
        <v>383</v>
      </c>
      <c r="R57" s="10" t="str">
        <f>IF(COUNTIF($J$2:J57,J57)=1,SUMIFS($O:$O,$J:$J,J57)+SUMIFS($P:$P,$J:$J,J57)+SUMIFS($Q:$Q,$J:$J,J57),"")</f>
        <v/>
      </c>
      <c r="S57" s="10" t="s">
        <v>383</v>
      </c>
      <c r="T57" s="11" t="str">
        <f>IFERROR(INDEX(AD:AD,MATCH(J57,J:J,0)),"")</f>
        <v>Check</v>
      </c>
      <c r="U57" s="12">
        <v>46058</v>
      </c>
      <c r="V57" s="10">
        <v>10517.06</v>
      </c>
      <c r="W57" s="10" t="str">
        <f t="shared" si="71"/>
        <v>N/A</v>
      </c>
      <c r="X57" t="s">
        <v>64</v>
      </c>
      <c r="Y57" t="s">
        <v>24</v>
      </c>
      <c r="Z57">
        <v>100152</v>
      </c>
      <c r="AA57" t="s">
        <v>199</v>
      </c>
      <c r="AB57" t="s">
        <v>71</v>
      </c>
      <c r="AC57" s="9">
        <v>7</v>
      </c>
      <c r="AD57" s="9" t="str">
        <f t="shared" si="72"/>
        <v>N/A</v>
      </c>
      <c r="AE57" s="11" t="e">
        <f t="shared" si="73"/>
        <v>#VALUE!</v>
      </c>
    </row>
    <row r="58" spans="1:31" x14ac:dyDescent="0.3">
      <c r="A58">
        <v>18</v>
      </c>
      <c r="B58">
        <v>4859195</v>
      </c>
      <c r="C58" t="s">
        <v>47</v>
      </c>
      <c r="D58">
        <v>1372540</v>
      </c>
      <c r="E58" t="s">
        <v>82</v>
      </c>
      <c r="F58" t="s">
        <v>20</v>
      </c>
      <c r="G58" t="s">
        <v>126</v>
      </c>
      <c r="H58" t="s">
        <v>127</v>
      </c>
      <c r="I58" t="s">
        <v>235</v>
      </c>
      <c r="J58">
        <v>51151760697</v>
      </c>
      <c r="K58" t="s">
        <v>269</v>
      </c>
      <c r="L58" t="s">
        <v>352</v>
      </c>
      <c r="M58">
        <v>30000</v>
      </c>
      <c r="N58" s="10">
        <v>2.1000000000000001E-2</v>
      </c>
      <c r="O58" s="10">
        <f t="shared" si="70"/>
        <v>630</v>
      </c>
      <c r="P58" s="10" t="s">
        <v>383</v>
      </c>
      <c r="Q58" s="10" t="s">
        <v>383</v>
      </c>
      <c r="R58" s="10" t="str">
        <f>IF(COUNTIF($J$2:J58,J58)=1,SUMIFS($O:$O,$J:$J,J58)+SUMIFS($P:$P,$J:$J,J58)+SUMIFS($Q:$Q,$J:$J,J58),"")</f>
        <v/>
      </c>
      <c r="S58" s="10" t="s">
        <v>383</v>
      </c>
      <c r="T58" s="11" t="str">
        <f>IFERROR(INDEX(AD:AD,MATCH(J58,J:J,0)),"")</f>
        <v>Check</v>
      </c>
      <c r="U58" s="12">
        <v>46058</v>
      </c>
      <c r="V58" s="10">
        <v>10517.06</v>
      </c>
      <c r="W58" s="10" t="str">
        <f t="shared" si="71"/>
        <v>N/A</v>
      </c>
      <c r="X58" t="s">
        <v>64</v>
      </c>
      <c r="Y58" t="s">
        <v>24</v>
      </c>
      <c r="Z58">
        <v>100152</v>
      </c>
      <c r="AA58" t="s">
        <v>199</v>
      </c>
      <c r="AB58" t="s">
        <v>71</v>
      </c>
      <c r="AC58" s="9">
        <v>7</v>
      </c>
      <c r="AD58" s="9" t="str">
        <f t="shared" si="72"/>
        <v>N/A</v>
      </c>
      <c r="AE58" s="11" t="e">
        <f t="shared" si="73"/>
        <v>#VALUE!</v>
      </c>
    </row>
    <row r="59" spans="1:31" x14ac:dyDescent="0.3">
      <c r="A59">
        <v>22</v>
      </c>
      <c r="B59">
        <v>4838602</v>
      </c>
      <c r="C59" t="s">
        <v>47</v>
      </c>
      <c r="D59">
        <v>1452228</v>
      </c>
      <c r="E59" t="s">
        <v>81</v>
      </c>
      <c r="F59" t="s">
        <v>21</v>
      </c>
      <c r="G59" t="s">
        <v>122</v>
      </c>
      <c r="H59" t="s">
        <v>123</v>
      </c>
      <c r="I59" t="s">
        <v>253</v>
      </c>
      <c r="J59">
        <v>51153405911</v>
      </c>
      <c r="K59" t="s">
        <v>269</v>
      </c>
      <c r="L59" t="s">
        <v>268</v>
      </c>
      <c r="M59">
        <v>30000</v>
      </c>
      <c r="N59" s="10">
        <v>0.16250000000000001</v>
      </c>
      <c r="O59" s="10">
        <f t="shared" ref="O59:O61" si="74">M59*N59</f>
        <v>4875</v>
      </c>
      <c r="P59" s="10">
        <v>0</v>
      </c>
      <c r="Q59" s="10">
        <v>0</v>
      </c>
      <c r="R59" s="10">
        <f>IF(COUNTIF($J$2:J59,J59)=1,SUMIFS($O:$O,$J:$J,J59)+SUMIFS($P:$P,$J:$J,J59)+SUMIFS($Q:$Q,$J:$J,J59),"")</f>
        <v>5538</v>
      </c>
      <c r="S59" s="10">
        <v>5557</v>
      </c>
      <c r="T59" s="11" t="str">
        <f>IFERROR(INDEX(AD:AD,MATCH(J59,J:J,0)),"")</f>
        <v>Check</v>
      </c>
      <c r="U59" s="12">
        <v>46044</v>
      </c>
      <c r="V59" s="10">
        <v>633</v>
      </c>
      <c r="W59" s="10" t="str">
        <f t="shared" ref="W59:W61" si="75">IF(OR(S59="",V59=""),"N/A",IF(S59&lt;&gt;V59,"Short Paid","Not Paid"))</f>
        <v>Short Paid</v>
      </c>
      <c r="X59" t="s">
        <v>64</v>
      </c>
      <c r="Y59" t="s">
        <v>34</v>
      </c>
      <c r="Z59">
        <v>100222</v>
      </c>
      <c r="AA59" t="s">
        <v>207</v>
      </c>
      <c r="AB59" t="s">
        <v>72</v>
      </c>
      <c r="AC59" s="9">
        <v>3</v>
      </c>
      <c r="AD59" s="9" t="str">
        <f t="shared" ref="AD59:AD61" si="76">IF(AND(R59="",S59=""),"N/A",IF(R59=S59,"Ok","Check"))</f>
        <v>Check</v>
      </c>
      <c r="AE59" s="11">
        <f t="shared" ref="AE59:AE61" si="77">R59-S59</f>
        <v>-19</v>
      </c>
    </row>
    <row r="60" spans="1:31" x14ac:dyDescent="0.3">
      <c r="A60">
        <v>22</v>
      </c>
      <c r="B60">
        <v>4838602</v>
      </c>
      <c r="C60" t="s">
        <v>47</v>
      </c>
      <c r="D60">
        <v>1452228</v>
      </c>
      <c r="E60" t="s">
        <v>81</v>
      </c>
      <c r="F60" t="s">
        <v>21</v>
      </c>
      <c r="G60" t="s">
        <v>122</v>
      </c>
      <c r="H60" t="s">
        <v>123</v>
      </c>
      <c r="I60" t="s">
        <v>255</v>
      </c>
      <c r="J60">
        <v>51153405911</v>
      </c>
      <c r="K60" t="s">
        <v>227</v>
      </c>
      <c r="L60" t="s">
        <v>353</v>
      </c>
      <c r="M60">
        <v>5000</v>
      </c>
      <c r="N60" s="10">
        <v>6.0000000000000001E-3</v>
      </c>
      <c r="O60" s="10">
        <f t="shared" si="74"/>
        <v>30</v>
      </c>
      <c r="P60" s="10" t="s">
        <v>383</v>
      </c>
      <c r="Q60" s="10" t="s">
        <v>383</v>
      </c>
      <c r="R60" s="10" t="str">
        <f>IF(COUNTIF($J$2:J60,J60)=1,SUMIFS($O:$O,$J:$J,J60)+SUMIFS($P:$P,$J:$J,J60)+SUMIFS($Q:$Q,$J:$J,J60),"")</f>
        <v/>
      </c>
      <c r="S60" s="10" t="s">
        <v>383</v>
      </c>
      <c r="T60" s="11" t="str">
        <f>IFERROR(INDEX(AD:AD,MATCH(J60,J:J,0)),"")</f>
        <v>Check</v>
      </c>
      <c r="U60" s="12">
        <v>46044</v>
      </c>
      <c r="V60" s="10">
        <v>633</v>
      </c>
      <c r="W60" s="10" t="str">
        <f t="shared" si="75"/>
        <v>N/A</v>
      </c>
      <c r="X60" t="s">
        <v>64</v>
      </c>
      <c r="Y60" t="s">
        <v>34</v>
      </c>
      <c r="Z60">
        <v>100222</v>
      </c>
      <c r="AA60" t="s">
        <v>207</v>
      </c>
      <c r="AB60" t="s">
        <v>72</v>
      </c>
      <c r="AC60" s="9">
        <v>3</v>
      </c>
      <c r="AD60" s="9" t="str">
        <f t="shared" si="76"/>
        <v>N/A</v>
      </c>
      <c r="AE60" s="11" t="e">
        <f t="shared" si="77"/>
        <v>#VALUE!</v>
      </c>
    </row>
    <row r="61" spans="1:31" x14ac:dyDescent="0.3">
      <c r="A61">
        <v>22</v>
      </c>
      <c r="B61">
        <v>4838602</v>
      </c>
      <c r="C61" t="s">
        <v>47</v>
      </c>
      <c r="D61">
        <v>1452228</v>
      </c>
      <c r="E61" t="s">
        <v>81</v>
      </c>
      <c r="F61" t="s">
        <v>21</v>
      </c>
      <c r="G61" t="s">
        <v>122</v>
      </c>
      <c r="H61" t="s">
        <v>123</v>
      </c>
      <c r="I61" t="s">
        <v>255</v>
      </c>
      <c r="J61">
        <v>51153405911</v>
      </c>
      <c r="K61" t="s">
        <v>217</v>
      </c>
      <c r="L61" t="s">
        <v>354</v>
      </c>
      <c r="M61">
        <v>3000</v>
      </c>
      <c r="N61" s="10">
        <v>0.21099999999999999</v>
      </c>
      <c r="O61" s="10">
        <f t="shared" si="74"/>
        <v>633</v>
      </c>
      <c r="P61" s="10" t="s">
        <v>383</v>
      </c>
      <c r="Q61" s="10" t="s">
        <v>383</v>
      </c>
      <c r="R61" s="10" t="str">
        <f>IF(COUNTIF($J$2:J61,J61)=1,SUMIFS($O:$O,$J:$J,J61)+SUMIFS($P:$P,$J:$J,J61)+SUMIFS($Q:$Q,$J:$J,J61),"")</f>
        <v/>
      </c>
      <c r="S61" s="10" t="s">
        <v>383</v>
      </c>
      <c r="T61" s="11" t="str">
        <f>IFERROR(INDEX(AD:AD,MATCH(J61,J:J,0)),"")</f>
        <v>Check</v>
      </c>
      <c r="U61" s="12">
        <v>46044</v>
      </c>
      <c r="V61" s="10">
        <v>633</v>
      </c>
      <c r="W61" s="10" t="str">
        <f t="shared" si="75"/>
        <v>N/A</v>
      </c>
      <c r="X61" t="s">
        <v>64</v>
      </c>
      <c r="Y61" t="s">
        <v>34</v>
      </c>
      <c r="Z61">
        <v>100222</v>
      </c>
      <c r="AA61" t="s">
        <v>207</v>
      </c>
      <c r="AB61" t="s">
        <v>72</v>
      </c>
      <c r="AC61" s="9">
        <v>3</v>
      </c>
      <c r="AD61" s="9" t="str">
        <f t="shared" si="76"/>
        <v>N/A</v>
      </c>
      <c r="AE61" s="11" t="e">
        <f t="shared" si="77"/>
        <v>#VALUE!</v>
      </c>
    </row>
    <row r="62" spans="1:31" x14ac:dyDescent="0.3">
      <c r="A62">
        <v>17</v>
      </c>
      <c r="B62">
        <v>4862813</v>
      </c>
      <c r="C62" t="s">
        <v>47</v>
      </c>
      <c r="D62">
        <v>1258708</v>
      </c>
      <c r="E62" t="s">
        <v>102</v>
      </c>
      <c r="F62" t="s">
        <v>20</v>
      </c>
      <c r="G62" t="s">
        <v>130</v>
      </c>
      <c r="H62" t="s">
        <v>131</v>
      </c>
      <c r="I62" t="s">
        <v>297</v>
      </c>
      <c r="J62">
        <v>51154374874</v>
      </c>
      <c r="K62" t="s">
        <v>213</v>
      </c>
      <c r="L62" t="s">
        <v>298</v>
      </c>
      <c r="M62">
        <v>120000</v>
      </c>
      <c r="N62" s="10">
        <v>4.65E-2</v>
      </c>
      <c r="O62" s="10">
        <f t="shared" ref="O62:O63" si="78">M62*N62</f>
        <v>5580</v>
      </c>
      <c r="P62" s="10">
        <v>460.35</v>
      </c>
      <c r="Q62" s="10">
        <v>0</v>
      </c>
      <c r="R62" s="10">
        <f>IF(COUNTIF($J$2:J62,J62)=1,SUMIFS($O:$O,$J:$J,J62)+SUMIFS($P:$P,$J:$J,J62)+SUMIFS($Q:$Q,$J:$J,J62),"")</f>
        <v>6940.35</v>
      </c>
      <c r="S62" s="10">
        <v>6940.35</v>
      </c>
      <c r="T62" s="11" t="str">
        <f>IFERROR(INDEX(AD:AD,MATCH(J62,J:J,0)),"")</f>
        <v>Ok</v>
      </c>
      <c r="U62" s="12">
        <v>46108</v>
      </c>
      <c r="V62" s="10">
        <v>458.91</v>
      </c>
      <c r="W62" s="10" t="str">
        <f t="shared" ref="W62:W63" si="79">IF(OR(S62="",V62=""),"N/A",IF(S62&lt;&gt;V62,"Short Paid","Not Paid"))</f>
        <v>Short Paid</v>
      </c>
      <c r="X62" t="s">
        <v>64</v>
      </c>
      <c r="Y62" t="s">
        <v>24</v>
      </c>
      <c r="Z62">
        <v>100202</v>
      </c>
      <c r="AA62" t="s">
        <v>201</v>
      </c>
      <c r="AB62" t="s">
        <v>71</v>
      </c>
      <c r="AC62" s="9">
        <v>2</v>
      </c>
      <c r="AD62" s="9" t="str">
        <f t="shared" ref="AD62:AD63" si="80">IF(AND(R62="",S62=""),"N/A",IF(R62=S62,"Ok","Check"))</f>
        <v>Ok</v>
      </c>
      <c r="AE62" s="11">
        <f t="shared" ref="AE62:AE63" si="81">R62-S62</f>
        <v>0</v>
      </c>
    </row>
    <row r="63" spans="1:31" x14ac:dyDescent="0.3">
      <c r="A63">
        <v>17</v>
      </c>
      <c r="B63">
        <v>4862813</v>
      </c>
      <c r="C63" t="s">
        <v>47</v>
      </c>
      <c r="D63">
        <v>1258708</v>
      </c>
      <c r="E63" t="s">
        <v>102</v>
      </c>
      <c r="F63" t="s">
        <v>20</v>
      </c>
      <c r="G63" t="s">
        <v>130</v>
      </c>
      <c r="H63" t="s">
        <v>131</v>
      </c>
      <c r="I63" t="s">
        <v>220</v>
      </c>
      <c r="J63">
        <v>51154374874</v>
      </c>
      <c r="K63" s="12">
        <v>36586</v>
      </c>
      <c r="L63" t="s">
        <v>325</v>
      </c>
      <c r="M63">
        <v>30</v>
      </c>
      <c r="N63" s="10">
        <v>30</v>
      </c>
      <c r="O63" s="10">
        <f t="shared" si="78"/>
        <v>900</v>
      </c>
      <c r="P63" s="10" t="s">
        <v>383</v>
      </c>
      <c r="Q63" s="10" t="s">
        <v>383</v>
      </c>
      <c r="R63" s="10" t="str">
        <f>IF(COUNTIF($J$2:J63,J63)=1,SUMIFS($O:$O,$J:$J,J63)+SUMIFS($P:$P,$J:$J,J63)+SUMIFS($Q:$Q,$J:$J,J63),"")</f>
        <v/>
      </c>
      <c r="S63" s="10" t="s">
        <v>383</v>
      </c>
      <c r="T63" s="11" t="str">
        <f>IFERROR(INDEX(AD:AD,MATCH(J63,J:J,0)),"")</f>
        <v>Ok</v>
      </c>
      <c r="U63" s="12">
        <v>46108</v>
      </c>
      <c r="V63" s="10">
        <v>458.91</v>
      </c>
      <c r="W63" s="10" t="str">
        <f t="shared" si="79"/>
        <v>N/A</v>
      </c>
      <c r="X63" t="s">
        <v>64</v>
      </c>
      <c r="Y63" t="s">
        <v>24</v>
      </c>
      <c r="Z63">
        <v>100202</v>
      </c>
      <c r="AA63" t="s">
        <v>201</v>
      </c>
      <c r="AB63" t="s">
        <v>71</v>
      </c>
      <c r="AC63" s="9">
        <v>2</v>
      </c>
      <c r="AD63" s="9" t="str">
        <f t="shared" si="80"/>
        <v>N/A</v>
      </c>
      <c r="AE63" s="11" t="e">
        <f t="shared" si="81"/>
        <v>#VALUE!</v>
      </c>
    </row>
    <row r="64" spans="1:31" x14ac:dyDescent="0.3">
      <c r="A64">
        <v>21</v>
      </c>
      <c r="B64">
        <v>4851125</v>
      </c>
      <c r="C64" t="s">
        <v>47</v>
      </c>
      <c r="D64">
        <v>1531094</v>
      </c>
      <c r="E64" t="s">
        <v>78</v>
      </c>
      <c r="F64" t="s">
        <v>20</v>
      </c>
      <c r="G64" t="s">
        <v>124</v>
      </c>
      <c r="H64" t="s">
        <v>125</v>
      </c>
      <c r="I64" t="s">
        <v>272</v>
      </c>
      <c r="J64">
        <v>51154702456</v>
      </c>
      <c r="K64" t="s">
        <v>317</v>
      </c>
      <c r="L64" t="s">
        <v>355</v>
      </c>
      <c r="M64">
        <v>1</v>
      </c>
      <c r="N64" s="10">
        <v>1500</v>
      </c>
      <c r="O64" s="10">
        <f t="shared" ref="O64:O68" si="82">M64*N64</f>
        <v>1500</v>
      </c>
      <c r="P64" s="10">
        <v>0</v>
      </c>
      <c r="Q64" s="10">
        <v>0</v>
      </c>
      <c r="R64" s="10">
        <f>IF(COUNTIF($J$2:J64,J64)=1,SUMIFS($O:$O,$J:$J,J64)+SUMIFS($P:$P,$J:$J,J64)+SUMIFS($Q:$Q,$J:$J,J64),"")</f>
        <v>5034.5</v>
      </c>
      <c r="S64" s="10">
        <v>5484.5</v>
      </c>
      <c r="T64" s="11" t="str">
        <f>IFERROR(INDEX(AD:AD,MATCH(J64,J:J,0)),"")</f>
        <v>Check</v>
      </c>
      <c r="U64" s="12">
        <v>46154</v>
      </c>
      <c r="V64" s="10">
        <v>450</v>
      </c>
      <c r="W64" s="10" t="str">
        <f t="shared" ref="W64:W68" si="83">IF(OR(S64="",V64=""),"N/A",IF(S64&lt;&gt;V64,"Short Paid","Not Paid"))</f>
        <v>Short Paid</v>
      </c>
      <c r="X64" t="s">
        <v>64</v>
      </c>
      <c r="Y64" t="s">
        <v>24</v>
      </c>
      <c r="Z64">
        <v>100162</v>
      </c>
      <c r="AA64" t="s">
        <v>194</v>
      </c>
      <c r="AB64" t="s">
        <v>71</v>
      </c>
      <c r="AC64" s="9">
        <v>3</v>
      </c>
      <c r="AD64" s="9" t="str">
        <f t="shared" ref="AD64:AD68" si="84">IF(AND(R64="",S64=""),"N/A",IF(R64=S64,"Ok","Check"))</f>
        <v>Check</v>
      </c>
      <c r="AE64" s="11">
        <f t="shared" ref="AE64:AE68" si="85">R64-S64</f>
        <v>-450</v>
      </c>
    </row>
    <row r="65" spans="1:31" x14ac:dyDescent="0.3">
      <c r="A65">
        <v>21</v>
      </c>
      <c r="B65">
        <v>4851125</v>
      </c>
      <c r="C65" t="s">
        <v>47</v>
      </c>
      <c r="D65">
        <v>1531094</v>
      </c>
      <c r="E65" t="s">
        <v>78</v>
      </c>
      <c r="F65" t="s">
        <v>20</v>
      </c>
      <c r="G65" t="s">
        <v>124</v>
      </c>
      <c r="H65" t="s">
        <v>125</v>
      </c>
      <c r="I65" t="s">
        <v>272</v>
      </c>
      <c r="J65">
        <v>51154702456</v>
      </c>
      <c r="K65" t="s">
        <v>317</v>
      </c>
      <c r="L65" t="s">
        <v>356</v>
      </c>
      <c r="M65">
        <v>50</v>
      </c>
      <c r="N65" s="10">
        <v>59.47</v>
      </c>
      <c r="O65" s="10">
        <f t="shared" si="82"/>
        <v>2973.5</v>
      </c>
      <c r="P65" s="10" t="s">
        <v>383</v>
      </c>
      <c r="Q65" s="10" t="s">
        <v>383</v>
      </c>
      <c r="R65" s="10" t="str">
        <f>IF(COUNTIF($J$2:J65,J65)=1,SUMIFS($O:$O,$J:$J,J65)+SUMIFS($P:$P,$J:$J,J65)+SUMIFS($Q:$Q,$J:$J,J65),"")</f>
        <v/>
      </c>
      <c r="S65" s="10" t="s">
        <v>383</v>
      </c>
      <c r="T65" s="11" t="str">
        <f>IFERROR(INDEX(AD:AD,MATCH(J65,J:J,0)),"")</f>
        <v>Check</v>
      </c>
      <c r="U65" s="12">
        <v>46154</v>
      </c>
      <c r="V65" s="10">
        <v>450</v>
      </c>
      <c r="W65" s="10" t="str">
        <f t="shared" si="83"/>
        <v>N/A</v>
      </c>
      <c r="X65" t="s">
        <v>64</v>
      </c>
      <c r="Y65" t="s">
        <v>24</v>
      </c>
      <c r="Z65">
        <v>100162</v>
      </c>
      <c r="AA65" t="s">
        <v>194</v>
      </c>
      <c r="AB65" t="s">
        <v>71</v>
      </c>
      <c r="AC65" s="9">
        <v>3</v>
      </c>
      <c r="AD65" s="9" t="str">
        <f t="shared" si="84"/>
        <v>N/A</v>
      </c>
      <c r="AE65" s="11" t="e">
        <f t="shared" si="85"/>
        <v>#VALUE!</v>
      </c>
    </row>
    <row r="66" spans="1:31" x14ac:dyDescent="0.3">
      <c r="A66">
        <v>21</v>
      </c>
      <c r="B66">
        <v>4851125</v>
      </c>
      <c r="C66" t="s">
        <v>47</v>
      </c>
      <c r="D66">
        <v>1531094</v>
      </c>
      <c r="E66" t="s">
        <v>78</v>
      </c>
      <c r="F66" t="s">
        <v>20</v>
      </c>
      <c r="G66" t="s">
        <v>124</v>
      </c>
      <c r="H66" t="s">
        <v>125</v>
      </c>
      <c r="I66" t="s">
        <v>290</v>
      </c>
      <c r="J66">
        <v>51154702456</v>
      </c>
      <c r="K66" t="s">
        <v>230</v>
      </c>
      <c r="L66" t="s">
        <v>229</v>
      </c>
      <c r="M66">
        <v>30000</v>
      </c>
      <c r="N66" s="10">
        <v>1.8700000000000001E-2</v>
      </c>
      <c r="O66" s="10">
        <f t="shared" si="82"/>
        <v>561</v>
      </c>
      <c r="P66" s="10" t="s">
        <v>383</v>
      </c>
      <c r="Q66" s="10" t="s">
        <v>383</v>
      </c>
      <c r="R66" s="10" t="str">
        <f>IF(COUNTIF($J$2:J66,J66)=1,SUMIFS($O:$O,$J:$J,J66)+SUMIFS($P:$P,$J:$J,J66)+SUMIFS($Q:$Q,$J:$J,J66),"")</f>
        <v/>
      </c>
      <c r="S66" s="10" t="s">
        <v>383</v>
      </c>
      <c r="T66" s="11" t="str">
        <f>IFERROR(INDEX(AD:AD,MATCH(J66,J:J,0)),"")</f>
        <v>Check</v>
      </c>
      <c r="U66" s="12">
        <v>46154</v>
      </c>
      <c r="V66" s="10">
        <v>450</v>
      </c>
      <c r="W66" s="10" t="str">
        <f t="shared" si="83"/>
        <v>N/A</v>
      </c>
      <c r="X66" t="s">
        <v>64</v>
      </c>
      <c r="Y66" t="s">
        <v>24</v>
      </c>
      <c r="Z66">
        <v>100162</v>
      </c>
      <c r="AA66" t="s">
        <v>194</v>
      </c>
      <c r="AB66" t="s">
        <v>71</v>
      </c>
      <c r="AC66" s="9">
        <v>3</v>
      </c>
      <c r="AD66" s="9" t="str">
        <f t="shared" si="84"/>
        <v>N/A</v>
      </c>
      <c r="AE66" s="11" t="e">
        <f t="shared" si="85"/>
        <v>#VALUE!</v>
      </c>
    </row>
    <row r="67" spans="1:31" x14ac:dyDescent="0.3">
      <c r="A67">
        <v>15</v>
      </c>
      <c r="B67">
        <v>4874501</v>
      </c>
      <c r="C67" t="s">
        <v>47</v>
      </c>
      <c r="D67">
        <v>1262550</v>
      </c>
      <c r="E67" t="s">
        <v>103</v>
      </c>
      <c r="F67" t="s">
        <v>22</v>
      </c>
      <c r="G67" t="s">
        <v>132</v>
      </c>
      <c r="H67" t="s">
        <v>133</v>
      </c>
      <c r="I67" t="s">
        <v>254</v>
      </c>
      <c r="J67">
        <v>51154898702</v>
      </c>
      <c r="K67" t="s">
        <v>213</v>
      </c>
      <c r="L67" t="s">
        <v>283</v>
      </c>
      <c r="M67">
        <v>21000</v>
      </c>
      <c r="N67" s="10">
        <v>0.17269999999999999</v>
      </c>
      <c r="O67" s="10">
        <f t="shared" si="82"/>
        <v>3626.7</v>
      </c>
      <c r="P67" s="10">
        <v>299.2</v>
      </c>
      <c r="Q67" s="10">
        <v>0</v>
      </c>
      <c r="R67" s="10">
        <f>IF(COUNTIF($J$2:J67,J67)=1,SUMIFS($O:$O,$J:$J,J67)+SUMIFS($P:$P,$J:$J,J67)+SUMIFS($Q:$Q,$J:$J,J67),"")</f>
        <v>4002.68</v>
      </c>
      <c r="S67" s="10">
        <v>4028.27</v>
      </c>
      <c r="T67" s="11" t="str">
        <f>IFERROR(INDEX(AD:AD,MATCH(J67,J:J,0)),"")</f>
        <v>Check</v>
      </c>
      <c r="U67" s="12">
        <v>46070</v>
      </c>
      <c r="V67" s="10">
        <v>102.37</v>
      </c>
      <c r="W67" s="10" t="str">
        <f t="shared" si="83"/>
        <v>Short Paid</v>
      </c>
      <c r="X67" t="s">
        <v>64</v>
      </c>
      <c r="Y67" t="s">
        <v>24</v>
      </c>
      <c r="Z67">
        <v>100242</v>
      </c>
      <c r="AA67" t="s">
        <v>197</v>
      </c>
      <c r="AB67" t="s">
        <v>75</v>
      </c>
      <c r="AC67" s="9">
        <v>2</v>
      </c>
      <c r="AD67" s="9" t="str">
        <f t="shared" si="84"/>
        <v>Check</v>
      </c>
      <c r="AE67" s="11">
        <f t="shared" si="85"/>
        <v>-25.590000000000146</v>
      </c>
    </row>
    <row r="68" spans="1:31" x14ac:dyDescent="0.3">
      <c r="A68">
        <v>15</v>
      </c>
      <c r="B68">
        <v>4874501</v>
      </c>
      <c r="C68" t="s">
        <v>47</v>
      </c>
      <c r="D68">
        <v>1262550</v>
      </c>
      <c r="E68" t="s">
        <v>103</v>
      </c>
      <c r="F68" t="s">
        <v>22</v>
      </c>
      <c r="G68" t="s">
        <v>132</v>
      </c>
      <c r="H68" t="s">
        <v>133</v>
      </c>
      <c r="I68" t="s">
        <v>299</v>
      </c>
      <c r="J68">
        <v>51154898702</v>
      </c>
      <c r="K68" t="s">
        <v>212</v>
      </c>
      <c r="L68" t="s">
        <v>248</v>
      </c>
      <c r="M68">
        <v>1</v>
      </c>
      <c r="N68" s="10">
        <v>76.78</v>
      </c>
      <c r="O68" s="10">
        <f t="shared" si="82"/>
        <v>76.78</v>
      </c>
      <c r="P68" s="10" t="s">
        <v>383</v>
      </c>
      <c r="Q68" s="10" t="s">
        <v>383</v>
      </c>
      <c r="R68" s="10" t="str">
        <f>IF(COUNTIF($J$2:J68,J68)=1,SUMIFS($O:$O,$J:$J,J68)+SUMIFS($P:$P,$J:$J,J68)+SUMIFS($Q:$Q,$J:$J,J68),"")</f>
        <v/>
      </c>
      <c r="S68" s="10" t="s">
        <v>383</v>
      </c>
      <c r="T68" s="11" t="str">
        <f>IFERROR(INDEX(AD:AD,MATCH(J68,J:J,0)),"")</f>
        <v>Check</v>
      </c>
      <c r="U68" s="12">
        <v>46070</v>
      </c>
      <c r="V68" s="10">
        <v>102.37</v>
      </c>
      <c r="W68" s="10" t="str">
        <f t="shared" si="83"/>
        <v>N/A</v>
      </c>
      <c r="X68" t="s">
        <v>64</v>
      </c>
      <c r="Y68" t="s">
        <v>24</v>
      </c>
      <c r="Z68">
        <v>100242</v>
      </c>
      <c r="AA68" t="s">
        <v>197</v>
      </c>
      <c r="AB68" t="s">
        <v>75</v>
      </c>
      <c r="AC68" s="9">
        <v>2</v>
      </c>
      <c r="AD68" s="9" t="str">
        <f t="shared" si="84"/>
        <v>N/A</v>
      </c>
      <c r="AE68" s="11" t="e">
        <f t="shared" si="85"/>
        <v>#VALUE!</v>
      </c>
    </row>
    <row r="69" spans="1:31" x14ac:dyDescent="0.3">
      <c r="A69">
        <v>17</v>
      </c>
      <c r="B69">
        <v>4861421</v>
      </c>
      <c r="C69" t="s">
        <v>47</v>
      </c>
      <c r="D69">
        <v>1264221</v>
      </c>
      <c r="E69" t="s">
        <v>83</v>
      </c>
      <c r="F69" t="s">
        <v>20</v>
      </c>
      <c r="G69" t="s">
        <v>128</v>
      </c>
      <c r="H69" t="s">
        <v>129</v>
      </c>
      <c r="I69" t="s">
        <v>273</v>
      </c>
      <c r="J69">
        <v>51155857679</v>
      </c>
      <c r="K69" t="s">
        <v>225</v>
      </c>
      <c r="L69" t="s">
        <v>357</v>
      </c>
      <c r="M69">
        <v>320</v>
      </c>
      <c r="N69" s="10">
        <v>2.2250000000000001</v>
      </c>
      <c r="O69" s="10">
        <f t="shared" ref="O69:O71" si="86">M69*N69</f>
        <v>712</v>
      </c>
      <c r="P69" s="10">
        <v>74.55</v>
      </c>
      <c r="Q69" s="10">
        <v>163.76</v>
      </c>
      <c r="R69" s="10">
        <f>IF(COUNTIF($J$2:J69,J69)=1,SUMIFS($O:$O,$J:$J,J69)+SUMIFS($P:$P,$J:$J,J69)+SUMIFS($Q:$Q,$J:$J,J69),"")</f>
        <v>3236.3100000000004</v>
      </c>
      <c r="S69" s="10">
        <v>3236.31</v>
      </c>
      <c r="T69" s="11" t="str">
        <f>IFERROR(INDEX(AD:AD,MATCH(J69,J:J,0)),"")</f>
        <v>Ok</v>
      </c>
      <c r="U69" s="12">
        <v>45815</v>
      </c>
      <c r="V69" s="10">
        <v>2258.16</v>
      </c>
      <c r="W69" s="10" t="str">
        <f t="shared" ref="W69:W71" si="87">IF(OR(S69="",V69=""),"N/A",IF(S69&lt;&gt;V69,"Short Paid","Not Paid"))</f>
        <v>Short Paid</v>
      </c>
      <c r="X69" t="s">
        <v>64</v>
      </c>
      <c r="Y69" t="s">
        <v>24</v>
      </c>
      <c r="Z69">
        <v>100112</v>
      </c>
      <c r="AA69" t="s">
        <v>65</v>
      </c>
      <c r="AB69" t="s">
        <v>71</v>
      </c>
      <c r="AC69" s="9">
        <v>3</v>
      </c>
      <c r="AD69" s="9" t="str">
        <f t="shared" ref="AD69:AD71" si="88">IF(AND(R69="",S69=""),"N/A",IF(R69=S69,"Ok","Check"))</f>
        <v>Ok</v>
      </c>
      <c r="AE69" s="11">
        <f t="shared" ref="AE69:AE71" si="89">R69-S69</f>
        <v>0</v>
      </c>
    </row>
    <row r="70" spans="1:31" x14ac:dyDescent="0.3">
      <c r="A70">
        <v>17</v>
      </c>
      <c r="B70">
        <v>4861421</v>
      </c>
      <c r="C70" t="s">
        <v>47</v>
      </c>
      <c r="D70">
        <v>1264221</v>
      </c>
      <c r="E70" t="s">
        <v>83</v>
      </c>
      <c r="F70" t="s">
        <v>20</v>
      </c>
      <c r="G70" t="s">
        <v>128</v>
      </c>
      <c r="H70" t="s">
        <v>129</v>
      </c>
      <c r="I70" t="s">
        <v>273</v>
      </c>
      <c r="J70">
        <v>51155857679</v>
      </c>
      <c r="K70" t="s">
        <v>225</v>
      </c>
      <c r="L70" t="s">
        <v>358</v>
      </c>
      <c r="M70">
        <v>14400</v>
      </c>
      <c r="N70" s="10">
        <v>9.6000000000000016E-2</v>
      </c>
      <c r="O70" s="10">
        <f t="shared" si="86"/>
        <v>1382.4000000000003</v>
      </c>
      <c r="P70" s="10" t="s">
        <v>383</v>
      </c>
      <c r="Q70" s="10" t="s">
        <v>383</v>
      </c>
      <c r="R70" s="10" t="str">
        <f>IF(COUNTIF($J$2:J70,J70)=1,SUMIFS($O:$O,$J:$J,J70)+SUMIFS($P:$P,$J:$J,J70)+SUMIFS($Q:$Q,$J:$J,J70),"")</f>
        <v/>
      </c>
      <c r="S70" s="10" t="s">
        <v>383</v>
      </c>
      <c r="T70" s="11" t="str">
        <f>IFERROR(INDEX(AD:AD,MATCH(J70,J:J,0)),"")</f>
        <v>Ok</v>
      </c>
      <c r="U70" s="12">
        <v>45815</v>
      </c>
      <c r="V70" s="10">
        <v>2258.16</v>
      </c>
      <c r="W70" s="10" t="str">
        <f t="shared" si="87"/>
        <v>N/A</v>
      </c>
      <c r="X70" t="s">
        <v>64</v>
      </c>
      <c r="Y70" t="s">
        <v>24</v>
      </c>
      <c r="Z70">
        <v>100112</v>
      </c>
      <c r="AA70" t="s">
        <v>65</v>
      </c>
      <c r="AB70" t="s">
        <v>71</v>
      </c>
      <c r="AC70" s="9">
        <v>3</v>
      </c>
      <c r="AD70" s="9" t="str">
        <f t="shared" si="88"/>
        <v>N/A</v>
      </c>
      <c r="AE70" s="11" t="e">
        <f t="shared" si="89"/>
        <v>#VALUE!</v>
      </c>
    </row>
    <row r="71" spans="1:31" x14ac:dyDescent="0.3">
      <c r="A71">
        <v>17</v>
      </c>
      <c r="B71">
        <v>4861421</v>
      </c>
      <c r="C71" t="s">
        <v>47</v>
      </c>
      <c r="D71">
        <v>1264221</v>
      </c>
      <c r="E71" t="s">
        <v>83</v>
      </c>
      <c r="F71" t="s">
        <v>20</v>
      </c>
      <c r="G71" t="s">
        <v>128</v>
      </c>
      <c r="H71" t="s">
        <v>129</v>
      </c>
      <c r="I71" t="s">
        <v>266</v>
      </c>
      <c r="J71">
        <v>51155857679</v>
      </c>
      <c r="K71" t="s">
        <v>227</v>
      </c>
      <c r="L71" t="s">
        <v>308</v>
      </c>
      <c r="M71">
        <v>60000</v>
      </c>
      <c r="N71" s="10">
        <v>1.506E-2</v>
      </c>
      <c r="O71" s="10">
        <f t="shared" si="86"/>
        <v>903.6</v>
      </c>
      <c r="P71" s="10" t="s">
        <v>383</v>
      </c>
      <c r="Q71" s="10" t="s">
        <v>383</v>
      </c>
      <c r="R71" s="10" t="str">
        <f>IF(COUNTIF($J$2:J71,J71)=1,SUMIFS($O:$O,$J:$J,J71)+SUMIFS($P:$P,$J:$J,J71)+SUMIFS($Q:$Q,$J:$J,J71),"")</f>
        <v/>
      </c>
      <c r="S71" s="10" t="s">
        <v>383</v>
      </c>
      <c r="T71" s="11" t="str">
        <f>IFERROR(INDEX(AD:AD,MATCH(J71,J:J,0)),"")</f>
        <v>Ok</v>
      </c>
      <c r="U71" s="12">
        <v>45815</v>
      </c>
      <c r="V71" s="10">
        <v>2258.16</v>
      </c>
      <c r="W71" s="10" t="str">
        <f t="shared" si="87"/>
        <v>N/A</v>
      </c>
      <c r="X71" t="s">
        <v>64</v>
      </c>
      <c r="Y71" t="s">
        <v>24</v>
      </c>
      <c r="Z71">
        <v>100112</v>
      </c>
      <c r="AA71" t="s">
        <v>65</v>
      </c>
      <c r="AB71" t="s">
        <v>71</v>
      </c>
      <c r="AC71" s="9">
        <v>3</v>
      </c>
      <c r="AD71" s="9" t="str">
        <f t="shared" si="88"/>
        <v>N/A</v>
      </c>
      <c r="AE71" s="11" t="e">
        <f t="shared" si="89"/>
        <v>#VALUE!</v>
      </c>
    </row>
    <row r="72" spans="1:31" x14ac:dyDescent="0.3">
      <c r="A72">
        <v>3</v>
      </c>
      <c r="B72">
        <v>4955203</v>
      </c>
      <c r="C72" t="s">
        <v>47</v>
      </c>
      <c r="D72">
        <v>1199471</v>
      </c>
      <c r="E72" t="s">
        <v>86</v>
      </c>
      <c r="F72" t="s">
        <v>21</v>
      </c>
      <c r="G72" t="s">
        <v>186</v>
      </c>
      <c r="H72" t="s">
        <v>187</v>
      </c>
      <c r="I72" t="s">
        <v>258</v>
      </c>
      <c r="J72">
        <v>51158561052</v>
      </c>
      <c r="K72" t="s">
        <v>247</v>
      </c>
      <c r="L72" t="s">
        <v>359</v>
      </c>
      <c r="M72">
        <v>1000</v>
      </c>
      <c r="N72" s="10">
        <v>0.41399999999999998</v>
      </c>
      <c r="O72" s="10">
        <f t="shared" ref="O72:O82" si="90">M72*N72</f>
        <v>414</v>
      </c>
      <c r="P72" s="10">
        <v>0</v>
      </c>
      <c r="Q72" s="10">
        <v>175.52</v>
      </c>
      <c r="R72" s="10">
        <f>IF(COUNTIF($J$2:J72,J72)=1,SUMIFS($O:$O,$J:$J,J72)+SUMIFS($P:$P,$J:$J,J72)+SUMIFS($Q:$Q,$J:$J,J72),"")</f>
        <v>3232.9956000000002</v>
      </c>
      <c r="S72" s="10">
        <v>3333.33</v>
      </c>
      <c r="T72" s="11" t="str">
        <f>IFERROR(INDEX(AD:AD,MATCH(J72,J:J,0)),"")</f>
        <v>Check</v>
      </c>
      <c r="U72" s="12">
        <v>46158</v>
      </c>
      <c r="V72" s="10">
        <v>811.88</v>
      </c>
      <c r="W72" s="10" t="str">
        <f t="shared" ref="W72:W82" si="91">IF(OR(S72="",V72=""),"N/A",IF(S72&lt;&gt;V72,"Short Paid","Not Paid"))</f>
        <v>Short Paid</v>
      </c>
      <c r="X72" t="s">
        <v>64</v>
      </c>
      <c r="Y72" t="s">
        <v>34</v>
      </c>
      <c r="Z72">
        <v>100262</v>
      </c>
      <c r="AA72" t="s">
        <v>210</v>
      </c>
      <c r="AB72" t="s">
        <v>72</v>
      </c>
      <c r="AC72" s="9">
        <v>9</v>
      </c>
      <c r="AD72" s="9" t="str">
        <f t="shared" ref="AD72:AD82" si="92">IF(AND(R72="",S72=""),"N/A",IF(R72=S72,"Ok","Check"))</f>
        <v>Check</v>
      </c>
      <c r="AE72" s="11">
        <f t="shared" ref="AE72:AE82" si="93">R72-S72</f>
        <v>-100.33439999999973</v>
      </c>
    </row>
    <row r="73" spans="1:31" x14ac:dyDescent="0.3">
      <c r="A73">
        <v>3</v>
      </c>
      <c r="B73">
        <v>4955203</v>
      </c>
      <c r="C73" t="s">
        <v>47</v>
      </c>
      <c r="D73">
        <v>1199471</v>
      </c>
      <c r="E73" t="s">
        <v>86</v>
      </c>
      <c r="F73" t="s">
        <v>21</v>
      </c>
      <c r="G73" t="s">
        <v>186</v>
      </c>
      <c r="H73" t="s">
        <v>187</v>
      </c>
      <c r="I73" t="s">
        <v>258</v>
      </c>
      <c r="J73">
        <v>51158561052</v>
      </c>
      <c r="K73" t="s">
        <v>241</v>
      </c>
      <c r="L73" t="s">
        <v>360</v>
      </c>
      <c r="M73">
        <v>1000</v>
      </c>
      <c r="N73" s="10">
        <v>0.434</v>
      </c>
      <c r="O73" s="10">
        <f t="shared" si="90"/>
        <v>434</v>
      </c>
      <c r="P73" s="10" t="s">
        <v>383</v>
      </c>
      <c r="Q73" s="10" t="s">
        <v>383</v>
      </c>
      <c r="R73" s="10" t="str">
        <f>IF(COUNTIF($J$2:J73,J73)=1,SUMIFS($O:$O,$J:$J,J73)+SUMIFS($P:$P,$J:$J,J73)+SUMIFS($Q:$Q,$J:$J,J73),"")</f>
        <v/>
      </c>
      <c r="S73" s="10" t="s">
        <v>383</v>
      </c>
      <c r="T73" s="11" t="str">
        <f>IFERROR(INDEX(AD:AD,MATCH(J73,J:J,0)),"")</f>
        <v>Check</v>
      </c>
      <c r="U73" s="12">
        <v>46158</v>
      </c>
      <c r="V73" s="10">
        <v>811.88</v>
      </c>
      <c r="W73" s="10" t="str">
        <f t="shared" si="91"/>
        <v>N/A</v>
      </c>
      <c r="X73" t="s">
        <v>64</v>
      </c>
      <c r="Y73" t="s">
        <v>34</v>
      </c>
      <c r="Z73">
        <v>100262</v>
      </c>
      <c r="AA73" t="s">
        <v>210</v>
      </c>
      <c r="AB73" t="s">
        <v>72</v>
      </c>
      <c r="AC73" s="9">
        <v>9</v>
      </c>
      <c r="AD73" s="9" t="str">
        <f t="shared" si="92"/>
        <v>N/A</v>
      </c>
      <c r="AE73" s="11" t="e">
        <f t="shared" si="93"/>
        <v>#VALUE!</v>
      </c>
    </row>
    <row r="74" spans="1:31" x14ac:dyDescent="0.3">
      <c r="A74">
        <v>3</v>
      </c>
      <c r="B74">
        <v>4955203</v>
      </c>
      <c r="C74" t="s">
        <v>47</v>
      </c>
      <c r="D74">
        <v>1199471</v>
      </c>
      <c r="E74" t="s">
        <v>86</v>
      </c>
      <c r="F74" t="s">
        <v>21</v>
      </c>
      <c r="G74" t="s">
        <v>186</v>
      </c>
      <c r="H74" t="s">
        <v>187</v>
      </c>
      <c r="I74" t="s">
        <v>258</v>
      </c>
      <c r="J74">
        <v>51158561052</v>
      </c>
      <c r="K74" t="s">
        <v>241</v>
      </c>
      <c r="L74" t="s">
        <v>361</v>
      </c>
      <c r="M74">
        <v>1472</v>
      </c>
      <c r="N74" s="10">
        <v>0.43230000000000002</v>
      </c>
      <c r="O74" s="10">
        <f t="shared" si="90"/>
        <v>636.34559999999999</v>
      </c>
      <c r="P74" s="10" t="s">
        <v>383</v>
      </c>
      <c r="Q74" s="10" t="s">
        <v>383</v>
      </c>
      <c r="R74" s="10" t="str">
        <f>IF(COUNTIF($J$2:J74,J74)=1,SUMIFS($O:$O,$J:$J,J74)+SUMIFS($P:$P,$J:$J,J74)+SUMIFS($Q:$Q,$J:$J,J74),"")</f>
        <v/>
      </c>
      <c r="S74" s="10" t="s">
        <v>383</v>
      </c>
      <c r="T74" s="11" t="str">
        <f>IFERROR(INDEX(AD:AD,MATCH(J74,J:J,0)),"")</f>
        <v>Check</v>
      </c>
      <c r="U74" s="12">
        <v>46158</v>
      </c>
      <c r="V74" s="10">
        <v>811.88</v>
      </c>
      <c r="W74" s="10" t="str">
        <f t="shared" si="91"/>
        <v>N/A</v>
      </c>
      <c r="X74" t="s">
        <v>64</v>
      </c>
      <c r="Y74" t="s">
        <v>34</v>
      </c>
      <c r="Z74">
        <v>100262</v>
      </c>
      <c r="AA74" t="s">
        <v>210</v>
      </c>
      <c r="AB74" t="s">
        <v>72</v>
      </c>
      <c r="AC74" s="9">
        <v>9</v>
      </c>
      <c r="AD74" s="9" t="str">
        <f t="shared" si="92"/>
        <v>N/A</v>
      </c>
      <c r="AE74" s="11" t="e">
        <f t="shared" si="93"/>
        <v>#VALUE!</v>
      </c>
    </row>
    <row r="75" spans="1:31" x14ac:dyDescent="0.3">
      <c r="A75">
        <v>3</v>
      </c>
      <c r="B75">
        <v>4955203</v>
      </c>
      <c r="C75" t="s">
        <v>47</v>
      </c>
      <c r="D75">
        <v>1199471</v>
      </c>
      <c r="E75" t="s">
        <v>86</v>
      </c>
      <c r="F75" t="s">
        <v>21</v>
      </c>
      <c r="G75" t="s">
        <v>186</v>
      </c>
      <c r="H75" t="s">
        <v>187</v>
      </c>
      <c r="I75" t="s">
        <v>258</v>
      </c>
      <c r="J75">
        <v>51158561052</v>
      </c>
      <c r="K75" t="s">
        <v>213</v>
      </c>
      <c r="L75" t="s">
        <v>362</v>
      </c>
      <c r="M75">
        <v>3000</v>
      </c>
      <c r="N75" s="10">
        <v>8.5800000000000008E-3</v>
      </c>
      <c r="O75" s="10">
        <f t="shared" si="90"/>
        <v>25.740000000000002</v>
      </c>
      <c r="P75" s="10" t="s">
        <v>383</v>
      </c>
      <c r="Q75" s="10" t="s">
        <v>383</v>
      </c>
      <c r="R75" s="10" t="str">
        <f>IF(COUNTIF($J$2:J75,J75)=1,SUMIFS($O:$O,$J:$J,J75)+SUMIFS($P:$P,$J:$J,J75)+SUMIFS($Q:$Q,$J:$J,J75),"")</f>
        <v/>
      </c>
      <c r="S75" s="10" t="s">
        <v>383</v>
      </c>
      <c r="T75" s="11" t="str">
        <f>IFERROR(INDEX(AD:AD,MATCH(J75,J:J,0)),"")</f>
        <v>Check</v>
      </c>
      <c r="U75" s="12">
        <v>46158</v>
      </c>
      <c r="V75" s="10">
        <v>811.88</v>
      </c>
      <c r="W75" s="10" t="str">
        <f t="shared" si="91"/>
        <v>N/A</v>
      </c>
      <c r="X75" t="s">
        <v>64</v>
      </c>
      <c r="Y75" t="s">
        <v>34</v>
      </c>
      <c r="Z75">
        <v>100262</v>
      </c>
      <c r="AA75" t="s">
        <v>210</v>
      </c>
      <c r="AB75" t="s">
        <v>72</v>
      </c>
      <c r="AC75" s="9">
        <v>9</v>
      </c>
      <c r="AD75" s="9" t="str">
        <f t="shared" si="92"/>
        <v>N/A</v>
      </c>
      <c r="AE75" s="11" t="e">
        <f t="shared" si="93"/>
        <v>#VALUE!</v>
      </c>
    </row>
    <row r="76" spans="1:31" x14ac:dyDescent="0.3">
      <c r="A76">
        <v>3</v>
      </c>
      <c r="B76">
        <v>4955203</v>
      </c>
      <c r="C76" t="s">
        <v>47</v>
      </c>
      <c r="D76">
        <v>1199471</v>
      </c>
      <c r="E76" t="s">
        <v>86</v>
      </c>
      <c r="F76" t="s">
        <v>21</v>
      </c>
      <c r="G76" t="s">
        <v>186</v>
      </c>
      <c r="H76" t="s">
        <v>187</v>
      </c>
      <c r="I76" t="s">
        <v>258</v>
      </c>
      <c r="J76">
        <v>51158561052</v>
      </c>
      <c r="K76" t="s">
        <v>292</v>
      </c>
      <c r="L76" t="s">
        <v>363</v>
      </c>
      <c r="M76">
        <v>8000</v>
      </c>
      <c r="N76" s="10">
        <v>3.3999999999999998E-3</v>
      </c>
      <c r="O76" s="10">
        <f t="shared" si="90"/>
        <v>27.2</v>
      </c>
      <c r="P76" s="10" t="s">
        <v>383</v>
      </c>
      <c r="Q76" s="10" t="s">
        <v>383</v>
      </c>
      <c r="R76" s="10" t="str">
        <f>IF(COUNTIF($J$2:J76,J76)=1,SUMIFS($O:$O,$J:$J,J76)+SUMIFS($P:$P,$J:$J,J76)+SUMIFS($Q:$Q,$J:$J,J76),"")</f>
        <v/>
      </c>
      <c r="S76" s="10" t="s">
        <v>383</v>
      </c>
      <c r="T76" s="11" t="str">
        <f>IFERROR(INDEX(AD:AD,MATCH(J76,J:J,0)),"")</f>
        <v>Check</v>
      </c>
      <c r="U76" s="12">
        <v>46158</v>
      </c>
      <c r="V76" s="10">
        <v>811.88</v>
      </c>
      <c r="W76" s="10" t="str">
        <f t="shared" si="91"/>
        <v>N/A</v>
      </c>
      <c r="X76" t="s">
        <v>64</v>
      </c>
      <c r="Y76" t="s">
        <v>34</v>
      </c>
      <c r="Z76">
        <v>100262</v>
      </c>
      <c r="AA76" t="s">
        <v>210</v>
      </c>
      <c r="AB76" t="s">
        <v>72</v>
      </c>
      <c r="AC76" s="9">
        <v>9</v>
      </c>
      <c r="AD76" s="9" t="str">
        <f t="shared" si="92"/>
        <v>N/A</v>
      </c>
      <c r="AE76" s="11" t="e">
        <f t="shared" si="93"/>
        <v>#VALUE!</v>
      </c>
    </row>
    <row r="77" spans="1:31" x14ac:dyDescent="0.3">
      <c r="A77">
        <v>3</v>
      </c>
      <c r="B77">
        <v>4955203</v>
      </c>
      <c r="C77" t="s">
        <v>47</v>
      </c>
      <c r="D77">
        <v>1199471</v>
      </c>
      <c r="E77" t="s">
        <v>86</v>
      </c>
      <c r="F77" t="s">
        <v>21</v>
      </c>
      <c r="G77" t="s">
        <v>186</v>
      </c>
      <c r="H77" t="s">
        <v>187</v>
      </c>
      <c r="I77" t="s">
        <v>258</v>
      </c>
      <c r="J77">
        <v>51158561052</v>
      </c>
      <c r="K77" t="s">
        <v>305</v>
      </c>
      <c r="L77" t="s">
        <v>364</v>
      </c>
      <c r="M77">
        <v>4000</v>
      </c>
      <c r="N77" s="10">
        <v>3.526E-2</v>
      </c>
      <c r="O77" s="10">
        <f t="shared" si="90"/>
        <v>141.04</v>
      </c>
      <c r="P77" s="10" t="s">
        <v>383</v>
      </c>
      <c r="Q77" s="10" t="s">
        <v>383</v>
      </c>
      <c r="R77" s="10" t="str">
        <f>IF(COUNTIF($J$2:J77,J77)=1,SUMIFS($O:$O,$J:$J,J77)+SUMIFS($P:$P,$J:$J,J77)+SUMIFS($Q:$Q,$J:$J,J77),"")</f>
        <v/>
      </c>
      <c r="S77" s="10" t="s">
        <v>383</v>
      </c>
      <c r="T77" s="11" t="str">
        <f>IFERROR(INDEX(AD:AD,MATCH(J77,J:J,0)),"")</f>
        <v>Check</v>
      </c>
      <c r="U77" s="12">
        <v>46158</v>
      </c>
      <c r="V77" s="10">
        <v>811.88</v>
      </c>
      <c r="W77" s="10" t="str">
        <f t="shared" si="91"/>
        <v>N/A</v>
      </c>
      <c r="X77" t="s">
        <v>64</v>
      </c>
      <c r="Y77" t="s">
        <v>34</v>
      </c>
      <c r="Z77">
        <v>100262</v>
      </c>
      <c r="AA77" t="s">
        <v>210</v>
      </c>
      <c r="AB77" t="s">
        <v>72</v>
      </c>
      <c r="AC77" s="9">
        <v>9</v>
      </c>
      <c r="AD77" s="9" t="str">
        <f t="shared" si="92"/>
        <v>N/A</v>
      </c>
      <c r="AE77" s="11" t="e">
        <f t="shared" si="93"/>
        <v>#VALUE!</v>
      </c>
    </row>
    <row r="78" spans="1:31" x14ac:dyDescent="0.3">
      <c r="A78">
        <v>3</v>
      </c>
      <c r="B78">
        <v>4955203</v>
      </c>
      <c r="C78" t="s">
        <v>47</v>
      </c>
      <c r="D78">
        <v>1199471</v>
      </c>
      <c r="E78" t="s">
        <v>86</v>
      </c>
      <c r="F78" t="s">
        <v>21</v>
      </c>
      <c r="G78" t="s">
        <v>186</v>
      </c>
      <c r="H78" t="s">
        <v>187</v>
      </c>
      <c r="I78" t="s">
        <v>258</v>
      </c>
      <c r="J78">
        <v>51158561052</v>
      </c>
      <c r="K78" t="s">
        <v>267</v>
      </c>
      <c r="L78" t="s">
        <v>365</v>
      </c>
      <c r="M78">
        <v>1500</v>
      </c>
      <c r="N78" s="10">
        <v>0.1231</v>
      </c>
      <c r="O78" s="10">
        <f t="shared" si="90"/>
        <v>184.65</v>
      </c>
      <c r="P78" s="10" t="s">
        <v>383</v>
      </c>
      <c r="Q78" s="10" t="s">
        <v>383</v>
      </c>
      <c r="R78" s="10" t="str">
        <f>IF(COUNTIF($J$2:J78,J78)=1,SUMIFS($O:$O,$J:$J,J78)+SUMIFS($P:$P,$J:$J,J78)+SUMIFS($Q:$Q,$J:$J,J78),"")</f>
        <v/>
      </c>
      <c r="S78" s="10" t="s">
        <v>383</v>
      </c>
      <c r="T78" s="11" t="str">
        <f>IFERROR(INDEX(AD:AD,MATCH(J78,J:J,0)),"")</f>
        <v>Check</v>
      </c>
      <c r="U78" s="12">
        <v>46158</v>
      </c>
      <c r="V78" s="10">
        <v>811.88</v>
      </c>
      <c r="W78" s="10" t="str">
        <f t="shared" si="91"/>
        <v>N/A</v>
      </c>
      <c r="X78" t="s">
        <v>64</v>
      </c>
      <c r="Y78" t="s">
        <v>34</v>
      </c>
      <c r="Z78">
        <v>100262</v>
      </c>
      <c r="AA78" t="s">
        <v>210</v>
      </c>
      <c r="AB78" t="s">
        <v>72</v>
      </c>
      <c r="AC78" s="9">
        <v>9</v>
      </c>
      <c r="AD78" s="9" t="str">
        <f t="shared" si="92"/>
        <v>N/A</v>
      </c>
      <c r="AE78" s="11" t="e">
        <f t="shared" si="93"/>
        <v>#VALUE!</v>
      </c>
    </row>
    <row r="79" spans="1:31" x14ac:dyDescent="0.3">
      <c r="A79">
        <v>3</v>
      </c>
      <c r="B79">
        <v>4955203</v>
      </c>
      <c r="C79" t="s">
        <v>47</v>
      </c>
      <c r="D79">
        <v>1199471</v>
      </c>
      <c r="E79" t="s">
        <v>86</v>
      </c>
      <c r="F79" t="s">
        <v>21</v>
      </c>
      <c r="G79" t="s">
        <v>186</v>
      </c>
      <c r="H79" t="s">
        <v>187</v>
      </c>
      <c r="I79" t="s">
        <v>258</v>
      </c>
      <c r="J79">
        <v>51158561052</v>
      </c>
      <c r="K79" t="s">
        <v>236</v>
      </c>
      <c r="L79" t="s">
        <v>366</v>
      </c>
      <c r="M79">
        <v>5000</v>
      </c>
      <c r="N79" s="10">
        <v>2.29E-2</v>
      </c>
      <c r="O79" s="10">
        <f t="shared" si="90"/>
        <v>114.5</v>
      </c>
      <c r="P79" s="10" t="s">
        <v>383</v>
      </c>
      <c r="Q79" s="10" t="s">
        <v>383</v>
      </c>
      <c r="R79" s="10" t="str">
        <f>IF(COUNTIF($J$2:J79,J79)=1,SUMIFS($O:$O,$J:$J,J79)+SUMIFS($P:$P,$J:$J,J79)+SUMIFS($Q:$Q,$J:$J,J79),"")</f>
        <v/>
      </c>
      <c r="S79" s="10" t="s">
        <v>383</v>
      </c>
      <c r="T79" s="11" t="str">
        <f>IFERROR(INDEX(AD:AD,MATCH(J79,J:J,0)),"")</f>
        <v>Check</v>
      </c>
      <c r="U79" s="12">
        <v>46158</v>
      </c>
      <c r="V79" s="10">
        <v>811.88</v>
      </c>
      <c r="W79" s="10" t="str">
        <f t="shared" si="91"/>
        <v>N/A</v>
      </c>
      <c r="X79" t="s">
        <v>64</v>
      </c>
      <c r="Y79" t="s">
        <v>34</v>
      </c>
      <c r="Z79">
        <v>100262</v>
      </c>
      <c r="AA79" t="s">
        <v>210</v>
      </c>
      <c r="AB79" t="s">
        <v>72</v>
      </c>
      <c r="AC79" s="9">
        <v>9</v>
      </c>
      <c r="AD79" s="9" t="str">
        <f t="shared" si="92"/>
        <v>N/A</v>
      </c>
      <c r="AE79" s="11" t="e">
        <f t="shared" si="93"/>
        <v>#VALUE!</v>
      </c>
    </row>
    <row r="80" spans="1:31" x14ac:dyDescent="0.3">
      <c r="A80">
        <v>3</v>
      </c>
      <c r="B80">
        <v>4955203</v>
      </c>
      <c r="C80" t="s">
        <v>47</v>
      </c>
      <c r="D80">
        <v>1199471</v>
      </c>
      <c r="E80" t="s">
        <v>86</v>
      </c>
      <c r="F80" t="s">
        <v>21</v>
      </c>
      <c r="G80" t="s">
        <v>186</v>
      </c>
      <c r="H80" t="s">
        <v>187</v>
      </c>
      <c r="I80" t="s">
        <v>226</v>
      </c>
      <c r="J80">
        <v>51158561052</v>
      </c>
      <c r="K80" t="s">
        <v>269</v>
      </c>
      <c r="L80" t="s">
        <v>285</v>
      </c>
      <c r="M80">
        <v>40000</v>
      </c>
      <c r="N80" s="10">
        <v>2.7E-2</v>
      </c>
      <c r="O80" s="10">
        <f t="shared" si="90"/>
        <v>1080</v>
      </c>
      <c r="P80" s="10" t="s">
        <v>383</v>
      </c>
      <c r="Q80" s="10" t="s">
        <v>383</v>
      </c>
      <c r="R80" s="10" t="str">
        <f>IF(COUNTIF($J$2:J80,J80)=1,SUMIFS($O:$O,$J:$J,J80)+SUMIFS($P:$P,$J:$J,J80)+SUMIFS($Q:$Q,$J:$J,J80),"")</f>
        <v/>
      </c>
      <c r="S80" s="10" t="s">
        <v>383</v>
      </c>
      <c r="T80" s="11" t="str">
        <f>IFERROR(INDEX(AD:AD,MATCH(J80,J:J,0)),"")</f>
        <v>Check</v>
      </c>
      <c r="U80" s="12">
        <v>46158</v>
      </c>
      <c r="V80" s="10">
        <v>811.88</v>
      </c>
      <c r="W80" s="10" t="str">
        <f t="shared" si="91"/>
        <v>N/A</v>
      </c>
      <c r="X80" t="s">
        <v>64</v>
      </c>
      <c r="Y80" t="s">
        <v>34</v>
      </c>
      <c r="Z80">
        <v>100262</v>
      </c>
      <c r="AA80" t="s">
        <v>210</v>
      </c>
      <c r="AB80" t="s">
        <v>72</v>
      </c>
      <c r="AC80" s="9">
        <v>9</v>
      </c>
      <c r="AD80" s="9" t="str">
        <f t="shared" si="92"/>
        <v>N/A</v>
      </c>
      <c r="AE80" s="11" t="e">
        <f t="shared" si="93"/>
        <v>#VALUE!</v>
      </c>
    </row>
    <row r="81" spans="1:31" x14ac:dyDescent="0.3">
      <c r="A81">
        <v>3</v>
      </c>
      <c r="B81">
        <v>4954368</v>
      </c>
      <c r="C81" t="s">
        <v>47</v>
      </c>
      <c r="D81">
        <v>1960172</v>
      </c>
      <c r="E81" t="s">
        <v>85</v>
      </c>
      <c r="F81" t="s">
        <v>23</v>
      </c>
      <c r="G81" t="s">
        <v>138</v>
      </c>
      <c r="H81" t="s">
        <v>139</v>
      </c>
      <c r="I81" t="s">
        <v>222</v>
      </c>
      <c r="J81">
        <v>51158597165</v>
      </c>
      <c r="K81" t="s">
        <v>232</v>
      </c>
      <c r="L81" t="s">
        <v>231</v>
      </c>
      <c r="M81">
        <v>1000</v>
      </c>
      <c r="N81" s="10">
        <v>1.41882</v>
      </c>
      <c r="O81" s="10">
        <f t="shared" si="90"/>
        <v>1418.82</v>
      </c>
      <c r="P81" s="10">
        <v>0</v>
      </c>
      <c r="Q81" s="10">
        <v>0</v>
      </c>
      <c r="R81" s="10">
        <f>IF(COUNTIF($J$2:J81,J81)=1,SUMIFS($O:$O,$J:$J,J81)+SUMIFS($P:$P,$J:$J,J81)+SUMIFS($Q:$Q,$J:$J,J81),"")</f>
        <v>2446.8305</v>
      </c>
      <c r="S81" s="10">
        <v>2446.83</v>
      </c>
      <c r="T81" s="11" t="str">
        <f>IFERROR(INDEX(AD:AD,MATCH(J81,J:J,0)),"")</f>
        <v>Check</v>
      </c>
      <c r="U81" s="12">
        <v>45912</v>
      </c>
      <c r="V81" s="10">
        <v>1028.01</v>
      </c>
      <c r="W81" s="10" t="str">
        <f t="shared" si="91"/>
        <v>Short Paid</v>
      </c>
      <c r="X81" t="s">
        <v>64</v>
      </c>
      <c r="Y81" t="s">
        <v>55</v>
      </c>
      <c r="Z81">
        <v>100132</v>
      </c>
      <c r="AA81" t="s">
        <v>193</v>
      </c>
      <c r="AB81" t="s">
        <v>188</v>
      </c>
      <c r="AC81" s="9">
        <v>2</v>
      </c>
      <c r="AD81" s="9" t="str">
        <f t="shared" si="92"/>
        <v>Check</v>
      </c>
      <c r="AE81" s="11">
        <f t="shared" si="93"/>
        <v>5.0000000010186341E-4</v>
      </c>
    </row>
    <row r="82" spans="1:31" x14ac:dyDescent="0.3">
      <c r="A82">
        <v>3</v>
      </c>
      <c r="B82">
        <v>4954368</v>
      </c>
      <c r="C82" t="s">
        <v>47</v>
      </c>
      <c r="D82">
        <v>1960172</v>
      </c>
      <c r="E82" t="s">
        <v>85</v>
      </c>
      <c r="F82" t="s">
        <v>23</v>
      </c>
      <c r="G82" t="s">
        <v>138</v>
      </c>
      <c r="H82" t="s">
        <v>139</v>
      </c>
      <c r="I82" t="s">
        <v>240</v>
      </c>
      <c r="J82">
        <v>51158597165</v>
      </c>
      <c r="K82" t="s">
        <v>215</v>
      </c>
      <c r="L82" t="s">
        <v>367</v>
      </c>
      <c r="M82">
        <v>11</v>
      </c>
      <c r="N82" s="10">
        <v>93.455500000000001</v>
      </c>
      <c r="O82" s="10">
        <f t="shared" si="90"/>
        <v>1028.0105000000001</v>
      </c>
      <c r="P82" s="10" t="s">
        <v>383</v>
      </c>
      <c r="Q82" s="10" t="s">
        <v>383</v>
      </c>
      <c r="R82" s="10" t="str">
        <f>IF(COUNTIF($J$2:J82,J82)=1,SUMIFS($O:$O,$J:$J,J82)+SUMIFS($P:$P,$J:$J,J82)+SUMIFS($Q:$Q,$J:$J,J82),"")</f>
        <v/>
      </c>
      <c r="S82" s="10" t="s">
        <v>383</v>
      </c>
      <c r="T82" s="11" t="str">
        <f>IFERROR(INDEX(AD:AD,MATCH(J82,J:J,0)),"")</f>
        <v>Check</v>
      </c>
      <c r="U82" s="12">
        <v>45912</v>
      </c>
      <c r="V82" s="10">
        <v>1028.01</v>
      </c>
      <c r="W82" s="10" t="str">
        <f t="shared" si="91"/>
        <v>N/A</v>
      </c>
      <c r="X82" t="s">
        <v>64</v>
      </c>
      <c r="Y82" t="s">
        <v>55</v>
      </c>
      <c r="Z82">
        <v>100132</v>
      </c>
      <c r="AA82" t="s">
        <v>193</v>
      </c>
      <c r="AB82" t="s">
        <v>188</v>
      </c>
      <c r="AC82" s="9">
        <v>2</v>
      </c>
      <c r="AD82" s="9" t="str">
        <f t="shared" si="92"/>
        <v>N/A</v>
      </c>
      <c r="AE82" s="11" t="e">
        <f t="shared" si="93"/>
        <v>#VALUE!</v>
      </c>
    </row>
    <row r="83" spans="1:31" x14ac:dyDescent="0.3">
      <c r="A83">
        <v>3</v>
      </c>
      <c r="B83">
        <v>4957708</v>
      </c>
      <c r="C83" t="s">
        <v>47</v>
      </c>
      <c r="D83">
        <v>1276402</v>
      </c>
      <c r="E83" t="s">
        <v>77</v>
      </c>
      <c r="F83" t="s">
        <v>23</v>
      </c>
      <c r="G83" t="s">
        <v>185</v>
      </c>
      <c r="H83" t="s">
        <v>140</v>
      </c>
      <c r="I83" t="s">
        <v>238</v>
      </c>
      <c r="J83">
        <v>51161274633</v>
      </c>
      <c r="K83" t="s">
        <v>237</v>
      </c>
      <c r="L83" t="s">
        <v>368</v>
      </c>
      <c r="M83">
        <v>135000</v>
      </c>
      <c r="N83" s="10">
        <v>4.1000000000000003E-3</v>
      </c>
      <c r="O83" s="10">
        <f t="shared" ref="O83:O84" si="94">M83*N83</f>
        <v>553.5</v>
      </c>
      <c r="P83" s="10">
        <v>71.959999999999994</v>
      </c>
      <c r="Q83" s="10">
        <v>0</v>
      </c>
      <c r="R83" s="10">
        <f>IF(COUNTIF($J$2:J83,J83)=1,SUMIFS($O:$O,$J:$J,J83)+SUMIFS($P:$P,$J:$J,J83)+SUMIFS($Q:$Q,$J:$J,J83),"")</f>
        <v>781.46</v>
      </c>
      <c r="S83" s="10">
        <v>781.46</v>
      </c>
      <c r="T83" s="11" t="str">
        <f>IFERROR(INDEX(AD:AD,MATCH(J83,J:J,0)),"")</f>
        <v>Ok</v>
      </c>
      <c r="U83" s="12">
        <v>45678</v>
      </c>
      <c r="V83" s="10">
        <v>156</v>
      </c>
      <c r="W83" s="10" t="str">
        <f t="shared" ref="W83:W84" si="95">IF(OR(S83="",V83=""),"N/A",IF(S83&lt;&gt;V83,"Short Paid","Not Paid"))</f>
        <v>Short Paid</v>
      </c>
      <c r="X83" t="s">
        <v>64</v>
      </c>
      <c r="Y83" t="s">
        <v>55</v>
      </c>
      <c r="Z83">
        <v>100172</v>
      </c>
      <c r="AA83" t="s">
        <v>209</v>
      </c>
      <c r="AB83" t="s">
        <v>188</v>
      </c>
      <c r="AC83" s="9">
        <v>2</v>
      </c>
      <c r="AD83" s="9" t="str">
        <f t="shared" ref="AD83:AD84" si="96">IF(AND(R83="",S83=""),"N/A",IF(R83=S83,"Ok","Check"))</f>
        <v>Ok</v>
      </c>
      <c r="AE83" s="11">
        <f t="shared" ref="AE83:AE84" si="97">R83-S83</f>
        <v>0</v>
      </c>
    </row>
    <row r="84" spans="1:31" x14ac:dyDescent="0.3">
      <c r="A84">
        <v>3</v>
      </c>
      <c r="B84">
        <v>4957708</v>
      </c>
      <c r="C84" t="s">
        <v>47</v>
      </c>
      <c r="D84">
        <v>1276402</v>
      </c>
      <c r="E84" t="s">
        <v>77</v>
      </c>
      <c r="F84" t="s">
        <v>23</v>
      </c>
      <c r="G84" t="s">
        <v>185</v>
      </c>
      <c r="H84" t="s">
        <v>140</v>
      </c>
      <c r="I84" t="s">
        <v>286</v>
      </c>
      <c r="J84">
        <v>51161274633</v>
      </c>
      <c r="K84" t="s">
        <v>331</v>
      </c>
      <c r="L84" t="s">
        <v>330</v>
      </c>
      <c r="M84">
        <v>6</v>
      </c>
      <c r="N84" s="10">
        <v>26</v>
      </c>
      <c r="O84" s="10">
        <f t="shared" si="94"/>
        <v>156</v>
      </c>
      <c r="P84" s="10" t="s">
        <v>383</v>
      </c>
      <c r="Q84" s="10" t="s">
        <v>383</v>
      </c>
      <c r="R84" s="10" t="str">
        <f>IF(COUNTIF($J$2:J84,J84)=1,SUMIFS($O:$O,$J:$J,J84)+SUMIFS($P:$P,$J:$J,J84)+SUMIFS($Q:$Q,$J:$J,J84),"")</f>
        <v/>
      </c>
      <c r="S84" s="10" t="s">
        <v>383</v>
      </c>
      <c r="T84" s="11" t="str">
        <f>IFERROR(INDEX(AD:AD,MATCH(J84,J:J,0)),"")</f>
        <v>Ok</v>
      </c>
      <c r="U84" s="12">
        <v>45678</v>
      </c>
      <c r="V84" s="10">
        <v>156</v>
      </c>
      <c r="W84" s="10" t="str">
        <f t="shared" si="95"/>
        <v>N/A</v>
      </c>
      <c r="X84" t="s">
        <v>64</v>
      </c>
      <c r="Y84" t="s">
        <v>55</v>
      </c>
      <c r="Z84">
        <v>100172</v>
      </c>
      <c r="AA84" t="s">
        <v>209</v>
      </c>
      <c r="AB84" t="s">
        <v>188</v>
      </c>
      <c r="AC84" s="9">
        <v>2</v>
      </c>
      <c r="AD84" s="9" t="str">
        <f t="shared" si="96"/>
        <v>N/A</v>
      </c>
      <c r="AE84" s="11" t="e">
        <f t="shared" si="97"/>
        <v>#VALUE!</v>
      </c>
    </row>
    <row r="85" spans="1:31" x14ac:dyDescent="0.3">
      <c r="A85">
        <v>127</v>
      </c>
      <c r="B85">
        <v>4434891</v>
      </c>
      <c r="C85" t="s">
        <v>47</v>
      </c>
      <c r="D85">
        <v>1560151</v>
      </c>
      <c r="E85" t="s">
        <v>48</v>
      </c>
      <c r="F85" t="s">
        <v>20</v>
      </c>
      <c r="G85" t="s">
        <v>155</v>
      </c>
      <c r="H85" t="s">
        <v>156</v>
      </c>
      <c r="I85" t="s">
        <v>260</v>
      </c>
      <c r="J85">
        <v>51163018421</v>
      </c>
      <c r="K85" t="s">
        <v>314</v>
      </c>
      <c r="L85" t="s">
        <v>369</v>
      </c>
      <c r="M85">
        <v>54</v>
      </c>
      <c r="N85" s="10">
        <v>29.12</v>
      </c>
      <c r="O85" s="10">
        <f t="shared" ref="O85:O92" si="98">M85*N85</f>
        <v>1572.48</v>
      </c>
      <c r="P85" s="10">
        <v>0</v>
      </c>
      <c r="Q85" s="10">
        <v>0</v>
      </c>
      <c r="R85" s="10">
        <f>IF(COUNTIF($J$2:J85,J85)=1,SUMIFS($O:$O,$J:$J,J85)+SUMIFS($P:$P,$J:$J,J85)+SUMIFS($Q:$Q,$J:$J,J85),"")</f>
        <v>9350.4</v>
      </c>
      <c r="S85" s="10">
        <v>9700.4</v>
      </c>
      <c r="T85" s="11" t="str">
        <f>IFERROR(INDEX(AD:AD,MATCH(J85,J:J,0)),"")</f>
        <v>Check</v>
      </c>
      <c r="U85" s="12">
        <v>45436</v>
      </c>
      <c r="V85" s="10">
        <v>9700.4</v>
      </c>
      <c r="W85" s="10" t="str">
        <f t="shared" ref="W85:W92" si="99">IF(OR(S85="",V85=""),"N/A",IF(S85&lt;&gt;V85,"Short Paid","Not Paid"))</f>
        <v>Not Paid</v>
      </c>
      <c r="X85" t="s">
        <v>64</v>
      </c>
      <c r="Y85" t="s">
        <v>24</v>
      </c>
      <c r="Z85">
        <v>100202</v>
      </c>
      <c r="AA85" t="s">
        <v>201</v>
      </c>
      <c r="AB85" t="s">
        <v>71</v>
      </c>
      <c r="AC85" s="9">
        <v>3</v>
      </c>
      <c r="AD85" s="9" t="str">
        <f t="shared" ref="AD85:AD92" si="100">IF(AND(R85="",S85=""),"N/A",IF(R85=S85,"Ok","Check"))</f>
        <v>Check</v>
      </c>
      <c r="AE85" s="11">
        <f t="shared" ref="AE85:AE92" si="101">R85-S85</f>
        <v>-350</v>
      </c>
    </row>
    <row r="86" spans="1:31" x14ac:dyDescent="0.3">
      <c r="A86">
        <v>127</v>
      </c>
      <c r="B86">
        <v>4434891</v>
      </c>
      <c r="C86" t="s">
        <v>47</v>
      </c>
      <c r="D86">
        <v>1560151</v>
      </c>
      <c r="E86" t="s">
        <v>48</v>
      </c>
      <c r="F86" t="s">
        <v>20</v>
      </c>
      <c r="G86" t="s">
        <v>155</v>
      </c>
      <c r="H86" t="s">
        <v>156</v>
      </c>
      <c r="I86" t="s">
        <v>260</v>
      </c>
      <c r="J86">
        <v>51163018421</v>
      </c>
      <c r="K86" t="s">
        <v>314</v>
      </c>
      <c r="L86" t="s">
        <v>370</v>
      </c>
      <c r="M86">
        <v>1</v>
      </c>
      <c r="N86" s="10">
        <v>4400</v>
      </c>
      <c r="O86" s="10">
        <f t="shared" si="98"/>
        <v>4400</v>
      </c>
      <c r="P86" s="10" t="s">
        <v>383</v>
      </c>
      <c r="Q86" s="10" t="s">
        <v>383</v>
      </c>
      <c r="R86" s="10" t="str">
        <f>IF(COUNTIF($J$2:J86,J86)=1,SUMIFS($O:$O,$J:$J,J86)+SUMIFS($P:$P,$J:$J,J86)+SUMIFS($Q:$Q,$J:$J,J86),"")</f>
        <v/>
      </c>
      <c r="S86" s="10" t="s">
        <v>383</v>
      </c>
      <c r="T86" s="11" t="str">
        <f>IFERROR(INDEX(AD:AD,MATCH(J86,J:J,0)),"")</f>
        <v>Check</v>
      </c>
      <c r="U86" s="12">
        <v>45436</v>
      </c>
      <c r="V86" s="10">
        <v>9700.4</v>
      </c>
      <c r="W86" s="10" t="str">
        <f t="shared" si="99"/>
        <v>N/A</v>
      </c>
      <c r="X86" t="s">
        <v>64</v>
      </c>
      <c r="Y86" t="s">
        <v>24</v>
      </c>
      <c r="Z86">
        <v>100202</v>
      </c>
      <c r="AA86" t="s">
        <v>201</v>
      </c>
      <c r="AB86" t="s">
        <v>71</v>
      </c>
      <c r="AC86" s="9">
        <v>3</v>
      </c>
      <c r="AD86" s="9" t="str">
        <f t="shared" si="100"/>
        <v>N/A</v>
      </c>
      <c r="AE86" s="11" t="e">
        <f t="shared" si="101"/>
        <v>#VALUE!</v>
      </c>
    </row>
    <row r="87" spans="1:31" x14ac:dyDescent="0.3">
      <c r="A87">
        <v>127</v>
      </c>
      <c r="B87">
        <v>4434891</v>
      </c>
      <c r="C87" t="s">
        <v>47</v>
      </c>
      <c r="D87">
        <v>1560151</v>
      </c>
      <c r="E87" t="s">
        <v>48</v>
      </c>
      <c r="F87" t="s">
        <v>20</v>
      </c>
      <c r="G87" t="s">
        <v>155</v>
      </c>
      <c r="H87" t="s">
        <v>156</v>
      </c>
      <c r="I87" t="s">
        <v>260</v>
      </c>
      <c r="J87">
        <v>51163018421</v>
      </c>
      <c r="K87" t="s">
        <v>314</v>
      </c>
      <c r="L87" t="s">
        <v>371</v>
      </c>
      <c r="M87">
        <v>116</v>
      </c>
      <c r="N87" s="10">
        <v>29.12</v>
      </c>
      <c r="O87" s="10">
        <f t="shared" si="98"/>
        <v>3377.92</v>
      </c>
      <c r="P87" s="10" t="s">
        <v>383</v>
      </c>
      <c r="Q87" s="10" t="s">
        <v>383</v>
      </c>
      <c r="R87" s="10" t="str">
        <f>IF(COUNTIF($J$2:J87,J87)=1,SUMIFS($O:$O,$J:$J,J87)+SUMIFS($P:$P,$J:$J,J87)+SUMIFS($Q:$Q,$J:$J,J87),"")</f>
        <v/>
      </c>
      <c r="S87" s="10" t="s">
        <v>383</v>
      </c>
      <c r="T87" s="11" t="str">
        <f>IFERROR(INDEX(AD:AD,MATCH(J87,J:J,0)),"")</f>
        <v>Check</v>
      </c>
      <c r="U87" s="12">
        <v>45436</v>
      </c>
      <c r="V87" s="10">
        <v>9700.4</v>
      </c>
      <c r="W87" s="10" t="str">
        <f t="shared" si="99"/>
        <v>N/A</v>
      </c>
      <c r="X87" t="s">
        <v>64</v>
      </c>
      <c r="Y87" t="s">
        <v>24</v>
      </c>
      <c r="Z87">
        <v>100202</v>
      </c>
      <c r="AA87" t="s">
        <v>201</v>
      </c>
      <c r="AB87" t="s">
        <v>71</v>
      </c>
      <c r="AC87" s="9">
        <v>3</v>
      </c>
      <c r="AD87" s="9" t="str">
        <f t="shared" si="100"/>
        <v>N/A</v>
      </c>
      <c r="AE87" s="11" t="e">
        <f t="shared" si="101"/>
        <v>#VALUE!</v>
      </c>
    </row>
    <row r="88" spans="1:31" x14ac:dyDescent="0.3">
      <c r="A88">
        <v>127</v>
      </c>
      <c r="B88">
        <v>4434741</v>
      </c>
      <c r="C88" t="s">
        <v>47</v>
      </c>
      <c r="D88">
        <v>1560151</v>
      </c>
      <c r="E88" t="s">
        <v>48</v>
      </c>
      <c r="F88" t="s">
        <v>20</v>
      </c>
      <c r="G88" t="s">
        <v>159</v>
      </c>
      <c r="H88" t="s">
        <v>160</v>
      </c>
      <c r="I88" t="s">
        <v>252</v>
      </c>
      <c r="J88">
        <v>51163921586</v>
      </c>
      <c r="K88" t="s">
        <v>314</v>
      </c>
      <c r="L88" t="s">
        <v>372</v>
      </c>
      <c r="M88">
        <v>49</v>
      </c>
      <c r="N88" s="10">
        <v>36.06</v>
      </c>
      <c r="O88" s="10">
        <f t="shared" si="98"/>
        <v>1766.94</v>
      </c>
      <c r="P88" s="10">
        <v>0</v>
      </c>
      <c r="Q88" s="10">
        <v>0</v>
      </c>
      <c r="R88" s="10">
        <f>IF(COUNTIF($J$2:J88,J88)=1,SUMIFS($O:$O,$J:$J,J88)+SUMIFS($P:$P,$J:$J,J88)+SUMIFS($Q:$Q,$J:$J,J88),"")</f>
        <v>6527.5400000000009</v>
      </c>
      <c r="S88" s="10">
        <v>6527.54</v>
      </c>
      <c r="T88" s="11" t="str">
        <f>IFERROR(INDEX(AD:AD,MATCH(J88,J:J,0)),"")</f>
        <v>Ok</v>
      </c>
      <c r="U88" s="12">
        <v>45931</v>
      </c>
      <c r="V88" s="10">
        <v>6527.54</v>
      </c>
      <c r="W88" s="10" t="str">
        <f t="shared" si="99"/>
        <v>Not Paid</v>
      </c>
      <c r="X88" t="s">
        <v>64</v>
      </c>
      <c r="Y88" t="s">
        <v>24</v>
      </c>
      <c r="Z88">
        <v>100112</v>
      </c>
      <c r="AA88" t="s">
        <v>65</v>
      </c>
      <c r="AB88" t="s">
        <v>71</v>
      </c>
      <c r="AC88" s="9">
        <v>3</v>
      </c>
      <c r="AD88" s="9" t="str">
        <f t="shared" si="100"/>
        <v>Ok</v>
      </c>
      <c r="AE88" s="11">
        <f t="shared" si="101"/>
        <v>0</v>
      </c>
    </row>
    <row r="89" spans="1:31" x14ac:dyDescent="0.3">
      <c r="A89">
        <v>127</v>
      </c>
      <c r="B89">
        <v>4434741</v>
      </c>
      <c r="C89" t="s">
        <v>47</v>
      </c>
      <c r="D89">
        <v>1560151</v>
      </c>
      <c r="E89" t="s">
        <v>48</v>
      </c>
      <c r="F89" t="s">
        <v>20</v>
      </c>
      <c r="G89" t="s">
        <v>159</v>
      </c>
      <c r="H89" t="s">
        <v>160</v>
      </c>
      <c r="I89" t="s">
        <v>252</v>
      </c>
      <c r="J89">
        <v>51163921586</v>
      </c>
      <c r="K89" t="s">
        <v>314</v>
      </c>
      <c r="L89" t="s">
        <v>373</v>
      </c>
      <c r="M89">
        <v>1</v>
      </c>
      <c r="N89" s="10">
        <v>4400</v>
      </c>
      <c r="O89" s="10">
        <f t="shared" si="98"/>
        <v>4400</v>
      </c>
      <c r="P89" s="10" t="s">
        <v>383</v>
      </c>
      <c r="Q89" s="10" t="s">
        <v>383</v>
      </c>
      <c r="R89" s="10" t="str">
        <f>IF(COUNTIF($J$2:J89,J89)=1,SUMIFS($O:$O,$J:$J,J89)+SUMIFS($P:$P,$J:$J,J89)+SUMIFS($Q:$Q,$J:$J,J89),"")</f>
        <v/>
      </c>
      <c r="S89" s="10" t="s">
        <v>383</v>
      </c>
      <c r="T89" s="11" t="str">
        <f>IFERROR(INDEX(AD:AD,MATCH(J89,J:J,0)),"")</f>
        <v>Ok</v>
      </c>
      <c r="U89" s="12">
        <v>45931</v>
      </c>
      <c r="V89" s="10">
        <v>6527.54</v>
      </c>
      <c r="W89" s="10" t="str">
        <f t="shared" si="99"/>
        <v>N/A</v>
      </c>
      <c r="X89" t="s">
        <v>64</v>
      </c>
      <c r="Y89" t="s">
        <v>24</v>
      </c>
      <c r="Z89">
        <v>100112</v>
      </c>
      <c r="AA89" t="s">
        <v>65</v>
      </c>
      <c r="AB89" t="s">
        <v>71</v>
      </c>
      <c r="AC89" s="9">
        <v>3</v>
      </c>
      <c r="AD89" s="9" t="str">
        <f t="shared" si="100"/>
        <v>N/A</v>
      </c>
      <c r="AE89" s="11" t="e">
        <f t="shared" si="101"/>
        <v>#VALUE!</v>
      </c>
    </row>
    <row r="90" spans="1:31" x14ac:dyDescent="0.3">
      <c r="A90">
        <v>127</v>
      </c>
      <c r="B90">
        <v>4434741</v>
      </c>
      <c r="C90" t="s">
        <v>47</v>
      </c>
      <c r="D90">
        <v>1560151</v>
      </c>
      <c r="E90" t="s">
        <v>48</v>
      </c>
      <c r="F90" t="s">
        <v>20</v>
      </c>
      <c r="G90" t="s">
        <v>159</v>
      </c>
      <c r="H90" t="s">
        <v>160</v>
      </c>
      <c r="I90" t="s">
        <v>252</v>
      </c>
      <c r="J90">
        <v>51163921586</v>
      </c>
      <c r="K90" t="s">
        <v>314</v>
      </c>
      <c r="L90" t="s">
        <v>374</v>
      </c>
      <c r="M90">
        <v>10</v>
      </c>
      <c r="N90" s="10">
        <v>36.06</v>
      </c>
      <c r="O90" s="10">
        <f t="shared" si="98"/>
        <v>360.6</v>
      </c>
      <c r="P90" s="10" t="s">
        <v>383</v>
      </c>
      <c r="Q90" s="10" t="s">
        <v>383</v>
      </c>
      <c r="R90" s="10" t="str">
        <f>IF(COUNTIF($J$2:J90,J90)=1,SUMIFS($O:$O,$J:$J,J90)+SUMIFS($P:$P,$J:$J,J90)+SUMIFS($Q:$Q,$J:$J,J90),"")</f>
        <v/>
      </c>
      <c r="S90" s="10" t="s">
        <v>383</v>
      </c>
      <c r="T90" s="11" t="str">
        <f>IFERROR(INDEX(AD:AD,MATCH(J90,J:J,0)),"")</f>
        <v>Ok</v>
      </c>
      <c r="U90" s="12">
        <v>45931</v>
      </c>
      <c r="V90" s="10">
        <v>6527.54</v>
      </c>
      <c r="W90" s="10" t="str">
        <f t="shared" si="99"/>
        <v>N/A</v>
      </c>
      <c r="X90" t="s">
        <v>64</v>
      </c>
      <c r="Y90" t="s">
        <v>24</v>
      </c>
      <c r="Z90">
        <v>100112</v>
      </c>
      <c r="AA90" t="s">
        <v>65</v>
      </c>
      <c r="AB90" t="s">
        <v>71</v>
      </c>
      <c r="AC90" s="9">
        <v>3</v>
      </c>
      <c r="AD90" s="9" t="str">
        <f t="shared" si="100"/>
        <v>N/A</v>
      </c>
      <c r="AE90" s="11" t="e">
        <f t="shared" si="101"/>
        <v>#VALUE!</v>
      </c>
    </row>
    <row r="91" spans="1:31" x14ac:dyDescent="0.3">
      <c r="A91">
        <v>127</v>
      </c>
      <c r="B91">
        <v>4434751</v>
      </c>
      <c r="C91" t="s">
        <v>47</v>
      </c>
      <c r="D91">
        <v>1560151</v>
      </c>
      <c r="E91" t="s">
        <v>48</v>
      </c>
      <c r="F91" t="s">
        <v>20</v>
      </c>
      <c r="G91" t="s">
        <v>157</v>
      </c>
      <c r="H91" t="s">
        <v>158</v>
      </c>
      <c r="I91" t="s">
        <v>242</v>
      </c>
      <c r="J91">
        <v>51163921599</v>
      </c>
      <c r="K91" t="s">
        <v>314</v>
      </c>
      <c r="L91" t="s">
        <v>375</v>
      </c>
      <c r="M91">
        <v>54</v>
      </c>
      <c r="N91" s="10">
        <v>44.93</v>
      </c>
      <c r="O91" s="10">
        <f t="shared" si="98"/>
        <v>2426.2199999999998</v>
      </c>
      <c r="P91" s="10">
        <v>0</v>
      </c>
      <c r="Q91" s="10">
        <v>0</v>
      </c>
      <c r="R91" s="10">
        <f>IF(COUNTIF($J$2:J91,J91)=1,SUMIFS($O:$O,$J:$J,J91)+SUMIFS($P:$P,$J:$J,J91)+SUMIFS($Q:$Q,$J:$J,J91),"")</f>
        <v>2776.22</v>
      </c>
      <c r="S91" s="10">
        <v>2926.22</v>
      </c>
      <c r="T91" s="11" t="str">
        <f>IFERROR(INDEX(AD:AD,MATCH(J91,J:J,0)),"")</f>
        <v>Check</v>
      </c>
      <c r="U91" s="12">
        <v>45734</v>
      </c>
      <c r="V91" s="10">
        <v>2926.22</v>
      </c>
      <c r="W91" s="10" t="str">
        <f t="shared" si="99"/>
        <v>Not Paid</v>
      </c>
      <c r="X91" t="s">
        <v>64</v>
      </c>
      <c r="Y91" t="s">
        <v>24</v>
      </c>
      <c r="Z91">
        <v>100242</v>
      </c>
      <c r="AA91" t="s">
        <v>197</v>
      </c>
      <c r="AB91" t="s">
        <v>71</v>
      </c>
      <c r="AC91" s="9">
        <v>2</v>
      </c>
      <c r="AD91" s="9" t="str">
        <f t="shared" si="100"/>
        <v>Check</v>
      </c>
      <c r="AE91" s="11">
        <f t="shared" si="101"/>
        <v>-150</v>
      </c>
    </row>
    <row r="92" spans="1:31" x14ac:dyDescent="0.3">
      <c r="A92">
        <v>127</v>
      </c>
      <c r="B92">
        <v>4434751</v>
      </c>
      <c r="C92" t="s">
        <v>47</v>
      </c>
      <c r="D92">
        <v>1560151</v>
      </c>
      <c r="E92" t="s">
        <v>48</v>
      </c>
      <c r="F92" t="s">
        <v>20</v>
      </c>
      <c r="G92" t="s">
        <v>157</v>
      </c>
      <c r="H92" t="s">
        <v>158</v>
      </c>
      <c r="I92" t="s">
        <v>242</v>
      </c>
      <c r="J92">
        <v>51163921599</v>
      </c>
      <c r="K92" t="s">
        <v>314</v>
      </c>
      <c r="L92" t="s">
        <v>376</v>
      </c>
      <c r="M92">
        <v>1</v>
      </c>
      <c r="N92" s="10">
        <v>350</v>
      </c>
      <c r="O92" s="10">
        <f t="shared" si="98"/>
        <v>350</v>
      </c>
      <c r="P92" s="10" t="s">
        <v>383</v>
      </c>
      <c r="Q92" s="10" t="s">
        <v>383</v>
      </c>
      <c r="R92" s="10" t="str">
        <f>IF(COUNTIF($J$2:J92,J92)=1,SUMIFS($O:$O,$J:$J,J92)+SUMIFS($P:$P,$J:$J,J92)+SUMIFS($Q:$Q,$J:$J,J92),"")</f>
        <v/>
      </c>
      <c r="S92" s="10" t="s">
        <v>383</v>
      </c>
      <c r="T92" s="11" t="str">
        <f>IFERROR(INDEX(AD:AD,MATCH(J92,J:J,0)),"")</f>
        <v>Check</v>
      </c>
      <c r="U92" s="12">
        <v>45734</v>
      </c>
      <c r="V92" s="10">
        <v>2926.22</v>
      </c>
      <c r="W92" s="10" t="str">
        <f t="shared" si="99"/>
        <v>N/A</v>
      </c>
      <c r="X92" t="s">
        <v>64</v>
      </c>
      <c r="Y92" t="s">
        <v>24</v>
      </c>
      <c r="Z92">
        <v>100242</v>
      </c>
      <c r="AA92" t="s">
        <v>197</v>
      </c>
      <c r="AB92" t="s">
        <v>71</v>
      </c>
      <c r="AC92" s="9">
        <v>2</v>
      </c>
      <c r="AD92" s="9" t="str">
        <f t="shared" si="100"/>
        <v>N/A</v>
      </c>
      <c r="AE92" s="11" t="e">
        <f t="shared" si="101"/>
        <v>#VALUE!</v>
      </c>
    </row>
    <row r="93" spans="1:31" x14ac:dyDescent="0.3">
      <c r="AD93" s="16"/>
      <c r="AE93" s="11"/>
    </row>
    <row r="94" spans="1:31" x14ac:dyDescent="0.3">
      <c r="AD94" s="16"/>
      <c r="AE94" s="11"/>
    </row>
    <row r="95" spans="1:31" x14ac:dyDescent="0.3">
      <c r="AD95" s="16"/>
      <c r="AE95" s="11"/>
    </row>
    <row r="96" spans="1:31" x14ac:dyDescent="0.3">
      <c r="AD96" s="16"/>
      <c r="AE96" s="11"/>
    </row>
    <row r="97" spans="30:31" x14ac:dyDescent="0.3">
      <c r="AD97" s="16"/>
      <c r="AE97" s="11"/>
    </row>
    <row r="98" spans="30:31" x14ac:dyDescent="0.3">
      <c r="AD98" s="16"/>
      <c r="AE98" s="11"/>
    </row>
    <row r="99" spans="30:31" x14ac:dyDescent="0.3">
      <c r="AD99" s="16"/>
      <c r="AE99" s="11"/>
    </row>
    <row r="100" spans="30:31" x14ac:dyDescent="0.3">
      <c r="AD100" s="16"/>
      <c r="AE100" s="11"/>
    </row>
    <row r="101" spans="30:31" x14ac:dyDescent="0.3">
      <c r="AD101" s="16"/>
      <c r="AE101" s="11"/>
    </row>
    <row r="102" spans="30:31" x14ac:dyDescent="0.3">
      <c r="AD102" s="16"/>
      <c r="AE102" s="11"/>
    </row>
    <row r="103" spans="30:31" x14ac:dyDescent="0.3">
      <c r="AD103" s="16"/>
      <c r="AE103" s="11"/>
    </row>
    <row r="104" spans="30:31" x14ac:dyDescent="0.3">
      <c r="AD104" s="16"/>
      <c r="AE104" s="11"/>
    </row>
    <row r="105" spans="30:31" x14ac:dyDescent="0.3">
      <c r="AD105" s="16"/>
      <c r="AE105" s="11"/>
    </row>
    <row r="106" spans="30:31" x14ac:dyDescent="0.3">
      <c r="AD106" s="16"/>
      <c r="AE106" s="11"/>
    </row>
    <row r="107" spans="30:31" x14ac:dyDescent="0.3">
      <c r="AD107" s="16"/>
      <c r="AE107" s="11"/>
    </row>
    <row r="108" spans="30:31" x14ac:dyDescent="0.3">
      <c r="AD108" s="16"/>
      <c r="AE108" s="11"/>
    </row>
    <row r="109" spans="30:31" x14ac:dyDescent="0.3">
      <c r="AD109" s="16"/>
      <c r="AE109" s="11"/>
    </row>
    <row r="110" spans="30:31" x14ac:dyDescent="0.3">
      <c r="AD110" s="16"/>
      <c r="AE110" s="11"/>
    </row>
    <row r="111" spans="30:31" x14ac:dyDescent="0.3">
      <c r="AD111" s="16"/>
      <c r="AE111" s="11"/>
    </row>
    <row r="112" spans="30:31" x14ac:dyDescent="0.3">
      <c r="AD112" s="16"/>
      <c r="AE112" s="11"/>
    </row>
    <row r="113" spans="30:31" x14ac:dyDescent="0.3">
      <c r="AD113" s="16"/>
      <c r="AE113" s="11"/>
    </row>
    <row r="114" spans="30:31" x14ac:dyDescent="0.3">
      <c r="AD114" s="16"/>
      <c r="AE114" s="11"/>
    </row>
    <row r="115" spans="30:31" x14ac:dyDescent="0.3">
      <c r="AD115" s="16"/>
      <c r="AE115" s="11"/>
    </row>
    <row r="116" spans="30:31" x14ac:dyDescent="0.3">
      <c r="AD116" s="16"/>
      <c r="AE116" s="11"/>
    </row>
    <row r="117" spans="30:31" x14ac:dyDescent="0.3">
      <c r="AD117" s="16"/>
      <c r="AE117" s="11"/>
    </row>
    <row r="118" spans="30:31" x14ac:dyDescent="0.3">
      <c r="AD118" s="16"/>
      <c r="AE118" s="11"/>
    </row>
    <row r="119" spans="30:31" x14ac:dyDescent="0.3">
      <c r="AD119" s="16"/>
      <c r="AE119" s="11"/>
    </row>
    <row r="120" spans="30:31" x14ac:dyDescent="0.3">
      <c r="AD120" s="16"/>
      <c r="AE120" s="11"/>
    </row>
    <row r="121" spans="30:31" x14ac:dyDescent="0.3">
      <c r="AD121" s="16"/>
      <c r="AE121" s="11"/>
    </row>
    <row r="122" spans="30:31" x14ac:dyDescent="0.3">
      <c r="AD122" s="16"/>
      <c r="AE122" s="11"/>
    </row>
    <row r="123" spans="30:31" x14ac:dyDescent="0.3">
      <c r="AD123" s="16"/>
      <c r="AE123" s="11"/>
    </row>
    <row r="124" spans="30:31" x14ac:dyDescent="0.3">
      <c r="AD124" s="16"/>
      <c r="AE124" s="11"/>
    </row>
    <row r="125" spans="30:31" x14ac:dyDescent="0.3">
      <c r="AD125" s="16"/>
      <c r="AE125" s="11"/>
    </row>
    <row r="126" spans="30:31" x14ac:dyDescent="0.3">
      <c r="AD126" s="16"/>
      <c r="AE126" s="11"/>
    </row>
    <row r="127" spans="30:31" x14ac:dyDescent="0.3">
      <c r="AD127" s="16"/>
      <c r="AE127" s="11"/>
    </row>
    <row r="128" spans="30:31" x14ac:dyDescent="0.3">
      <c r="AD128" s="16"/>
      <c r="AE128" s="11"/>
    </row>
    <row r="129" spans="30:31" x14ac:dyDescent="0.3">
      <c r="AD129" s="16"/>
      <c r="AE129" s="11"/>
    </row>
    <row r="130" spans="30:31" x14ac:dyDescent="0.3">
      <c r="AD130" s="16"/>
      <c r="AE130" s="11"/>
    </row>
    <row r="131" spans="30:31" x14ac:dyDescent="0.3">
      <c r="AD131" s="16"/>
      <c r="AE131" s="11"/>
    </row>
    <row r="132" spans="30:31" x14ac:dyDescent="0.3">
      <c r="AD132" s="16"/>
      <c r="AE132" s="11"/>
    </row>
    <row r="133" spans="30:31" x14ac:dyDescent="0.3">
      <c r="AD133" s="16"/>
      <c r="AE133" s="11"/>
    </row>
    <row r="134" spans="30:31" x14ac:dyDescent="0.3">
      <c r="AD134" s="16"/>
      <c r="AE134" s="11"/>
    </row>
    <row r="135" spans="30:31" x14ac:dyDescent="0.3">
      <c r="AD135" s="16"/>
      <c r="AE135" s="11"/>
    </row>
    <row r="136" spans="30:31" x14ac:dyDescent="0.3">
      <c r="AD136" s="16"/>
      <c r="AE136" s="11"/>
    </row>
    <row r="137" spans="30:31" x14ac:dyDescent="0.3">
      <c r="AD137" s="16"/>
      <c r="AE137" s="11"/>
    </row>
    <row r="138" spans="30:31" x14ac:dyDescent="0.3">
      <c r="AD138" s="16"/>
      <c r="AE138" s="11"/>
    </row>
    <row r="139" spans="30:31" x14ac:dyDescent="0.3">
      <c r="AD139" s="16"/>
      <c r="AE139" s="11"/>
    </row>
    <row r="140" spans="30:31" x14ac:dyDescent="0.3">
      <c r="AD140" s="16"/>
      <c r="AE140" s="11"/>
    </row>
    <row r="141" spans="30:31" x14ac:dyDescent="0.3">
      <c r="AD141" s="16"/>
      <c r="AE141" s="11"/>
    </row>
    <row r="142" spans="30:31" x14ac:dyDescent="0.3">
      <c r="AD142" s="16"/>
      <c r="AE142" s="11"/>
    </row>
    <row r="143" spans="30:31" x14ac:dyDescent="0.3">
      <c r="AD143" s="16"/>
      <c r="AE143" s="11"/>
    </row>
    <row r="144" spans="30:31" x14ac:dyDescent="0.3">
      <c r="AD144" s="16"/>
      <c r="AE144" s="11"/>
    </row>
    <row r="145" spans="30:31" x14ac:dyDescent="0.3">
      <c r="AD145" s="16"/>
      <c r="AE145" s="11"/>
    </row>
    <row r="146" spans="30:31" x14ac:dyDescent="0.3">
      <c r="AD146" s="16"/>
      <c r="AE146" s="11"/>
    </row>
    <row r="147" spans="30:31" x14ac:dyDescent="0.3">
      <c r="AD147" s="16"/>
      <c r="AE147" s="11"/>
    </row>
    <row r="148" spans="30:31" x14ac:dyDescent="0.3">
      <c r="AD148" s="16"/>
      <c r="AE148" s="11"/>
    </row>
    <row r="149" spans="30:31" x14ac:dyDescent="0.3">
      <c r="AD149" s="16"/>
      <c r="AE149" s="11"/>
    </row>
    <row r="150" spans="30:31" x14ac:dyDescent="0.3">
      <c r="AD150" s="16"/>
      <c r="AE150" s="11"/>
    </row>
    <row r="151" spans="30:31" x14ac:dyDescent="0.3">
      <c r="AD151" s="16"/>
      <c r="AE151" s="11"/>
    </row>
    <row r="152" spans="30:31" x14ac:dyDescent="0.3">
      <c r="AD152" s="16"/>
      <c r="AE152" s="11"/>
    </row>
    <row r="153" spans="30:31" x14ac:dyDescent="0.3">
      <c r="AD153" s="16"/>
      <c r="AE153" s="11"/>
    </row>
    <row r="154" spans="30:31" x14ac:dyDescent="0.3">
      <c r="AD154" s="16"/>
      <c r="AE154" s="11"/>
    </row>
    <row r="155" spans="30:31" x14ac:dyDescent="0.3">
      <c r="AD155" s="16"/>
      <c r="AE155" s="11"/>
    </row>
    <row r="156" spans="30:31" x14ac:dyDescent="0.3">
      <c r="AD156" s="16"/>
      <c r="AE156" s="11"/>
    </row>
    <row r="157" spans="30:31" x14ac:dyDescent="0.3">
      <c r="AD157" s="16"/>
      <c r="AE157" s="11"/>
    </row>
    <row r="158" spans="30:31" x14ac:dyDescent="0.3">
      <c r="AD158" s="16"/>
      <c r="AE158" s="11"/>
    </row>
    <row r="159" spans="30:31" x14ac:dyDescent="0.3">
      <c r="AD159" s="16"/>
      <c r="AE159" s="11"/>
    </row>
    <row r="160" spans="30:31" x14ac:dyDescent="0.3">
      <c r="AD160" s="16"/>
      <c r="AE160" s="11"/>
    </row>
    <row r="161" spans="30:31" x14ac:dyDescent="0.3">
      <c r="AD161" s="16"/>
      <c r="AE161" s="11"/>
    </row>
    <row r="162" spans="30:31" x14ac:dyDescent="0.3">
      <c r="AD162" s="16"/>
      <c r="AE162" s="11"/>
    </row>
    <row r="163" spans="30:31" x14ac:dyDescent="0.3">
      <c r="AD163" s="16"/>
      <c r="AE163" s="11"/>
    </row>
    <row r="164" spans="30:31" x14ac:dyDescent="0.3">
      <c r="AD164" s="16"/>
      <c r="AE164" s="11"/>
    </row>
    <row r="165" spans="30:31" x14ac:dyDescent="0.3">
      <c r="AD165" s="16"/>
      <c r="AE165" s="11"/>
    </row>
    <row r="166" spans="30:31" x14ac:dyDescent="0.3">
      <c r="AD166" s="16"/>
      <c r="AE166" s="11"/>
    </row>
    <row r="167" spans="30:31" x14ac:dyDescent="0.3">
      <c r="AD167" s="16"/>
      <c r="AE167" s="11"/>
    </row>
    <row r="168" spans="30:31" x14ac:dyDescent="0.3">
      <c r="AD168" s="16"/>
      <c r="AE168" s="11"/>
    </row>
    <row r="169" spans="30:31" x14ac:dyDescent="0.3">
      <c r="AD169" s="16"/>
      <c r="AE169" s="11"/>
    </row>
    <row r="170" spans="30:31" x14ac:dyDescent="0.3">
      <c r="AD170" s="16"/>
      <c r="AE170" s="11"/>
    </row>
    <row r="171" spans="30:31" x14ac:dyDescent="0.3">
      <c r="AD171" s="16"/>
      <c r="AE171" s="11"/>
    </row>
    <row r="172" spans="30:31" x14ac:dyDescent="0.3">
      <c r="AD172" s="16"/>
      <c r="AE172" s="11"/>
    </row>
    <row r="173" spans="30:31" x14ac:dyDescent="0.3">
      <c r="AD173" s="16"/>
      <c r="AE173" s="11"/>
    </row>
    <row r="174" spans="30:31" x14ac:dyDescent="0.3">
      <c r="AD174" s="16"/>
      <c r="AE174" s="11"/>
    </row>
    <row r="175" spans="30:31" x14ac:dyDescent="0.3">
      <c r="AD175" s="16"/>
      <c r="AE175" s="11"/>
    </row>
    <row r="176" spans="30:31" x14ac:dyDescent="0.3">
      <c r="AD176" s="16"/>
      <c r="AE176" s="11"/>
    </row>
    <row r="177" spans="30:31" x14ac:dyDescent="0.3">
      <c r="AD177" s="16"/>
      <c r="AE177" s="11"/>
    </row>
    <row r="178" spans="30:31" x14ac:dyDescent="0.3">
      <c r="AD178" s="16"/>
      <c r="AE178" s="11"/>
    </row>
    <row r="179" spans="30:31" x14ac:dyDescent="0.3">
      <c r="AD179" s="16"/>
      <c r="AE179" s="11"/>
    </row>
    <row r="180" spans="30:31" x14ac:dyDescent="0.3">
      <c r="AD180" s="16"/>
      <c r="AE180" s="11"/>
    </row>
    <row r="181" spans="30:31" x14ac:dyDescent="0.3">
      <c r="AD181" s="16"/>
      <c r="AE181" s="11"/>
    </row>
    <row r="182" spans="30:31" x14ac:dyDescent="0.3">
      <c r="AD182" s="16"/>
      <c r="AE182" s="11"/>
    </row>
    <row r="183" spans="30:31" x14ac:dyDescent="0.3">
      <c r="AD183" s="16"/>
      <c r="AE183" s="11"/>
    </row>
    <row r="184" spans="30:31" x14ac:dyDescent="0.3">
      <c r="AD184" s="16"/>
      <c r="AE184" s="11"/>
    </row>
    <row r="185" spans="30:31" x14ac:dyDescent="0.3">
      <c r="AD185" s="16"/>
      <c r="AE185" s="11"/>
    </row>
    <row r="186" spans="30:31" x14ac:dyDescent="0.3">
      <c r="AD186" s="16"/>
      <c r="AE186" s="11"/>
    </row>
    <row r="187" spans="30:31" x14ac:dyDescent="0.3">
      <c r="AD187" s="16"/>
      <c r="AE187" s="11"/>
    </row>
    <row r="188" spans="30:31" x14ac:dyDescent="0.3">
      <c r="AD188" s="16"/>
      <c r="AE188" s="11"/>
    </row>
    <row r="189" spans="30:31" x14ac:dyDescent="0.3">
      <c r="AD189" s="16"/>
      <c r="AE189" s="11"/>
    </row>
    <row r="190" spans="30:31" x14ac:dyDescent="0.3">
      <c r="AD190" s="16"/>
      <c r="AE190" s="11"/>
    </row>
    <row r="191" spans="30:31" x14ac:dyDescent="0.3">
      <c r="AD191" s="16"/>
      <c r="AE191" s="11"/>
    </row>
    <row r="192" spans="30:31" x14ac:dyDescent="0.3">
      <c r="AD192" s="16"/>
      <c r="AE192" s="11"/>
    </row>
    <row r="193" spans="30:31" x14ac:dyDescent="0.3">
      <c r="AD193" s="16"/>
      <c r="AE193" s="11"/>
    </row>
    <row r="194" spans="30:31" x14ac:dyDescent="0.3">
      <c r="AD194" s="16"/>
      <c r="AE194" s="11"/>
    </row>
    <row r="195" spans="30:31" x14ac:dyDescent="0.3">
      <c r="AD195" s="16"/>
      <c r="AE195" s="11"/>
    </row>
    <row r="196" spans="30:31" x14ac:dyDescent="0.3">
      <c r="AD196" s="16"/>
      <c r="AE196" s="11"/>
    </row>
    <row r="197" spans="30:31" x14ac:dyDescent="0.3">
      <c r="AD197" s="16"/>
      <c r="AE197" s="11"/>
    </row>
    <row r="198" spans="30:31" x14ac:dyDescent="0.3">
      <c r="AD198" s="16"/>
      <c r="AE198" s="11"/>
    </row>
    <row r="199" spans="30:31" x14ac:dyDescent="0.3">
      <c r="AD199" s="16"/>
      <c r="AE199" s="11"/>
    </row>
    <row r="200" spans="30:31" x14ac:dyDescent="0.3">
      <c r="AD200" s="16"/>
      <c r="AE200" s="11"/>
    </row>
    <row r="201" spans="30:31" x14ac:dyDescent="0.3">
      <c r="AD201" s="16"/>
      <c r="AE201" s="11"/>
    </row>
    <row r="202" spans="30:31" x14ac:dyDescent="0.3">
      <c r="AD202" s="16"/>
      <c r="AE202" s="11"/>
    </row>
    <row r="203" spans="30:31" x14ac:dyDescent="0.3">
      <c r="AD203" s="16"/>
      <c r="AE203" s="11"/>
    </row>
    <row r="204" spans="30:31" x14ac:dyDescent="0.3">
      <c r="AD204" s="16"/>
      <c r="AE204" s="11"/>
    </row>
    <row r="205" spans="30:31" x14ac:dyDescent="0.3">
      <c r="AD205" s="16"/>
      <c r="AE205" s="11"/>
    </row>
    <row r="206" spans="30:31" x14ac:dyDescent="0.3">
      <c r="AD206" s="16"/>
      <c r="AE206" s="11"/>
    </row>
    <row r="207" spans="30:31" x14ac:dyDescent="0.3">
      <c r="AD207" s="16"/>
      <c r="AE207" s="11"/>
    </row>
    <row r="208" spans="30:31" x14ac:dyDescent="0.3">
      <c r="AD208" s="16"/>
      <c r="AE208" s="11"/>
    </row>
    <row r="209" spans="30:31" x14ac:dyDescent="0.3">
      <c r="AD209" s="16"/>
      <c r="AE209" s="11"/>
    </row>
    <row r="210" spans="30:31" x14ac:dyDescent="0.3">
      <c r="AD210" s="16"/>
      <c r="AE210" s="11"/>
    </row>
    <row r="211" spans="30:31" x14ac:dyDescent="0.3">
      <c r="AD211" s="16"/>
      <c r="AE211" s="11"/>
    </row>
    <row r="212" spans="30:31" x14ac:dyDescent="0.3">
      <c r="AD212" s="16"/>
      <c r="AE212" s="11"/>
    </row>
    <row r="213" spans="30:31" x14ac:dyDescent="0.3">
      <c r="AD213" s="16"/>
      <c r="AE213" s="11"/>
    </row>
    <row r="214" spans="30:31" x14ac:dyDescent="0.3">
      <c r="AD214" s="16"/>
      <c r="AE214" s="11"/>
    </row>
    <row r="215" spans="30:31" x14ac:dyDescent="0.3">
      <c r="AD215" s="16"/>
      <c r="AE215" s="11"/>
    </row>
    <row r="216" spans="30:31" x14ac:dyDescent="0.3">
      <c r="AD216" s="16"/>
      <c r="AE216" s="11"/>
    </row>
    <row r="217" spans="30:31" x14ac:dyDescent="0.3">
      <c r="AD217" s="16"/>
      <c r="AE217" s="11"/>
    </row>
    <row r="218" spans="30:31" x14ac:dyDescent="0.3">
      <c r="AD218" s="16"/>
      <c r="AE218" s="11"/>
    </row>
    <row r="219" spans="30:31" x14ac:dyDescent="0.3">
      <c r="AD219" s="16"/>
      <c r="AE219" s="11"/>
    </row>
    <row r="220" spans="30:31" x14ac:dyDescent="0.3">
      <c r="AD220" s="16"/>
      <c r="AE220" s="11"/>
    </row>
    <row r="221" spans="30:31" x14ac:dyDescent="0.3">
      <c r="AD221" s="16"/>
      <c r="AE221" s="11"/>
    </row>
    <row r="222" spans="30:31" x14ac:dyDescent="0.3">
      <c r="AD222" s="16"/>
      <c r="AE222" s="11"/>
    </row>
    <row r="223" spans="30:31" x14ac:dyDescent="0.3">
      <c r="AD223" s="16"/>
      <c r="AE223" s="11"/>
    </row>
    <row r="224" spans="30:31" x14ac:dyDescent="0.3">
      <c r="AD224" s="16"/>
      <c r="AE224" s="11"/>
    </row>
    <row r="225" spans="30:31" x14ac:dyDescent="0.3">
      <c r="AD225" s="16"/>
      <c r="AE225" s="11"/>
    </row>
    <row r="226" spans="30:31" x14ac:dyDescent="0.3">
      <c r="AD226" s="16"/>
    </row>
    <row r="227" spans="30:31" x14ac:dyDescent="0.3">
      <c r="AD227" s="16"/>
    </row>
    <row r="228" spans="30:31" x14ac:dyDescent="0.3">
      <c r="AD228" s="16"/>
    </row>
    <row r="229" spans="30:31" x14ac:dyDescent="0.3">
      <c r="AD229" s="16"/>
    </row>
    <row r="230" spans="30:31" x14ac:dyDescent="0.3">
      <c r="AD230" s="16"/>
    </row>
    <row r="231" spans="30:31" x14ac:dyDescent="0.3">
      <c r="AD231" s="16"/>
    </row>
    <row r="232" spans="30:31" x14ac:dyDescent="0.3">
      <c r="AD232" s="16"/>
    </row>
    <row r="233" spans="30:31" x14ac:dyDescent="0.3">
      <c r="AD233" s="16"/>
    </row>
    <row r="234" spans="30:31" x14ac:dyDescent="0.3">
      <c r="AD234" s="16"/>
    </row>
    <row r="235" spans="30:31" x14ac:dyDescent="0.3">
      <c r="AD235" s="16"/>
    </row>
    <row r="236" spans="30:31" x14ac:dyDescent="0.3">
      <c r="AD236" s="16"/>
    </row>
    <row r="237" spans="30:31" x14ac:dyDescent="0.3">
      <c r="AD237" s="16"/>
    </row>
    <row r="238" spans="30:31" x14ac:dyDescent="0.3">
      <c r="AD238" s="16"/>
    </row>
    <row r="239" spans="30:31" x14ac:dyDescent="0.3">
      <c r="AD239" s="16"/>
    </row>
    <row r="240" spans="30:31" x14ac:dyDescent="0.3">
      <c r="AD240" s="16"/>
    </row>
    <row r="241" spans="30:30" x14ac:dyDescent="0.3">
      <c r="AD241" s="16"/>
    </row>
    <row r="242" spans="30:30" x14ac:dyDescent="0.3">
      <c r="AD242" s="16"/>
    </row>
    <row r="243" spans="30:30" x14ac:dyDescent="0.3">
      <c r="AD243" s="16"/>
    </row>
    <row r="244" spans="30:30" x14ac:dyDescent="0.3">
      <c r="AD244" s="16"/>
    </row>
    <row r="245" spans="30:30" x14ac:dyDescent="0.3">
      <c r="AD245" s="16"/>
    </row>
    <row r="246" spans="30:30" x14ac:dyDescent="0.3">
      <c r="AD246" s="16"/>
    </row>
    <row r="247" spans="30:30" x14ac:dyDescent="0.3">
      <c r="AD247" s="16"/>
    </row>
    <row r="248" spans="30:30" x14ac:dyDescent="0.3">
      <c r="AD248" s="16"/>
    </row>
    <row r="249" spans="30:30" x14ac:dyDescent="0.3">
      <c r="AD249" s="16"/>
    </row>
    <row r="250" spans="30:30" x14ac:dyDescent="0.3">
      <c r="AD250" s="16"/>
    </row>
    <row r="251" spans="30:30" x14ac:dyDescent="0.3">
      <c r="AD251" s="16"/>
    </row>
    <row r="252" spans="30:30" x14ac:dyDescent="0.3">
      <c r="AD252" s="16"/>
    </row>
    <row r="253" spans="30:30" x14ac:dyDescent="0.3">
      <c r="AD253" s="16"/>
    </row>
    <row r="254" spans="30:30" x14ac:dyDescent="0.3">
      <c r="AD254" s="16"/>
    </row>
    <row r="255" spans="30:30" x14ac:dyDescent="0.3">
      <c r="AD255" s="16"/>
    </row>
    <row r="256" spans="30:30" x14ac:dyDescent="0.3">
      <c r="AD256" s="16"/>
    </row>
    <row r="257" spans="30:30" x14ac:dyDescent="0.3">
      <c r="AD257" s="16"/>
    </row>
    <row r="258" spans="30:30" x14ac:dyDescent="0.3">
      <c r="AD258" s="16"/>
    </row>
    <row r="259" spans="30:30" x14ac:dyDescent="0.3">
      <c r="AD259" s="16"/>
    </row>
    <row r="260" spans="30:30" x14ac:dyDescent="0.3">
      <c r="AD260" s="16"/>
    </row>
    <row r="261" spans="30:30" x14ac:dyDescent="0.3">
      <c r="AD261" s="16"/>
    </row>
    <row r="262" spans="30:30" x14ac:dyDescent="0.3">
      <c r="AD262" s="16"/>
    </row>
    <row r="263" spans="30:30" x14ac:dyDescent="0.3">
      <c r="AD263" s="16"/>
    </row>
    <row r="264" spans="30:30" x14ac:dyDescent="0.3">
      <c r="AD264" s="16"/>
    </row>
    <row r="265" spans="30:30" x14ac:dyDescent="0.3">
      <c r="AD265" s="16"/>
    </row>
    <row r="266" spans="30:30" x14ac:dyDescent="0.3">
      <c r="AD266" s="16"/>
    </row>
    <row r="267" spans="30:30" x14ac:dyDescent="0.3">
      <c r="AD267" s="16"/>
    </row>
    <row r="268" spans="30:30" x14ac:dyDescent="0.3">
      <c r="AD268" s="16"/>
    </row>
    <row r="269" spans="30:30" x14ac:dyDescent="0.3">
      <c r="AD269" s="16"/>
    </row>
    <row r="270" spans="30:30" x14ac:dyDescent="0.3">
      <c r="AD270" s="16"/>
    </row>
    <row r="271" spans="30:30" x14ac:dyDescent="0.3">
      <c r="AD271" s="16"/>
    </row>
    <row r="272" spans="30:30" x14ac:dyDescent="0.3">
      <c r="AD272" s="16"/>
    </row>
    <row r="273" spans="30:30" x14ac:dyDescent="0.3">
      <c r="AD273" s="16"/>
    </row>
    <row r="274" spans="30:30" x14ac:dyDescent="0.3">
      <c r="AD274" s="16"/>
    </row>
    <row r="275" spans="30:30" x14ac:dyDescent="0.3">
      <c r="AD275" s="16"/>
    </row>
    <row r="276" spans="30:30" x14ac:dyDescent="0.3">
      <c r="AD276" s="16"/>
    </row>
    <row r="277" spans="30:30" x14ac:dyDescent="0.3">
      <c r="AD277" s="16"/>
    </row>
    <row r="278" spans="30:30" x14ac:dyDescent="0.3">
      <c r="AD278" s="16"/>
    </row>
    <row r="279" spans="30:30" x14ac:dyDescent="0.3">
      <c r="AD279" s="16"/>
    </row>
    <row r="280" spans="30:30" x14ac:dyDescent="0.3">
      <c r="AD280" s="16"/>
    </row>
    <row r="281" spans="30:30" x14ac:dyDescent="0.3">
      <c r="AD281" s="16"/>
    </row>
    <row r="282" spans="30:30" x14ac:dyDescent="0.3">
      <c r="AD282" s="16"/>
    </row>
    <row r="283" spans="30:30" x14ac:dyDescent="0.3">
      <c r="AD283" s="16"/>
    </row>
    <row r="284" spans="30:30" x14ac:dyDescent="0.3">
      <c r="AD284" s="16"/>
    </row>
    <row r="285" spans="30:30" x14ac:dyDescent="0.3">
      <c r="AD285" s="16"/>
    </row>
    <row r="286" spans="30:30" x14ac:dyDescent="0.3">
      <c r="AD286" s="16"/>
    </row>
    <row r="287" spans="30:30" x14ac:dyDescent="0.3">
      <c r="AD287" s="16"/>
    </row>
    <row r="288" spans="30:30" x14ac:dyDescent="0.3">
      <c r="AD288" s="16"/>
    </row>
    <row r="289" spans="30:30" x14ac:dyDescent="0.3">
      <c r="AD289" s="16"/>
    </row>
    <row r="290" spans="30:30" x14ac:dyDescent="0.3">
      <c r="AD290" s="16"/>
    </row>
    <row r="291" spans="30:30" x14ac:dyDescent="0.3">
      <c r="AD291" s="16"/>
    </row>
    <row r="292" spans="30:30" x14ac:dyDescent="0.3">
      <c r="AD292" s="16"/>
    </row>
    <row r="293" spans="30:30" x14ac:dyDescent="0.3">
      <c r="AD293" s="16"/>
    </row>
    <row r="294" spans="30:30" x14ac:dyDescent="0.3">
      <c r="AD294" s="16"/>
    </row>
    <row r="295" spans="30:30" x14ac:dyDescent="0.3">
      <c r="AD295" s="16"/>
    </row>
    <row r="296" spans="30:30" x14ac:dyDescent="0.3">
      <c r="AD296" s="16"/>
    </row>
    <row r="297" spans="30:30" x14ac:dyDescent="0.3">
      <c r="AD297" s="16"/>
    </row>
    <row r="298" spans="30:30" x14ac:dyDescent="0.3">
      <c r="AD298" s="16"/>
    </row>
    <row r="299" spans="30:30" x14ac:dyDescent="0.3">
      <c r="AD299" s="16"/>
    </row>
    <row r="300" spans="30:30" x14ac:dyDescent="0.3">
      <c r="AD300" s="16"/>
    </row>
    <row r="301" spans="30:30" x14ac:dyDescent="0.3">
      <c r="AD301" s="16"/>
    </row>
    <row r="302" spans="30:30" x14ac:dyDescent="0.3">
      <c r="AD302" s="16"/>
    </row>
    <row r="303" spans="30:30" x14ac:dyDescent="0.3">
      <c r="AD303" s="16"/>
    </row>
    <row r="304" spans="30:30" x14ac:dyDescent="0.3">
      <c r="AD304" s="16"/>
    </row>
    <row r="305" spans="30:30" x14ac:dyDescent="0.3">
      <c r="AD305" s="16"/>
    </row>
    <row r="306" spans="30:30" x14ac:dyDescent="0.3">
      <c r="AD306" s="16"/>
    </row>
    <row r="307" spans="30:30" x14ac:dyDescent="0.3">
      <c r="AD307" s="16"/>
    </row>
    <row r="308" spans="30:30" x14ac:dyDescent="0.3">
      <c r="AD308" s="16"/>
    </row>
    <row r="309" spans="30:30" x14ac:dyDescent="0.3">
      <c r="AD309" s="16"/>
    </row>
    <row r="310" spans="30:30" x14ac:dyDescent="0.3">
      <c r="AD310" s="16"/>
    </row>
    <row r="311" spans="30:30" x14ac:dyDescent="0.3">
      <c r="AD311" s="16"/>
    </row>
    <row r="312" spans="30:30" x14ac:dyDescent="0.3">
      <c r="AD312" s="16"/>
    </row>
    <row r="313" spans="30:30" x14ac:dyDescent="0.3">
      <c r="AD313" s="16"/>
    </row>
    <row r="314" spans="30:30" x14ac:dyDescent="0.3">
      <c r="AD314" s="16"/>
    </row>
    <row r="315" spans="30:30" x14ac:dyDescent="0.3">
      <c r="AD315" s="16"/>
    </row>
    <row r="316" spans="30:30" x14ac:dyDescent="0.3">
      <c r="AD316" s="16"/>
    </row>
    <row r="317" spans="30:30" x14ac:dyDescent="0.3">
      <c r="AD317" s="16"/>
    </row>
    <row r="318" spans="30:30" x14ac:dyDescent="0.3">
      <c r="AD318" s="16"/>
    </row>
    <row r="319" spans="30:30" x14ac:dyDescent="0.3">
      <c r="AD319" s="16"/>
    </row>
    <row r="320" spans="30:30" x14ac:dyDescent="0.3">
      <c r="AD320" s="16"/>
    </row>
    <row r="321" spans="30:30" x14ac:dyDescent="0.3">
      <c r="AD321" s="16"/>
    </row>
    <row r="322" spans="30:30" x14ac:dyDescent="0.3">
      <c r="AD322" s="16"/>
    </row>
    <row r="323" spans="30:30" x14ac:dyDescent="0.3">
      <c r="AD323" s="16"/>
    </row>
    <row r="324" spans="30:30" x14ac:dyDescent="0.3">
      <c r="AD324" s="16"/>
    </row>
    <row r="325" spans="30:30" x14ac:dyDescent="0.3">
      <c r="AD325" s="16"/>
    </row>
    <row r="326" spans="30:30" x14ac:dyDescent="0.3">
      <c r="AD326" s="16"/>
    </row>
    <row r="327" spans="30:30" x14ac:dyDescent="0.3">
      <c r="AD327" s="16"/>
    </row>
    <row r="328" spans="30:30" x14ac:dyDescent="0.3">
      <c r="AD328" s="16"/>
    </row>
    <row r="329" spans="30:30" x14ac:dyDescent="0.3">
      <c r="AD329" s="16"/>
    </row>
    <row r="330" spans="30:30" x14ac:dyDescent="0.3">
      <c r="AD330" s="16"/>
    </row>
    <row r="331" spans="30:30" x14ac:dyDescent="0.3">
      <c r="AD331" s="16"/>
    </row>
    <row r="332" spans="30:30" x14ac:dyDescent="0.3">
      <c r="AD332" s="16"/>
    </row>
    <row r="333" spans="30:30" x14ac:dyDescent="0.3">
      <c r="AD333" s="16"/>
    </row>
    <row r="334" spans="30:30" x14ac:dyDescent="0.3">
      <c r="AD334" s="16"/>
    </row>
    <row r="335" spans="30:30" x14ac:dyDescent="0.3">
      <c r="AD335" s="16"/>
    </row>
    <row r="336" spans="30:30" x14ac:dyDescent="0.3">
      <c r="AD336" s="16"/>
    </row>
    <row r="337" spans="30:30" x14ac:dyDescent="0.3">
      <c r="AD337" s="16"/>
    </row>
    <row r="338" spans="30:30" x14ac:dyDescent="0.3">
      <c r="AD338" s="16"/>
    </row>
    <row r="339" spans="30:30" x14ac:dyDescent="0.3">
      <c r="AD339" s="16"/>
    </row>
    <row r="340" spans="30:30" x14ac:dyDescent="0.3">
      <c r="AD340" s="16"/>
    </row>
    <row r="341" spans="30:30" x14ac:dyDescent="0.3">
      <c r="AD341" s="16"/>
    </row>
    <row r="342" spans="30:30" x14ac:dyDescent="0.3">
      <c r="AD342" s="16"/>
    </row>
    <row r="343" spans="30:30" x14ac:dyDescent="0.3">
      <c r="AD343" s="16"/>
    </row>
    <row r="344" spans="30:30" x14ac:dyDescent="0.3">
      <c r="AD344" s="16"/>
    </row>
    <row r="345" spans="30:30" x14ac:dyDescent="0.3">
      <c r="AD345" s="16"/>
    </row>
    <row r="346" spans="30:30" x14ac:dyDescent="0.3">
      <c r="AD346" s="16"/>
    </row>
    <row r="347" spans="30:30" x14ac:dyDescent="0.3">
      <c r="AD347" s="16"/>
    </row>
    <row r="348" spans="30:30" x14ac:dyDescent="0.3">
      <c r="AD348" s="16"/>
    </row>
    <row r="349" spans="30:30" x14ac:dyDescent="0.3">
      <c r="AD349" s="16"/>
    </row>
    <row r="350" spans="30:30" x14ac:dyDescent="0.3">
      <c r="AD350" s="16"/>
    </row>
    <row r="351" spans="30:30" x14ac:dyDescent="0.3">
      <c r="AD351" s="16"/>
    </row>
    <row r="352" spans="30:30" x14ac:dyDescent="0.3">
      <c r="AD352" s="16"/>
    </row>
    <row r="353" spans="30:30" x14ac:dyDescent="0.3">
      <c r="AD353" s="16"/>
    </row>
    <row r="354" spans="30:30" x14ac:dyDescent="0.3">
      <c r="AD354" s="16"/>
    </row>
    <row r="355" spans="30:30" x14ac:dyDescent="0.3">
      <c r="AD355" s="16"/>
    </row>
    <row r="356" spans="30:30" x14ac:dyDescent="0.3">
      <c r="AD356" s="16"/>
    </row>
    <row r="357" spans="30:30" x14ac:dyDescent="0.3">
      <c r="AD357" s="16"/>
    </row>
    <row r="358" spans="30:30" x14ac:dyDescent="0.3">
      <c r="AD358" s="16"/>
    </row>
    <row r="359" spans="30:30" x14ac:dyDescent="0.3">
      <c r="AD359" s="16"/>
    </row>
    <row r="360" spans="30:30" x14ac:dyDescent="0.3">
      <c r="AD360" s="16"/>
    </row>
    <row r="361" spans="30:30" x14ac:dyDescent="0.3">
      <c r="AD361" s="16"/>
    </row>
    <row r="362" spans="30:30" x14ac:dyDescent="0.3">
      <c r="AD362" s="16"/>
    </row>
    <row r="363" spans="30:30" x14ac:dyDescent="0.3">
      <c r="AD363" s="16"/>
    </row>
    <row r="364" spans="30:30" x14ac:dyDescent="0.3">
      <c r="AD364" s="16"/>
    </row>
    <row r="365" spans="30:30" x14ac:dyDescent="0.3">
      <c r="AD365" s="16"/>
    </row>
    <row r="366" spans="30:30" x14ac:dyDescent="0.3">
      <c r="AD366" s="16"/>
    </row>
    <row r="367" spans="30:30" x14ac:dyDescent="0.3">
      <c r="AD367" s="16"/>
    </row>
    <row r="368" spans="30:30" x14ac:dyDescent="0.3">
      <c r="AD368" s="16"/>
    </row>
    <row r="369" spans="30:30" x14ac:dyDescent="0.3">
      <c r="AD369" s="16"/>
    </row>
    <row r="370" spans="30:30" x14ac:dyDescent="0.3">
      <c r="AD370" s="16"/>
    </row>
    <row r="371" spans="30:30" x14ac:dyDescent="0.3">
      <c r="AD371" s="16"/>
    </row>
    <row r="372" spans="30:30" x14ac:dyDescent="0.3">
      <c r="AD372" s="16"/>
    </row>
    <row r="373" spans="30:30" x14ac:dyDescent="0.3">
      <c r="AD373" s="16"/>
    </row>
    <row r="374" spans="30:30" x14ac:dyDescent="0.3">
      <c r="AD374" s="16"/>
    </row>
    <row r="375" spans="30:30" x14ac:dyDescent="0.3">
      <c r="AD375" s="16"/>
    </row>
    <row r="376" spans="30:30" x14ac:dyDescent="0.3">
      <c r="AD376" s="16"/>
    </row>
    <row r="377" spans="30:30" x14ac:dyDescent="0.3">
      <c r="AD377" s="16"/>
    </row>
    <row r="378" spans="30:30" x14ac:dyDescent="0.3">
      <c r="AD378" s="16"/>
    </row>
    <row r="379" spans="30:30" x14ac:dyDescent="0.3">
      <c r="AD379" s="16"/>
    </row>
    <row r="380" spans="30:30" x14ac:dyDescent="0.3">
      <c r="AD380" s="16"/>
    </row>
    <row r="381" spans="30:30" x14ac:dyDescent="0.3">
      <c r="AD381" s="16"/>
    </row>
    <row r="382" spans="30:30" x14ac:dyDescent="0.3">
      <c r="AD382" s="16"/>
    </row>
    <row r="383" spans="30:30" x14ac:dyDescent="0.3">
      <c r="AD383" s="16"/>
    </row>
    <row r="384" spans="30:30" x14ac:dyDescent="0.3">
      <c r="AD384" s="16"/>
    </row>
    <row r="385" spans="30:30" x14ac:dyDescent="0.3">
      <c r="AD385" s="16"/>
    </row>
    <row r="386" spans="30:30" x14ac:dyDescent="0.3">
      <c r="AD386" s="16"/>
    </row>
    <row r="387" spans="30:30" x14ac:dyDescent="0.3">
      <c r="AD387" s="16"/>
    </row>
    <row r="388" spans="30:30" x14ac:dyDescent="0.3">
      <c r="AD388" s="16"/>
    </row>
    <row r="389" spans="30:30" x14ac:dyDescent="0.3">
      <c r="AD389" s="16"/>
    </row>
    <row r="390" spans="30:30" x14ac:dyDescent="0.3">
      <c r="AD390" s="16"/>
    </row>
    <row r="391" spans="30:30" x14ac:dyDescent="0.3">
      <c r="AD391" s="16"/>
    </row>
    <row r="392" spans="30:30" x14ac:dyDescent="0.3">
      <c r="AD392" s="16"/>
    </row>
    <row r="393" spans="30:30" x14ac:dyDescent="0.3">
      <c r="AD393" s="16"/>
    </row>
    <row r="394" spans="30:30" x14ac:dyDescent="0.3">
      <c r="AD394" s="16"/>
    </row>
    <row r="395" spans="30:30" x14ac:dyDescent="0.3">
      <c r="AD395" s="16"/>
    </row>
    <row r="396" spans="30:30" x14ac:dyDescent="0.3">
      <c r="AD396" s="16"/>
    </row>
    <row r="397" spans="30:30" x14ac:dyDescent="0.3">
      <c r="AD397" s="16"/>
    </row>
    <row r="398" spans="30:30" x14ac:dyDescent="0.3">
      <c r="AD398" s="16"/>
    </row>
    <row r="399" spans="30:30" x14ac:dyDescent="0.3">
      <c r="AD399" s="16"/>
    </row>
    <row r="400" spans="30:30" x14ac:dyDescent="0.3">
      <c r="AD400" s="16"/>
    </row>
    <row r="401" spans="30:30" x14ac:dyDescent="0.3">
      <c r="AD401" s="16"/>
    </row>
    <row r="402" spans="30:30" x14ac:dyDescent="0.3">
      <c r="AD402" s="16"/>
    </row>
    <row r="403" spans="30:30" x14ac:dyDescent="0.3">
      <c r="AD403" s="16"/>
    </row>
    <row r="404" spans="30:30" x14ac:dyDescent="0.3">
      <c r="AD404" s="16"/>
    </row>
    <row r="405" spans="30:30" x14ac:dyDescent="0.3">
      <c r="AD405" s="16"/>
    </row>
    <row r="406" spans="30:30" x14ac:dyDescent="0.3">
      <c r="AD406" s="16"/>
    </row>
    <row r="407" spans="30:30" x14ac:dyDescent="0.3">
      <c r="AD407" s="16"/>
    </row>
    <row r="408" spans="30:30" x14ac:dyDescent="0.3">
      <c r="AD408" s="16"/>
    </row>
    <row r="409" spans="30:30" x14ac:dyDescent="0.3">
      <c r="AD409" s="16"/>
    </row>
    <row r="410" spans="30:30" x14ac:dyDescent="0.3">
      <c r="AD410" s="16"/>
    </row>
    <row r="411" spans="30:30" x14ac:dyDescent="0.3">
      <c r="AD411" s="16"/>
    </row>
    <row r="412" spans="30:30" x14ac:dyDescent="0.3">
      <c r="AD412" s="16"/>
    </row>
    <row r="413" spans="30:30" x14ac:dyDescent="0.3">
      <c r="AD413" s="16"/>
    </row>
    <row r="414" spans="30:30" x14ac:dyDescent="0.3">
      <c r="AD414" s="16"/>
    </row>
    <row r="415" spans="30:30" x14ac:dyDescent="0.3">
      <c r="AD415" s="16"/>
    </row>
    <row r="416" spans="30:30" x14ac:dyDescent="0.3">
      <c r="AD416" s="16"/>
    </row>
    <row r="417" spans="30:30" x14ac:dyDescent="0.3">
      <c r="AD417" s="16"/>
    </row>
    <row r="418" spans="30:30" x14ac:dyDescent="0.3">
      <c r="AD418" s="16"/>
    </row>
    <row r="419" spans="30:30" x14ac:dyDescent="0.3">
      <c r="AD419" s="16"/>
    </row>
    <row r="420" spans="30:30" x14ac:dyDescent="0.3">
      <c r="AD420" s="16"/>
    </row>
    <row r="421" spans="30:30" x14ac:dyDescent="0.3">
      <c r="AD421" s="16"/>
    </row>
    <row r="422" spans="30:30" x14ac:dyDescent="0.3">
      <c r="AD422" s="16"/>
    </row>
    <row r="423" spans="30:30" x14ac:dyDescent="0.3">
      <c r="AD423" s="16"/>
    </row>
    <row r="424" spans="30:30" x14ac:dyDescent="0.3">
      <c r="AD424" s="16"/>
    </row>
    <row r="425" spans="30:30" x14ac:dyDescent="0.3">
      <c r="AD425" s="16"/>
    </row>
    <row r="426" spans="30:30" x14ac:dyDescent="0.3">
      <c r="AD426" s="16"/>
    </row>
    <row r="427" spans="30:30" x14ac:dyDescent="0.3">
      <c r="AD427" s="16"/>
    </row>
    <row r="428" spans="30:30" x14ac:dyDescent="0.3">
      <c r="AD428" s="16"/>
    </row>
    <row r="429" spans="30:30" x14ac:dyDescent="0.3">
      <c r="AD429" s="16"/>
    </row>
    <row r="430" spans="30:30" x14ac:dyDescent="0.3">
      <c r="AD430" s="16"/>
    </row>
    <row r="431" spans="30:30" x14ac:dyDescent="0.3">
      <c r="AD431" s="16"/>
    </row>
    <row r="432" spans="30:30" x14ac:dyDescent="0.3">
      <c r="AD432" s="16"/>
    </row>
    <row r="433" spans="30:30" x14ac:dyDescent="0.3">
      <c r="AD433" s="16"/>
    </row>
    <row r="434" spans="30:30" x14ac:dyDescent="0.3">
      <c r="AD434" s="16"/>
    </row>
    <row r="435" spans="30:30" x14ac:dyDescent="0.3">
      <c r="AD435" s="16"/>
    </row>
    <row r="436" spans="30:30" x14ac:dyDescent="0.3">
      <c r="AD436" s="16"/>
    </row>
    <row r="437" spans="30:30" x14ac:dyDescent="0.3">
      <c r="AD437" s="16"/>
    </row>
    <row r="438" spans="30:30" x14ac:dyDescent="0.3">
      <c r="AD438" s="16"/>
    </row>
    <row r="439" spans="30:30" x14ac:dyDescent="0.3">
      <c r="AD439" s="16"/>
    </row>
    <row r="440" spans="30:30" x14ac:dyDescent="0.3">
      <c r="AD440" s="16"/>
    </row>
    <row r="441" spans="30:30" x14ac:dyDescent="0.3">
      <c r="AD441" s="16"/>
    </row>
    <row r="442" spans="30:30" x14ac:dyDescent="0.3">
      <c r="AD442" s="16"/>
    </row>
    <row r="443" spans="30:30" x14ac:dyDescent="0.3">
      <c r="AD443" s="16"/>
    </row>
    <row r="444" spans="30:30" x14ac:dyDescent="0.3">
      <c r="AD444" s="16"/>
    </row>
    <row r="445" spans="30:30" x14ac:dyDescent="0.3">
      <c r="AD445" s="16"/>
    </row>
    <row r="446" spans="30:30" x14ac:dyDescent="0.3">
      <c r="AD446" s="16"/>
    </row>
    <row r="447" spans="30:30" x14ac:dyDescent="0.3">
      <c r="AD447" s="16"/>
    </row>
    <row r="448" spans="30:30" x14ac:dyDescent="0.3">
      <c r="AD448" s="16"/>
    </row>
    <row r="449" spans="30:30" x14ac:dyDescent="0.3">
      <c r="AD449" s="16"/>
    </row>
    <row r="450" spans="30:30" x14ac:dyDescent="0.3">
      <c r="AD450" s="16"/>
    </row>
    <row r="451" spans="30:30" x14ac:dyDescent="0.3">
      <c r="AD451" s="16"/>
    </row>
    <row r="452" spans="30:30" x14ac:dyDescent="0.3">
      <c r="AD452" s="16"/>
    </row>
    <row r="453" spans="30:30" x14ac:dyDescent="0.3">
      <c r="AD453" s="16"/>
    </row>
    <row r="454" spans="30:30" x14ac:dyDescent="0.3">
      <c r="AD454" s="16"/>
    </row>
    <row r="455" spans="30:30" x14ac:dyDescent="0.3">
      <c r="AD455" s="16"/>
    </row>
    <row r="456" spans="30:30" x14ac:dyDescent="0.3">
      <c r="AD456" s="16"/>
    </row>
    <row r="457" spans="30:30" x14ac:dyDescent="0.3">
      <c r="AD457" s="16"/>
    </row>
    <row r="458" spans="30:30" x14ac:dyDescent="0.3">
      <c r="AD458" s="16"/>
    </row>
    <row r="459" spans="30:30" x14ac:dyDescent="0.3">
      <c r="AD459" s="16"/>
    </row>
    <row r="460" spans="30:30" x14ac:dyDescent="0.3">
      <c r="AD460" s="16"/>
    </row>
    <row r="461" spans="30:30" x14ac:dyDescent="0.3">
      <c r="AD461" s="16"/>
    </row>
    <row r="462" spans="30:30" x14ac:dyDescent="0.3">
      <c r="AD462" s="16"/>
    </row>
    <row r="463" spans="30:30" x14ac:dyDescent="0.3">
      <c r="AD463" s="16"/>
    </row>
    <row r="464" spans="30:30" x14ac:dyDescent="0.3">
      <c r="AD464" s="16"/>
    </row>
    <row r="465" spans="30:30" x14ac:dyDescent="0.3">
      <c r="AD465" s="16"/>
    </row>
    <row r="466" spans="30:30" x14ac:dyDescent="0.3">
      <c r="AD466" s="16"/>
    </row>
    <row r="467" spans="30:30" x14ac:dyDescent="0.3">
      <c r="AD467" s="16"/>
    </row>
    <row r="468" spans="30:30" x14ac:dyDescent="0.3">
      <c r="AD468" s="16"/>
    </row>
    <row r="469" spans="30:30" x14ac:dyDescent="0.3">
      <c r="AD469" s="16"/>
    </row>
    <row r="470" spans="30:30" x14ac:dyDescent="0.3">
      <c r="AD470" s="16"/>
    </row>
    <row r="471" spans="30:30" x14ac:dyDescent="0.3">
      <c r="AD471" s="16"/>
    </row>
    <row r="472" spans="30:30" x14ac:dyDescent="0.3">
      <c r="AD472" s="16"/>
    </row>
    <row r="473" spans="30:30" x14ac:dyDescent="0.3">
      <c r="AD473" s="16"/>
    </row>
    <row r="474" spans="30:30" x14ac:dyDescent="0.3">
      <c r="AD474" s="16"/>
    </row>
    <row r="475" spans="30:30" x14ac:dyDescent="0.3">
      <c r="AD475" s="16"/>
    </row>
    <row r="476" spans="30:30" x14ac:dyDescent="0.3">
      <c r="AD476" s="16"/>
    </row>
    <row r="477" spans="30:30" x14ac:dyDescent="0.3">
      <c r="AD477" s="16"/>
    </row>
    <row r="478" spans="30:30" x14ac:dyDescent="0.3">
      <c r="AD478" s="16"/>
    </row>
    <row r="479" spans="30:30" x14ac:dyDescent="0.3">
      <c r="AD479" s="16"/>
    </row>
    <row r="480" spans="30:30" x14ac:dyDescent="0.3">
      <c r="AD480" s="16"/>
    </row>
    <row r="481" spans="30:30" x14ac:dyDescent="0.3">
      <c r="AD481" s="16"/>
    </row>
    <row r="482" spans="30:30" x14ac:dyDescent="0.3">
      <c r="AD482" s="16"/>
    </row>
    <row r="483" spans="30:30" x14ac:dyDescent="0.3">
      <c r="AD483" s="16"/>
    </row>
    <row r="484" spans="30:30" x14ac:dyDescent="0.3">
      <c r="AD484" s="16"/>
    </row>
    <row r="485" spans="30:30" x14ac:dyDescent="0.3">
      <c r="AD485" s="16"/>
    </row>
    <row r="486" spans="30:30" x14ac:dyDescent="0.3">
      <c r="AD486" s="16"/>
    </row>
    <row r="487" spans="30:30" x14ac:dyDescent="0.3">
      <c r="AD487" s="16"/>
    </row>
    <row r="488" spans="30:30" x14ac:dyDescent="0.3">
      <c r="AD488" s="16"/>
    </row>
    <row r="489" spans="30:30" x14ac:dyDescent="0.3">
      <c r="AD489" s="16"/>
    </row>
    <row r="490" spans="30:30" x14ac:dyDescent="0.3">
      <c r="AD490" s="16"/>
    </row>
    <row r="491" spans="30:30" x14ac:dyDescent="0.3">
      <c r="AD491" s="16"/>
    </row>
    <row r="492" spans="30:30" x14ac:dyDescent="0.3">
      <c r="AD492" s="16"/>
    </row>
    <row r="493" spans="30:30" x14ac:dyDescent="0.3">
      <c r="AD493" s="16"/>
    </row>
    <row r="494" spans="30:30" x14ac:dyDescent="0.3">
      <c r="AD494" s="16"/>
    </row>
    <row r="495" spans="30:30" x14ac:dyDescent="0.3">
      <c r="AD495" s="16"/>
    </row>
    <row r="496" spans="30:30" x14ac:dyDescent="0.3">
      <c r="AD496" s="16"/>
    </row>
    <row r="497" spans="30:30" x14ac:dyDescent="0.3">
      <c r="AD497" s="16"/>
    </row>
    <row r="498" spans="30:30" x14ac:dyDescent="0.3">
      <c r="AD498" s="16"/>
    </row>
    <row r="499" spans="30:30" x14ac:dyDescent="0.3">
      <c r="AD499" s="16"/>
    </row>
    <row r="500" spans="30:30" x14ac:dyDescent="0.3">
      <c r="AD500" s="16"/>
    </row>
    <row r="501" spans="30:30" x14ac:dyDescent="0.3">
      <c r="AD501" s="16"/>
    </row>
    <row r="502" spans="30:30" x14ac:dyDescent="0.3">
      <c r="AD502" s="16"/>
    </row>
    <row r="503" spans="30:30" x14ac:dyDescent="0.3">
      <c r="AD503" s="16"/>
    </row>
    <row r="504" spans="30:30" x14ac:dyDescent="0.3">
      <c r="AD504" s="16"/>
    </row>
    <row r="505" spans="30:30" x14ac:dyDescent="0.3">
      <c r="AD505" s="16"/>
    </row>
    <row r="506" spans="30:30" x14ac:dyDescent="0.3">
      <c r="AD506" s="16"/>
    </row>
    <row r="507" spans="30:30" x14ac:dyDescent="0.3">
      <c r="AD507" s="16"/>
    </row>
    <row r="508" spans="30:30" x14ac:dyDescent="0.3">
      <c r="AD508" s="16"/>
    </row>
    <row r="509" spans="30:30" x14ac:dyDescent="0.3">
      <c r="AD509" s="16"/>
    </row>
    <row r="510" spans="30:30" x14ac:dyDescent="0.3">
      <c r="AD510" s="16"/>
    </row>
    <row r="511" spans="30:30" x14ac:dyDescent="0.3">
      <c r="AD511" s="16"/>
    </row>
    <row r="512" spans="30:30" x14ac:dyDescent="0.3">
      <c r="AD512" s="16"/>
    </row>
    <row r="513" spans="30:30" x14ac:dyDescent="0.3">
      <c r="AD513" s="16"/>
    </row>
    <row r="514" spans="30:30" x14ac:dyDescent="0.3">
      <c r="AD514" s="16"/>
    </row>
    <row r="515" spans="30:30" x14ac:dyDescent="0.3">
      <c r="AD515" s="16"/>
    </row>
    <row r="516" spans="30:30" x14ac:dyDescent="0.3">
      <c r="AD516" s="16"/>
    </row>
    <row r="517" spans="30:30" x14ac:dyDescent="0.3">
      <c r="AD517" s="16"/>
    </row>
    <row r="518" spans="30:30" x14ac:dyDescent="0.3">
      <c r="AD518" s="16"/>
    </row>
    <row r="519" spans="30:30" x14ac:dyDescent="0.3">
      <c r="AD519" s="16"/>
    </row>
    <row r="520" spans="30:30" x14ac:dyDescent="0.3">
      <c r="AD520" s="16"/>
    </row>
    <row r="521" spans="30:30" x14ac:dyDescent="0.3">
      <c r="AD521" s="16"/>
    </row>
    <row r="522" spans="30:30" x14ac:dyDescent="0.3">
      <c r="AD522" s="16"/>
    </row>
    <row r="523" spans="30:30" x14ac:dyDescent="0.3">
      <c r="AD523" s="16"/>
    </row>
    <row r="524" spans="30:30" x14ac:dyDescent="0.3">
      <c r="AD524" s="16"/>
    </row>
    <row r="525" spans="30:30" x14ac:dyDescent="0.3">
      <c r="AD525" s="16"/>
    </row>
    <row r="526" spans="30:30" x14ac:dyDescent="0.3">
      <c r="AD526" s="16"/>
    </row>
    <row r="527" spans="30:30" x14ac:dyDescent="0.3">
      <c r="AD527" s="16"/>
    </row>
    <row r="528" spans="30:30" x14ac:dyDescent="0.3">
      <c r="AD528" s="16"/>
    </row>
    <row r="529" spans="30:30" x14ac:dyDescent="0.3">
      <c r="AD529" s="16"/>
    </row>
    <row r="530" spans="30:30" x14ac:dyDescent="0.3">
      <c r="AD530" s="16"/>
    </row>
    <row r="531" spans="30:30" x14ac:dyDescent="0.3">
      <c r="AD531" s="16"/>
    </row>
    <row r="532" spans="30:30" x14ac:dyDescent="0.3">
      <c r="AD532" s="16"/>
    </row>
    <row r="533" spans="30:30" x14ac:dyDescent="0.3">
      <c r="AD533" s="16"/>
    </row>
    <row r="534" spans="30:30" x14ac:dyDescent="0.3">
      <c r="AD534" s="16"/>
    </row>
    <row r="535" spans="30:30" x14ac:dyDescent="0.3">
      <c r="AD535" s="16"/>
    </row>
    <row r="536" spans="30:30" x14ac:dyDescent="0.3">
      <c r="AD536" s="16"/>
    </row>
    <row r="537" spans="30:30" x14ac:dyDescent="0.3">
      <c r="AD537" s="16"/>
    </row>
    <row r="538" spans="30:30" x14ac:dyDescent="0.3">
      <c r="AD538" s="16"/>
    </row>
    <row r="539" spans="30:30" x14ac:dyDescent="0.3">
      <c r="AD539" s="16"/>
    </row>
    <row r="540" spans="30:30" x14ac:dyDescent="0.3">
      <c r="AD540" s="16"/>
    </row>
    <row r="541" spans="30:30" x14ac:dyDescent="0.3">
      <c r="AD541" s="16"/>
    </row>
    <row r="542" spans="30:30" x14ac:dyDescent="0.3">
      <c r="AD542" s="16"/>
    </row>
    <row r="543" spans="30:30" x14ac:dyDescent="0.3">
      <c r="AD543" s="16"/>
    </row>
    <row r="544" spans="30:30" x14ac:dyDescent="0.3">
      <c r="AD544" s="16"/>
    </row>
    <row r="545" spans="30:30" x14ac:dyDescent="0.3">
      <c r="AD545" s="16"/>
    </row>
    <row r="546" spans="30:30" x14ac:dyDescent="0.3">
      <c r="AD546" s="16"/>
    </row>
    <row r="547" spans="30:30" x14ac:dyDescent="0.3">
      <c r="AD547" s="16"/>
    </row>
    <row r="548" spans="30:30" x14ac:dyDescent="0.3">
      <c r="AD548" s="16"/>
    </row>
    <row r="549" spans="30:30" x14ac:dyDescent="0.3">
      <c r="AD549" s="16"/>
    </row>
    <row r="550" spans="30:30" x14ac:dyDescent="0.3">
      <c r="AD550" s="16"/>
    </row>
    <row r="551" spans="30:30" x14ac:dyDescent="0.3">
      <c r="AD551" s="16"/>
    </row>
    <row r="552" spans="30:30" x14ac:dyDescent="0.3">
      <c r="AD552" s="16"/>
    </row>
    <row r="553" spans="30:30" x14ac:dyDescent="0.3">
      <c r="AD553" s="16"/>
    </row>
    <row r="554" spans="30:30" x14ac:dyDescent="0.3">
      <c r="AD554" s="16"/>
    </row>
    <row r="555" spans="30:30" x14ac:dyDescent="0.3">
      <c r="AD555" s="16"/>
    </row>
    <row r="556" spans="30:30" x14ac:dyDescent="0.3">
      <c r="AD556" s="16"/>
    </row>
    <row r="557" spans="30:30" x14ac:dyDescent="0.3">
      <c r="AD557" s="16"/>
    </row>
    <row r="558" spans="30:30" x14ac:dyDescent="0.3">
      <c r="AD558" s="16"/>
    </row>
    <row r="559" spans="30:30" x14ac:dyDescent="0.3">
      <c r="AD559" s="16"/>
    </row>
    <row r="560" spans="30:30" x14ac:dyDescent="0.3">
      <c r="AD560" s="16"/>
    </row>
    <row r="561" spans="30:30" x14ac:dyDescent="0.3">
      <c r="AD561" s="16"/>
    </row>
    <row r="562" spans="30:30" x14ac:dyDescent="0.3">
      <c r="AD562" s="16"/>
    </row>
    <row r="563" spans="30:30" x14ac:dyDescent="0.3">
      <c r="AD563" s="16"/>
    </row>
    <row r="564" spans="30:30" x14ac:dyDescent="0.3">
      <c r="AD564" s="16"/>
    </row>
    <row r="565" spans="30:30" x14ac:dyDescent="0.3">
      <c r="AD565" s="16"/>
    </row>
    <row r="566" spans="30:30" x14ac:dyDescent="0.3">
      <c r="AD566" s="16"/>
    </row>
    <row r="567" spans="30:30" x14ac:dyDescent="0.3">
      <c r="AD567" s="16"/>
    </row>
    <row r="568" spans="30:30" x14ac:dyDescent="0.3">
      <c r="AD568" s="16"/>
    </row>
    <row r="569" spans="30:30" x14ac:dyDescent="0.3">
      <c r="AD569" s="16"/>
    </row>
    <row r="570" spans="30:30" x14ac:dyDescent="0.3">
      <c r="AD570" s="16"/>
    </row>
    <row r="571" spans="30:30" x14ac:dyDescent="0.3">
      <c r="AD571" s="16"/>
    </row>
    <row r="572" spans="30:30" x14ac:dyDescent="0.3">
      <c r="AD572" s="16"/>
    </row>
    <row r="573" spans="30:30" x14ac:dyDescent="0.3">
      <c r="AD573" s="16"/>
    </row>
    <row r="574" spans="30:30" x14ac:dyDescent="0.3">
      <c r="AD574" s="16"/>
    </row>
    <row r="575" spans="30:30" x14ac:dyDescent="0.3">
      <c r="AD575" s="16"/>
    </row>
    <row r="576" spans="30:30" x14ac:dyDescent="0.3">
      <c r="AD576" s="16"/>
    </row>
    <row r="577" spans="30:30" x14ac:dyDescent="0.3">
      <c r="AD577" s="16"/>
    </row>
    <row r="578" spans="30:30" x14ac:dyDescent="0.3">
      <c r="AD578" s="16"/>
    </row>
    <row r="579" spans="30:30" x14ac:dyDescent="0.3">
      <c r="AD579" s="16"/>
    </row>
    <row r="580" spans="30:30" x14ac:dyDescent="0.3">
      <c r="AD580" s="16"/>
    </row>
    <row r="581" spans="30:30" x14ac:dyDescent="0.3">
      <c r="AD581" s="16"/>
    </row>
    <row r="582" spans="30:30" x14ac:dyDescent="0.3">
      <c r="AD582" s="16"/>
    </row>
    <row r="583" spans="30:30" x14ac:dyDescent="0.3">
      <c r="AD583" s="16"/>
    </row>
    <row r="584" spans="30:30" x14ac:dyDescent="0.3">
      <c r="AD584" s="16"/>
    </row>
    <row r="585" spans="30:30" x14ac:dyDescent="0.3">
      <c r="AD585" s="16"/>
    </row>
    <row r="586" spans="30:30" x14ac:dyDescent="0.3">
      <c r="AD586" s="16"/>
    </row>
    <row r="587" spans="30:30" x14ac:dyDescent="0.3">
      <c r="AD587" s="16"/>
    </row>
    <row r="588" spans="30:30" x14ac:dyDescent="0.3">
      <c r="AD588" s="16"/>
    </row>
    <row r="589" spans="30:30" x14ac:dyDescent="0.3">
      <c r="AD589" s="16"/>
    </row>
    <row r="590" spans="30:30" x14ac:dyDescent="0.3">
      <c r="AD590" s="16"/>
    </row>
    <row r="591" spans="30:30" x14ac:dyDescent="0.3">
      <c r="AD591" s="16"/>
    </row>
    <row r="592" spans="30:30" x14ac:dyDescent="0.3">
      <c r="AD592" s="16"/>
    </row>
    <row r="593" spans="30:30" x14ac:dyDescent="0.3">
      <c r="AD593" s="16"/>
    </row>
    <row r="594" spans="30:30" x14ac:dyDescent="0.3">
      <c r="AD594" s="16"/>
    </row>
    <row r="595" spans="30:30" x14ac:dyDescent="0.3">
      <c r="AD595" s="16"/>
    </row>
    <row r="596" spans="30:30" x14ac:dyDescent="0.3">
      <c r="AD596" s="16"/>
    </row>
    <row r="597" spans="30:30" x14ac:dyDescent="0.3">
      <c r="AD597" s="16"/>
    </row>
    <row r="598" spans="30:30" x14ac:dyDescent="0.3">
      <c r="AD598" s="16"/>
    </row>
    <row r="599" spans="30:30" x14ac:dyDescent="0.3">
      <c r="AD599" s="16"/>
    </row>
    <row r="600" spans="30:30" x14ac:dyDescent="0.3">
      <c r="AD600" s="16"/>
    </row>
    <row r="601" spans="30:30" x14ac:dyDescent="0.3">
      <c r="AD601" s="16"/>
    </row>
    <row r="602" spans="30:30" x14ac:dyDescent="0.3">
      <c r="AD602" s="16"/>
    </row>
    <row r="603" spans="30:30" x14ac:dyDescent="0.3">
      <c r="AD603" s="16"/>
    </row>
    <row r="604" spans="30:30" x14ac:dyDescent="0.3">
      <c r="AD604" s="16"/>
    </row>
    <row r="605" spans="30:30" x14ac:dyDescent="0.3">
      <c r="AD605" s="16"/>
    </row>
    <row r="606" spans="30:30" x14ac:dyDescent="0.3">
      <c r="AD606" s="16"/>
    </row>
    <row r="607" spans="30:30" x14ac:dyDescent="0.3">
      <c r="AD607" s="16"/>
    </row>
    <row r="608" spans="30:30" x14ac:dyDescent="0.3">
      <c r="AD608" s="16"/>
    </row>
    <row r="609" spans="30:30" x14ac:dyDescent="0.3">
      <c r="AD609" s="16"/>
    </row>
    <row r="610" spans="30:30" x14ac:dyDescent="0.3">
      <c r="AD610" s="16"/>
    </row>
    <row r="611" spans="30:30" x14ac:dyDescent="0.3">
      <c r="AD611" s="16"/>
    </row>
    <row r="612" spans="30:30" x14ac:dyDescent="0.3">
      <c r="AD612" s="16"/>
    </row>
    <row r="613" spans="30:30" x14ac:dyDescent="0.3">
      <c r="AD613" s="16"/>
    </row>
    <row r="614" spans="30:30" x14ac:dyDescent="0.3">
      <c r="AD614" s="16"/>
    </row>
    <row r="615" spans="30:30" x14ac:dyDescent="0.3">
      <c r="AD615" s="16"/>
    </row>
    <row r="616" spans="30:30" x14ac:dyDescent="0.3">
      <c r="AD616" s="16"/>
    </row>
    <row r="617" spans="30:30" x14ac:dyDescent="0.3">
      <c r="AD617" s="16"/>
    </row>
    <row r="618" spans="30:30" x14ac:dyDescent="0.3">
      <c r="AD618" s="16"/>
    </row>
    <row r="619" spans="30:30" x14ac:dyDescent="0.3">
      <c r="AD619" s="16"/>
    </row>
    <row r="620" spans="30:30" x14ac:dyDescent="0.3">
      <c r="AD620" s="16"/>
    </row>
    <row r="621" spans="30:30" x14ac:dyDescent="0.3">
      <c r="AD621" s="16"/>
    </row>
    <row r="622" spans="30:30" x14ac:dyDescent="0.3">
      <c r="AD622" s="16"/>
    </row>
    <row r="623" spans="30:30" x14ac:dyDescent="0.3">
      <c r="AD623" s="16"/>
    </row>
    <row r="624" spans="30:30" x14ac:dyDescent="0.3">
      <c r="AD624" s="16"/>
    </row>
    <row r="625" spans="30:30" x14ac:dyDescent="0.3">
      <c r="AD625" s="16"/>
    </row>
    <row r="626" spans="30:30" x14ac:dyDescent="0.3">
      <c r="AD626" s="16"/>
    </row>
    <row r="627" spans="30:30" x14ac:dyDescent="0.3">
      <c r="AD627" s="16"/>
    </row>
    <row r="628" spans="30:30" x14ac:dyDescent="0.3">
      <c r="AD628" s="16"/>
    </row>
    <row r="629" spans="30:30" x14ac:dyDescent="0.3">
      <c r="AD629" s="16"/>
    </row>
    <row r="630" spans="30:30" x14ac:dyDescent="0.3">
      <c r="AD630" s="16"/>
    </row>
    <row r="631" spans="30:30" x14ac:dyDescent="0.3">
      <c r="AD631" s="16"/>
    </row>
    <row r="632" spans="30:30" x14ac:dyDescent="0.3">
      <c r="AD632" s="16"/>
    </row>
    <row r="633" spans="30:30" x14ac:dyDescent="0.3">
      <c r="AD633" s="16"/>
    </row>
    <row r="634" spans="30:30" x14ac:dyDescent="0.3">
      <c r="AD634" s="16"/>
    </row>
    <row r="635" spans="30:30" x14ac:dyDescent="0.3">
      <c r="AD635" s="16"/>
    </row>
    <row r="636" spans="30:30" x14ac:dyDescent="0.3">
      <c r="AD636" s="16"/>
    </row>
    <row r="637" spans="30:30" x14ac:dyDescent="0.3">
      <c r="AD637" s="16"/>
    </row>
    <row r="638" spans="30:30" x14ac:dyDescent="0.3">
      <c r="AD638" s="16"/>
    </row>
    <row r="639" spans="30:30" x14ac:dyDescent="0.3">
      <c r="AD639" s="16"/>
    </row>
    <row r="640" spans="30:30" x14ac:dyDescent="0.3">
      <c r="AD640" s="16"/>
    </row>
    <row r="641" spans="30:30" x14ac:dyDescent="0.3">
      <c r="AD641" s="16"/>
    </row>
    <row r="642" spans="30:30" x14ac:dyDescent="0.3">
      <c r="AD642" s="16"/>
    </row>
    <row r="643" spans="30:30" x14ac:dyDescent="0.3">
      <c r="AD643" s="16"/>
    </row>
    <row r="644" spans="30:30" x14ac:dyDescent="0.3">
      <c r="AD644" s="16"/>
    </row>
    <row r="645" spans="30:30" x14ac:dyDescent="0.3">
      <c r="AD645" s="16"/>
    </row>
    <row r="646" spans="30:30" x14ac:dyDescent="0.3">
      <c r="AD646" s="16"/>
    </row>
    <row r="647" spans="30:30" x14ac:dyDescent="0.3">
      <c r="AD647" s="16"/>
    </row>
    <row r="648" spans="30:30" x14ac:dyDescent="0.3">
      <c r="AD648" s="16"/>
    </row>
    <row r="649" spans="30:30" x14ac:dyDescent="0.3">
      <c r="AD649" s="16"/>
    </row>
    <row r="650" spans="30:30" x14ac:dyDescent="0.3">
      <c r="AD650" s="16"/>
    </row>
    <row r="651" spans="30:30" x14ac:dyDescent="0.3">
      <c r="AD651" s="16"/>
    </row>
    <row r="652" spans="30:30" x14ac:dyDescent="0.3">
      <c r="AD652" s="16"/>
    </row>
    <row r="653" spans="30:30" x14ac:dyDescent="0.3">
      <c r="AD653" s="16"/>
    </row>
    <row r="654" spans="30:30" x14ac:dyDescent="0.3">
      <c r="AD654" s="16"/>
    </row>
    <row r="655" spans="30:30" x14ac:dyDescent="0.3">
      <c r="AD655" s="16"/>
    </row>
    <row r="656" spans="30:30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</sheetData>
  <sortState xmlns:xlrd2="http://schemas.microsoft.com/office/spreadsheetml/2017/richdata2" ref="A2:AE18">
    <sortCondition descending="1" ref="A1:A1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>
      <selection activeCell="A2" sqref="A2:XFD2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31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26</v>
      </c>
      <c r="P1" s="4" t="s">
        <v>27</v>
      </c>
      <c r="Q1" s="4" t="s">
        <v>28</v>
      </c>
      <c r="R1" s="3" t="s">
        <v>29</v>
      </c>
      <c r="S1" s="4" t="s">
        <v>33</v>
      </c>
      <c r="T1" s="5" t="s">
        <v>32</v>
      </c>
      <c r="U1" s="6" t="s">
        <v>11</v>
      </c>
      <c r="V1" s="7" t="s">
        <v>12</v>
      </c>
      <c r="W1" s="5" t="s">
        <v>40</v>
      </c>
      <c r="X1" s="1" t="s">
        <v>13</v>
      </c>
      <c r="Y1" s="1" t="s">
        <v>35</v>
      </c>
      <c r="Z1" s="1" t="s">
        <v>14</v>
      </c>
      <c r="AA1" s="1" t="s">
        <v>36</v>
      </c>
      <c r="AB1" s="8" t="s">
        <v>30</v>
      </c>
      <c r="AC1" s="5" t="s">
        <v>37</v>
      </c>
      <c r="AD1" s="17" t="s">
        <v>42</v>
      </c>
    </row>
    <row r="2" spans="1:31" x14ac:dyDescent="0.3">
      <c r="A2">
        <v>219</v>
      </c>
      <c r="B2">
        <v>4395926</v>
      </c>
      <c r="C2" t="s">
        <v>47</v>
      </c>
      <c r="D2">
        <v>1220166</v>
      </c>
      <c r="E2" t="s">
        <v>90</v>
      </c>
      <c r="F2" t="s">
        <v>20</v>
      </c>
      <c r="G2" t="s">
        <v>143</v>
      </c>
      <c r="H2" t="s">
        <v>144</v>
      </c>
      <c r="I2" s="9" t="s">
        <v>256</v>
      </c>
      <c r="J2" s="9">
        <v>51160305749</v>
      </c>
      <c r="K2" s="14" t="s">
        <v>225</v>
      </c>
      <c r="L2" s="13" t="s">
        <v>309</v>
      </c>
      <c r="M2" s="14">
        <v>507</v>
      </c>
      <c r="N2" s="14">
        <v>0.43</v>
      </c>
      <c r="O2" s="10">
        <f t="shared" ref="O2" si="0">M2*N2</f>
        <v>218.01</v>
      </c>
      <c r="P2" s="11">
        <v>0</v>
      </c>
      <c r="Q2" s="11">
        <v>0</v>
      </c>
      <c r="R2" s="10">
        <f>IF(COUNTIF($J$2:J2,J2)=1,SUMIFS($O:$O,$J:$J,J2)+SUMIFS($P:$P,$J:$J,J2)+SUMIFS($Q:$Q,$J:$J,J2),"")</f>
        <v>218.01</v>
      </c>
      <c r="S2" s="10">
        <v>218.01</v>
      </c>
      <c r="T2" s="11" t="str">
        <f>IFERROR(INDEX(AD:AD,MATCH(J2,J:J,0)),"")</f>
        <v>Ok</v>
      </c>
      <c r="U2" s="12">
        <v>45616</v>
      </c>
      <c r="V2" s="10">
        <v>218.01</v>
      </c>
      <c r="W2" s="10" t="str">
        <f t="shared" ref="W2" si="1">IF(OR(S2="",V2=""),"N/A",IF(S2&lt;&gt;V2,"Short Paid","Not Paid"))</f>
        <v>Not Paid</v>
      </c>
      <c r="X2" t="s">
        <v>62</v>
      </c>
      <c r="Y2" t="s">
        <v>24</v>
      </c>
      <c r="Z2">
        <v>100249</v>
      </c>
      <c r="AA2" t="s">
        <v>66</v>
      </c>
      <c r="AB2" t="s">
        <v>71</v>
      </c>
      <c r="AC2" s="9">
        <f>COUNTIF(J:J,J2)</f>
        <v>1</v>
      </c>
      <c r="AD2" s="9" t="str">
        <f t="shared" ref="AD2" si="2">IF(AND(R2="",S2=""),"N/A",IF(R2=S2,"Ok","Check"))</f>
        <v>Ok</v>
      </c>
      <c r="AE2" s="11">
        <f t="shared" ref="AE2" si="3">R2-S2</f>
        <v>0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>
      <selection activeCell="D11" sqref="D11:D12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31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26</v>
      </c>
      <c r="P1" s="4" t="s">
        <v>27</v>
      </c>
      <c r="Q1" s="4" t="s">
        <v>28</v>
      </c>
      <c r="R1" s="3" t="s">
        <v>29</v>
      </c>
      <c r="S1" s="4" t="s">
        <v>33</v>
      </c>
      <c r="T1" s="5" t="s">
        <v>32</v>
      </c>
      <c r="U1" s="6" t="s">
        <v>11</v>
      </c>
      <c r="V1" s="7" t="s">
        <v>12</v>
      </c>
      <c r="W1" s="5" t="s">
        <v>40</v>
      </c>
      <c r="X1" s="1" t="s">
        <v>13</v>
      </c>
      <c r="Y1" s="1" t="s">
        <v>35</v>
      </c>
      <c r="Z1" s="1" t="s">
        <v>14</v>
      </c>
      <c r="AA1" s="1" t="s">
        <v>36</v>
      </c>
      <c r="AB1" s="8" t="s">
        <v>30</v>
      </c>
      <c r="AC1" s="5" t="s">
        <v>37</v>
      </c>
      <c r="AD1" s="15" t="s">
        <v>41</v>
      </c>
      <c r="AE1" s="15" t="s">
        <v>42</v>
      </c>
    </row>
    <row r="2" spans="1:31" x14ac:dyDescent="0.3">
      <c r="A2">
        <v>18</v>
      </c>
      <c r="B2">
        <v>4858917</v>
      </c>
      <c r="C2" t="s">
        <v>47</v>
      </c>
      <c r="D2">
        <v>1267403</v>
      </c>
      <c r="E2" t="s">
        <v>51</v>
      </c>
      <c r="F2" t="s">
        <v>20</v>
      </c>
      <c r="G2" t="s">
        <v>45</v>
      </c>
      <c r="H2" t="s">
        <v>46</v>
      </c>
      <c r="I2" t="s">
        <v>244</v>
      </c>
      <c r="J2">
        <v>51151418088</v>
      </c>
      <c r="K2" t="s">
        <v>212</v>
      </c>
      <c r="L2" t="s">
        <v>379</v>
      </c>
      <c r="M2">
        <v>1</v>
      </c>
      <c r="N2">
        <v>250</v>
      </c>
      <c r="O2" s="10">
        <f t="shared" ref="O2:O3" si="0">M2*N2</f>
        <v>250</v>
      </c>
      <c r="P2">
        <v>0</v>
      </c>
      <c r="Q2">
        <v>566.21</v>
      </c>
      <c r="R2">
        <v>5201.0600999999997</v>
      </c>
      <c r="S2">
        <v>5201.0600000000004</v>
      </c>
      <c r="T2" s="11" t="str">
        <f>IFERROR(INDEX(AD:AD,MATCH(J2,J:J,0)),"")</f>
        <v>Check</v>
      </c>
      <c r="U2" s="12">
        <v>46150</v>
      </c>
      <c r="V2" s="10">
        <v>250</v>
      </c>
      <c r="W2" s="10" t="str">
        <f t="shared" ref="W2:W3" si="1">IF(OR(S2="",V2=""),"N/A",IF(S2&lt;&gt;V2,"Short Paid","Not Paid"))</f>
        <v>Short Paid</v>
      </c>
      <c r="X2" t="s">
        <v>64</v>
      </c>
      <c r="Y2" t="s">
        <v>24</v>
      </c>
      <c r="Z2">
        <v>100122</v>
      </c>
      <c r="AA2" t="s">
        <v>70</v>
      </c>
      <c r="AB2" t="s">
        <v>71</v>
      </c>
      <c r="AC2">
        <v>2</v>
      </c>
      <c r="AD2" s="9" t="str">
        <f t="shared" ref="AD2:AD3" si="2">IF(AND(R2="",S2=""),"N/A",IF(R2=S2,"Ok","Check"))</f>
        <v>Check</v>
      </c>
      <c r="AE2" s="11">
        <f t="shared" ref="AE2:AE3" si="3">R2-S2</f>
        <v>9.999999929277692E-5</v>
      </c>
    </row>
    <row r="3" spans="1:31" x14ac:dyDescent="0.3">
      <c r="A3">
        <v>18</v>
      </c>
      <c r="B3">
        <v>4858917</v>
      </c>
      <c r="C3" t="s">
        <v>47</v>
      </c>
      <c r="D3">
        <v>1267403</v>
      </c>
      <c r="E3" t="s">
        <v>51</v>
      </c>
      <c r="F3" t="s">
        <v>20</v>
      </c>
      <c r="G3" t="s">
        <v>45</v>
      </c>
      <c r="H3" t="s">
        <v>46</v>
      </c>
      <c r="I3" t="s">
        <v>251</v>
      </c>
      <c r="J3">
        <v>51151418088</v>
      </c>
      <c r="K3" t="s">
        <v>225</v>
      </c>
      <c r="L3" t="s">
        <v>381</v>
      </c>
      <c r="M3">
        <v>6217</v>
      </c>
      <c r="N3">
        <v>0.70529999999999993</v>
      </c>
      <c r="O3" s="10">
        <f t="shared" si="0"/>
        <v>4384.8500999999997</v>
      </c>
      <c r="P3" t="s">
        <v>383</v>
      </c>
      <c r="Q3" t="s">
        <v>383</v>
      </c>
      <c r="R3" t="s">
        <v>383</v>
      </c>
      <c r="S3" t="s">
        <v>383</v>
      </c>
      <c r="T3" s="11" t="str">
        <f>IFERROR(INDEX(AD:AD,MATCH(J3,J:J,0)),"")</f>
        <v>Check</v>
      </c>
      <c r="U3" s="12">
        <v>46150</v>
      </c>
      <c r="V3" s="10">
        <v>250</v>
      </c>
      <c r="W3" s="10" t="str">
        <f t="shared" si="1"/>
        <v>N/A</v>
      </c>
      <c r="X3" t="s">
        <v>64</v>
      </c>
      <c r="Y3" t="s">
        <v>24</v>
      </c>
      <c r="Z3">
        <v>100122</v>
      </c>
      <c r="AA3" t="s">
        <v>70</v>
      </c>
      <c r="AB3" t="s">
        <v>71</v>
      </c>
      <c r="AC3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31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26</v>
      </c>
      <c r="P1" s="4" t="s">
        <v>27</v>
      </c>
      <c r="Q1" s="4" t="s">
        <v>28</v>
      </c>
      <c r="R1" s="3" t="s">
        <v>29</v>
      </c>
      <c r="S1" s="4" t="s">
        <v>33</v>
      </c>
      <c r="T1" s="5" t="s">
        <v>32</v>
      </c>
      <c r="U1" s="6" t="s">
        <v>11</v>
      </c>
      <c r="V1" s="7" t="s">
        <v>12</v>
      </c>
      <c r="W1" s="5" t="s">
        <v>40</v>
      </c>
      <c r="X1" s="1" t="s">
        <v>13</v>
      </c>
      <c r="Y1" s="1" t="s">
        <v>35</v>
      </c>
      <c r="Z1" s="1" t="s">
        <v>14</v>
      </c>
      <c r="AA1" s="1" t="s">
        <v>36</v>
      </c>
      <c r="AB1" s="8" t="s">
        <v>30</v>
      </c>
      <c r="AC1" s="5" t="s">
        <v>37</v>
      </c>
      <c r="AD1" s="5" t="s">
        <v>41</v>
      </c>
    </row>
  </sheetData>
  <autoFilter ref="A1:AD1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2026-07-02T13:24:56Z</dcterms:modified>
</cp:coreProperties>
</file>