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North America\"/>
    </mc:Choice>
  </mc:AlternateContent>
  <xr:revisionPtr revIDLastSave="0" documentId="13_ncr:1_{0324E0AC-7065-43B1-B0CF-732C0CED55C8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Sheet1!$A$1:$AE$287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5" l="1"/>
  <c r="AD3" i="5"/>
  <c r="W3" i="5"/>
  <c r="T3" i="5"/>
  <c r="O3" i="5"/>
  <c r="AE2" i="5"/>
  <c r="AD2" i="5"/>
  <c r="W2" i="5"/>
  <c r="T2" i="5"/>
  <c r="O2" i="5"/>
  <c r="AC2" i="4"/>
  <c r="W2" i="4"/>
  <c r="R2" i="4"/>
  <c r="AE2" i="4" s="1"/>
  <c r="O2" i="4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R186" i="3" s="1"/>
  <c r="O187" i="3"/>
  <c r="O188" i="3"/>
  <c r="O189" i="3"/>
  <c r="O190" i="3"/>
  <c r="O191" i="3"/>
  <c r="O192" i="3"/>
  <c r="R192" i="3" s="1"/>
  <c r="AD192" i="3" s="1"/>
  <c r="O193" i="3"/>
  <c r="O194" i="3"/>
  <c r="O195" i="3"/>
  <c r="O196" i="3"/>
  <c r="O197" i="3"/>
  <c r="O198" i="3"/>
  <c r="R198" i="3" s="1"/>
  <c r="AD198" i="3" s="1"/>
  <c r="O199" i="3"/>
  <c r="O200" i="3"/>
  <c r="O201" i="3"/>
  <c r="O202" i="3"/>
  <c r="O203" i="3"/>
  <c r="R202" i="3" s="1"/>
  <c r="AD202" i="3" s="1"/>
  <c r="O204" i="3"/>
  <c r="R204" i="3" s="1"/>
  <c r="AD204" i="3" s="1"/>
  <c r="O205" i="3"/>
  <c r="O206" i="3"/>
  <c r="O207" i="3"/>
  <c r="O208" i="3"/>
  <c r="O209" i="3"/>
  <c r="O210" i="3"/>
  <c r="R210" i="3" s="1"/>
  <c r="AD210" i="3" s="1"/>
  <c r="T211" i="3" s="1"/>
  <c r="O211" i="3"/>
  <c r="O212" i="3"/>
  <c r="O213" i="3"/>
  <c r="O214" i="3"/>
  <c r="O215" i="3"/>
  <c r="O216" i="3"/>
  <c r="R216" i="3" s="1"/>
  <c r="AD216" i="3" s="1"/>
  <c r="O217" i="3"/>
  <c r="O218" i="3"/>
  <c r="O219" i="3"/>
  <c r="O220" i="3"/>
  <c r="O221" i="3"/>
  <c r="O222" i="3"/>
  <c r="O223" i="3"/>
  <c r="O224" i="3"/>
  <c r="O225" i="3"/>
  <c r="O226" i="3"/>
  <c r="O227" i="3"/>
  <c r="R226" i="3" s="1"/>
  <c r="AD226" i="3" s="1"/>
  <c r="T226" i="3" s="1"/>
  <c r="O228" i="3"/>
  <c r="R228" i="3" s="1"/>
  <c r="AD228" i="3" s="1"/>
  <c r="O229" i="3"/>
  <c r="O230" i="3"/>
  <c r="O231" i="3"/>
  <c r="O232" i="3"/>
  <c r="O233" i="3"/>
  <c r="O234" i="3"/>
  <c r="O235" i="3"/>
  <c r="O236" i="3"/>
  <c r="O237" i="3"/>
  <c r="O238" i="3"/>
  <c r="R237" i="3" s="1"/>
  <c r="AD237" i="3" s="1"/>
  <c r="O239" i="3"/>
  <c r="O240" i="3"/>
  <c r="R239" i="3" s="1"/>
  <c r="AE239" i="3" s="1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R253" i="3" s="1"/>
  <c r="AD253" i="3" s="1"/>
  <c r="O254" i="3"/>
  <c r="O255" i="3"/>
  <c r="O256" i="3"/>
  <c r="O257" i="3"/>
  <c r="O258" i="3"/>
  <c r="R258" i="3" s="1"/>
  <c r="AD258" i="3" s="1"/>
  <c r="O259" i="3"/>
  <c r="O260" i="3"/>
  <c r="O261" i="3"/>
  <c r="O262" i="3"/>
  <c r="R260" i="3" s="1"/>
  <c r="AD260" i="3" s="1"/>
  <c r="T260" i="3" s="1"/>
  <c r="O263" i="3"/>
  <c r="O264" i="3"/>
  <c r="O265" i="3"/>
  <c r="O266" i="3"/>
  <c r="O267" i="3"/>
  <c r="O268" i="3"/>
  <c r="O269" i="3"/>
  <c r="O270" i="3"/>
  <c r="R269" i="3" s="1"/>
  <c r="AD269" i="3" s="1"/>
  <c r="O271" i="3"/>
  <c r="O272" i="3"/>
  <c r="O273" i="3"/>
  <c r="O274" i="3"/>
  <c r="R273" i="3" s="1"/>
  <c r="AD273" i="3" s="1"/>
  <c r="O275" i="3"/>
  <c r="O276" i="3"/>
  <c r="R275" i="3" s="1"/>
  <c r="AD275" i="3" s="1"/>
  <c r="O277" i="3"/>
  <c r="R277" i="3" s="1"/>
  <c r="AD277" i="3" s="1"/>
  <c r="T277" i="3" s="1"/>
  <c r="O278" i="3"/>
  <c r="O279" i="3"/>
  <c r="O280" i="3"/>
  <c r="O281" i="3"/>
  <c r="O282" i="3"/>
  <c r="O283" i="3"/>
  <c r="O284" i="3"/>
  <c r="O285" i="3"/>
  <c r="O286" i="3"/>
  <c r="R285" i="3" s="1"/>
  <c r="O287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AD177" i="3"/>
  <c r="AD178" i="3"/>
  <c r="AE177" i="3"/>
  <c r="AE178" i="3"/>
  <c r="R287" i="3"/>
  <c r="AD287" i="3" s="1"/>
  <c r="R286" i="3"/>
  <c r="AE286" i="3" s="1"/>
  <c r="R284" i="3"/>
  <c r="AD284" i="3" s="1"/>
  <c r="R282" i="3"/>
  <c r="AD282" i="3" s="1"/>
  <c r="R281" i="3"/>
  <c r="R280" i="3"/>
  <c r="AD280" i="3" s="1"/>
  <c r="R278" i="3"/>
  <c r="AD278" i="3" s="1"/>
  <c r="R276" i="3"/>
  <c r="AD276" i="3" s="1"/>
  <c r="R274" i="3"/>
  <c r="AD274" i="3" s="1"/>
  <c r="R272" i="3"/>
  <c r="AD272" i="3" s="1"/>
  <c r="R271" i="3"/>
  <c r="AD271" i="3" s="1"/>
  <c r="R270" i="3"/>
  <c r="AE270" i="3" s="1"/>
  <c r="R268" i="3"/>
  <c r="AD268" i="3" s="1"/>
  <c r="R266" i="3"/>
  <c r="R264" i="3"/>
  <c r="AD264" i="3" s="1"/>
  <c r="R262" i="3"/>
  <c r="AD262" i="3" s="1"/>
  <c r="R261" i="3"/>
  <c r="AD261" i="3" s="1"/>
  <c r="R259" i="3"/>
  <c r="AD259" i="3" s="1"/>
  <c r="R257" i="3"/>
  <c r="AE257" i="3" s="1"/>
  <c r="R256" i="3"/>
  <c r="AD256" i="3" s="1"/>
  <c r="R254" i="3"/>
  <c r="AD254" i="3" s="1"/>
  <c r="R252" i="3"/>
  <c r="AD252" i="3" s="1"/>
  <c r="R251" i="3"/>
  <c r="AD251" i="3" s="1"/>
  <c r="R250" i="3"/>
  <c r="AD250" i="3" s="1"/>
  <c r="R249" i="3"/>
  <c r="AD249" i="3" s="1"/>
  <c r="R248" i="3"/>
  <c r="AD248" i="3" s="1"/>
  <c r="R247" i="3"/>
  <c r="AD247" i="3" s="1"/>
  <c r="R246" i="3"/>
  <c r="AE246" i="3" s="1"/>
  <c r="R245" i="3"/>
  <c r="AD245" i="3" s="1"/>
  <c r="R244" i="3"/>
  <c r="AD244" i="3" s="1"/>
  <c r="R243" i="3"/>
  <c r="AD243" i="3" s="1"/>
  <c r="R242" i="3"/>
  <c r="R240" i="3"/>
  <c r="AE240" i="3" s="1"/>
  <c r="R238" i="3"/>
  <c r="AD238" i="3" s="1"/>
  <c r="R236" i="3"/>
  <c r="AD236" i="3" s="1"/>
  <c r="R235" i="3"/>
  <c r="AD235" i="3" s="1"/>
  <c r="T235" i="3" s="1"/>
  <c r="R234" i="3"/>
  <c r="AD234" i="3" s="1"/>
  <c r="R233" i="3"/>
  <c r="AD233" i="3" s="1"/>
  <c r="R232" i="3"/>
  <c r="R231" i="3"/>
  <c r="AD231" i="3" s="1"/>
  <c r="R229" i="3"/>
  <c r="R227" i="3"/>
  <c r="AD227" i="3" s="1"/>
  <c r="R225" i="3"/>
  <c r="AD225" i="3" s="1"/>
  <c r="R223" i="3"/>
  <c r="AD223" i="3" s="1"/>
  <c r="R224" i="3"/>
  <c r="AD224" i="3" s="1"/>
  <c r="R222" i="3"/>
  <c r="AD222" i="3" s="1"/>
  <c r="R221" i="3"/>
  <c r="AE221" i="3" s="1"/>
  <c r="R219" i="3"/>
  <c r="AD219" i="3" s="1"/>
  <c r="R218" i="3"/>
  <c r="AD218" i="3" s="1"/>
  <c r="T218" i="3" s="1"/>
  <c r="R217" i="3"/>
  <c r="AD217" i="3" s="1"/>
  <c r="R215" i="3"/>
  <c r="AD215" i="3" s="1"/>
  <c r="R213" i="3"/>
  <c r="AD213" i="3" s="1"/>
  <c r="R212" i="3"/>
  <c r="R211" i="3"/>
  <c r="R209" i="3"/>
  <c r="AE209" i="3" s="1"/>
  <c r="R207" i="3"/>
  <c r="AD207" i="3" s="1"/>
  <c r="R206" i="3"/>
  <c r="AD206" i="3" s="1"/>
  <c r="T206" i="3" s="1"/>
  <c r="R205" i="3"/>
  <c r="R203" i="3"/>
  <c r="AD203" i="3" s="1"/>
  <c r="R201" i="3"/>
  <c r="AD201" i="3" s="1"/>
  <c r="R200" i="3"/>
  <c r="AD200" i="3" s="1"/>
  <c r="R199" i="3"/>
  <c r="R197" i="3"/>
  <c r="AD197" i="3" s="1"/>
  <c r="R196" i="3"/>
  <c r="R195" i="3"/>
  <c r="R194" i="3"/>
  <c r="AD194" i="3" s="1"/>
  <c r="R193" i="3"/>
  <c r="R191" i="3"/>
  <c r="R190" i="3"/>
  <c r="AD190" i="3" s="1"/>
  <c r="R189" i="3"/>
  <c r="AD189" i="3" s="1"/>
  <c r="R187" i="3"/>
  <c r="AD187" i="3" s="1"/>
  <c r="R185" i="3"/>
  <c r="R184" i="3"/>
  <c r="AD184" i="3" s="1"/>
  <c r="R183" i="3"/>
  <c r="AD183" i="3" s="1"/>
  <c r="R182" i="3"/>
  <c r="R181" i="3"/>
  <c r="AD181" i="3" s="1"/>
  <c r="R180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R214" i="3" l="1"/>
  <c r="AE214" i="3" s="1"/>
  <c r="R188" i="3"/>
  <c r="AD188" i="3" s="1"/>
  <c r="T189" i="3" s="1"/>
  <c r="R179" i="3"/>
  <c r="AD179" i="3" s="1"/>
  <c r="T180" i="3" s="1"/>
  <c r="AD2" i="4"/>
  <c r="T2" i="4" s="1"/>
  <c r="AE244" i="3"/>
  <c r="R241" i="3"/>
  <c r="AD241" i="3" s="1"/>
  <c r="T252" i="3" s="1"/>
  <c r="AE248" i="3"/>
  <c r="AD285" i="3"/>
  <c r="T285" i="3" s="1"/>
  <c r="AE285" i="3"/>
  <c r="AE284" i="3"/>
  <c r="AE287" i="3"/>
  <c r="AE195" i="3"/>
  <c r="AD195" i="3"/>
  <c r="AE182" i="3"/>
  <c r="AD182" i="3"/>
  <c r="AE180" i="3"/>
  <c r="AD180" i="3"/>
  <c r="AE191" i="3"/>
  <c r="AD191" i="3"/>
  <c r="T273" i="3"/>
  <c r="T274" i="3"/>
  <c r="AE186" i="3"/>
  <c r="AD186" i="3"/>
  <c r="T186" i="3" s="1"/>
  <c r="T276" i="3"/>
  <c r="T275" i="3"/>
  <c r="AE185" i="3"/>
  <c r="AD185" i="3"/>
  <c r="AE205" i="3"/>
  <c r="AD205" i="3"/>
  <c r="AE193" i="3"/>
  <c r="AD193" i="3"/>
  <c r="T198" i="3"/>
  <c r="T199" i="3"/>
  <c r="AE199" i="3"/>
  <c r="AD199" i="3"/>
  <c r="AE196" i="3"/>
  <c r="AD196" i="3"/>
  <c r="T196" i="3" s="1"/>
  <c r="AE262" i="3"/>
  <c r="AE261" i="3"/>
  <c r="AE232" i="3"/>
  <c r="AD232" i="3"/>
  <c r="AE269" i="3"/>
  <c r="AE276" i="3"/>
  <c r="AD240" i="3"/>
  <c r="AE211" i="3"/>
  <c r="AD211" i="3"/>
  <c r="AE275" i="3"/>
  <c r="AE264" i="3"/>
  <c r="AD270" i="3"/>
  <c r="AD239" i="3"/>
  <c r="AD209" i="3"/>
  <c r="T224" i="3"/>
  <c r="T223" i="3"/>
  <c r="AE229" i="3"/>
  <c r="AD229" i="3"/>
  <c r="AE281" i="3"/>
  <c r="AD281" i="3"/>
  <c r="AE282" i="3"/>
  <c r="AE274" i="3"/>
  <c r="AE212" i="3"/>
  <c r="AD212" i="3"/>
  <c r="T212" i="3" s="1"/>
  <c r="AE280" i="3"/>
  <c r="AE273" i="3"/>
  <c r="AE278" i="3"/>
  <c r="AE272" i="3"/>
  <c r="AE268" i="3"/>
  <c r="AE252" i="3"/>
  <c r="AD257" i="3"/>
  <c r="AD266" i="3"/>
  <c r="AE266" i="3"/>
  <c r="AE277" i="3"/>
  <c r="AE271" i="3"/>
  <c r="AD246" i="3"/>
  <c r="T271" i="3"/>
  <c r="T272" i="3"/>
  <c r="AD221" i="3"/>
  <c r="AE242" i="3"/>
  <c r="AD242" i="3"/>
  <c r="AD286" i="3"/>
  <c r="T177" i="3"/>
  <c r="T178" i="3"/>
  <c r="T225" i="3"/>
  <c r="T219" i="3"/>
  <c r="T228" i="3"/>
  <c r="T229" i="3"/>
  <c r="T237" i="3"/>
  <c r="T238" i="3"/>
  <c r="T184" i="3"/>
  <c r="T183" i="3"/>
  <c r="T185" i="3"/>
  <c r="T259" i="3"/>
  <c r="T258" i="3"/>
  <c r="T193" i="3"/>
  <c r="T192" i="3"/>
  <c r="T216" i="3"/>
  <c r="T217" i="3"/>
  <c r="T213" i="3"/>
  <c r="T262" i="3"/>
  <c r="T195" i="3"/>
  <c r="T194" i="3"/>
  <c r="T278" i="3"/>
  <c r="T261" i="3"/>
  <c r="T201" i="3"/>
  <c r="T200" i="3"/>
  <c r="T269" i="3"/>
  <c r="T270" i="3"/>
  <c r="T210" i="3"/>
  <c r="T253" i="3"/>
  <c r="T254" i="3"/>
  <c r="T227" i="3"/>
  <c r="T203" i="3"/>
  <c r="T202" i="3"/>
  <c r="T236" i="3"/>
  <c r="T205" i="3"/>
  <c r="T204" i="3"/>
  <c r="T181" i="3"/>
  <c r="T182" i="3"/>
  <c r="T207" i="3"/>
  <c r="AE192" i="3"/>
  <c r="AE181" i="3"/>
  <c r="AE183" i="3"/>
  <c r="AE184" i="3"/>
  <c r="AE189" i="3"/>
  <c r="AE190" i="3"/>
  <c r="AE187" i="3"/>
  <c r="AE194" i="3"/>
  <c r="AE200" i="3"/>
  <c r="AE202" i="3"/>
  <c r="AE204" i="3"/>
  <c r="AE203" i="3"/>
  <c r="AE197" i="3"/>
  <c r="AE198" i="3"/>
  <c r="AE206" i="3"/>
  <c r="AE218" i="3"/>
  <c r="AE210" i="3"/>
  <c r="AE207" i="3"/>
  <c r="AE226" i="3"/>
  <c r="AE201" i="3"/>
  <c r="AE223" i="3"/>
  <c r="R220" i="3"/>
  <c r="AD220" i="3" s="1"/>
  <c r="T221" i="3" s="1"/>
  <c r="AE216" i="3"/>
  <c r="R208" i="3"/>
  <c r="AD208" i="3" s="1"/>
  <c r="T209" i="3" s="1"/>
  <c r="AE213" i="3"/>
  <c r="AE217" i="3"/>
  <c r="AE224" i="3"/>
  <c r="AE237" i="3"/>
  <c r="AE236" i="3"/>
  <c r="AE215" i="3"/>
  <c r="AE245" i="3"/>
  <c r="R230" i="3"/>
  <c r="AD230" i="3" s="1"/>
  <c r="T233" i="3" s="1"/>
  <c r="AE243" i="3"/>
  <c r="AE253" i="3"/>
  <c r="AE222" i="3"/>
  <c r="AE225" i="3"/>
  <c r="AE228" i="3"/>
  <c r="AE235" i="3"/>
  <c r="AE219" i="3"/>
  <c r="AE233" i="3"/>
  <c r="AE250" i="3"/>
  <c r="AE256" i="3"/>
  <c r="AE238" i="3"/>
  <c r="AE227" i="3"/>
  <c r="AE234" i="3"/>
  <c r="AE247" i="3"/>
  <c r="AE231" i="3"/>
  <c r="AE254" i="3"/>
  <c r="AE251" i="3"/>
  <c r="AE259" i="3"/>
  <c r="AE249" i="3"/>
  <c r="AE260" i="3"/>
  <c r="AE258" i="3"/>
  <c r="R255" i="3"/>
  <c r="AD255" i="3" s="1"/>
  <c r="T256" i="3" s="1"/>
  <c r="R263" i="3"/>
  <c r="AD263" i="3" s="1"/>
  <c r="T264" i="3" s="1"/>
  <c r="R265" i="3"/>
  <c r="AD265" i="3" s="1"/>
  <c r="R279" i="3"/>
  <c r="AD279" i="3" s="1"/>
  <c r="T281" i="3" s="1"/>
  <c r="R283" i="3"/>
  <c r="AD283" i="3" s="1"/>
  <c r="T283" i="3" s="1"/>
  <c r="R267" i="3"/>
  <c r="AD267" i="3" s="1"/>
  <c r="T191" i="3" l="1"/>
  <c r="T188" i="3"/>
  <c r="AE179" i="3"/>
  <c r="T179" i="3"/>
  <c r="AE188" i="3"/>
  <c r="T190" i="3"/>
  <c r="AD214" i="3"/>
  <c r="T214" i="3" s="1"/>
  <c r="T251" i="3"/>
  <c r="T246" i="3"/>
  <c r="T249" i="3"/>
  <c r="AE241" i="3"/>
  <c r="T242" i="3"/>
  <c r="T248" i="3"/>
  <c r="T244" i="3"/>
  <c r="T243" i="3"/>
  <c r="T247" i="3"/>
  <c r="T245" i="3"/>
  <c r="T250" i="3"/>
  <c r="T241" i="3"/>
  <c r="T215" i="3"/>
  <c r="T197" i="3"/>
  <c r="T287" i="3"/>
  <c r="T286" i="3"/>
  <c r="T284" i="3"/>
  <c r="T263" i="3"/>
  <c r="T240" i="3"/>
  <c r="T239" i="3"/>
  <c r="T208" i="3"/>
  <c r="T267" i="3"/>
  <c r="T268" i="3"/>
  <c r="T222" i="3"/>
  <c r="T232" i="3"/>
  <c r="T282" i="3"/>
  <c r="T266" i="3"/>
  <c r="T265" i="3"/>
  <c r="T187" i="3"/>
  <c r="T220" i="3"/>
  <c r="T255" i="3"/>
  <c r="T231" i="3"/>
  <c r="T280" i="3"/>
  <c r="T230" i="3"/>
  <c r="T279" i="3"/>
  <c r="T234" i="3"/>
  <c r="T257" i="3"/>
  <c r="AE220" i="3"/>
  <c r="AE267" i="3"/>
  <c r="AE230" i="3"/>
  <c r="AE255" i="3"/>
  <c r="AE265" i="3"/>
  <c r="AE279" i="3"/>
  <c r="AE208" i="3"/>
  <c r="AE283" i="3"/>
  <c r="AE263" i="3"/>
  <c r="R172" i="3"/>
  <c r="AD172" i="3" s="1"/>
  <c r="T172" i="3" s="1"/>
  <c r="R167" i="3"/>
  <c r="AD167" i="3" s="1"/>
  <c r="T167" i="3" s="1"/>
  <c r="R157" i="3"/>
  <c r="AD157" i="3" s="1"/>
  <c r="T157" i="3" s="1"/>
  <c r="R138" i="3"/>
  <c r="AD138" i="3" s="1"/>
  <c r="T138" i="3" s="1"/>
  <c r="R120" i="3"/>
  <c r="AD120" i="3" s="1"/>
  <c r="T120" i="3" s="1"/>
  <c r="R118" i="3"/>
  <c r="AD118" i="3" s="1"/>
  <c r="T118" i="3" s="1"/>
  <c r="R117" i="3"/>
  <c r="AD117" i="3" s="1"/>
  <c r="T117" i="3" s="1"/>
  <c r="R115" i="3"/>
  <c r="AD115" i="3" s="1"/>
  <c r="T115" i="3" s="1"/>
  <c r="R111" i="3"/>
  <c r="AD111" i="3" s="1"/>
  <c r="T111" i="3" s="1"/>
  <c r="R100" i="3"/>
  <c r="AD100" i="3" s="1"/>
  <c r="T100" i="3" s="1"/>
  <c r="R99" i="3"/>
  <c r="AD99" i="3" s="1"/>
  <c r="T99" i="3" s="1"/>
  <c r="R98" i="3"/>
  <c r="AD98" i="3" s="1"/>
  <c r="T98" i="3" s="1"/>
  <c r="R94" i="3"/>
  <c r="AD94" i="3" s="1"/>
  <c r="T94" i="3" s="1"/>
  <c r="R93" i="3"/>
  <c r="AD93" i="3" s="1"/>
  <c r="T93" i="3" s="1"/>
  <c r="R92" i="3"/>
  <c r="AD92" i="3" s="1"/>
  <c r="T92" i="3" s="1"/>
  <c r="R88" i="3"/>
  <c r="AD88" i="3" s="1"/>
  <c r="T88" i="3" s="1"/>
  <c r="R87" i="3"/>
  <c r="AD87" i="3" s="1"/>
  <c r="T87" i="3" s="1"/>
  <c r="R86" i="3"/>
  <c r="AD86" i="3" s="1"/>
  <c r="T86" i="3" s="1"/>
  <c r="R85" i="3"/>
  <c r="AD85" i="3" s="1"/>
  <c r="T85" i="3" s="1"/>
  <c r="R84" i="3"/>
  <c r="AD84" i="3" s="1"/>
  <c r="T84" i="3" s="1"/>
  <c r="R83" i="3"/>
  <c r="AD83" i="3" s="1"/>
  <c r="T83" i="3" s="1"/>
  <c r="R82" i="3"/>
  <c r="AD82" i="3" s="1"/>
  <c r="T82" i="3" s="1"/>
  <c r="R81" i="3"/>
  <c r="AD81" i="3" s="1"/>
  <c r="T81" i="3" s="1"/>
  <c r="R80" i="3"/>
  <c r="AD80" i="3" s="1"/>
  <c r="T80" i="3" s="1"/>
  <c r="R79" i="3"/>
  <c r="AD79" i="3" s="1"/>
  <c r="T79" i="3" s="1"/>
  <c r="R78" i="3"/>
  <c r="AD78" i="3" s="1"/>
  <c r="T78" i="3" s="1"/>
  <c r="R77" i="3"/>
  <c r="AD77" i="3" s="1"/>
  <c r="T77" i="3" s="1"/>
  <c r="R76" i="3"/>
  <c r="AD76" i="3" s="1"/>
  <c r="T76" i="3" s="1"/>
  <c r="R75" i="3"/>
  <c r="AD75" i="3" s="1"/>
  <c r="T75" i="3" s="1"/>
  <c r="R74" i="3"/>
  <c r="AD74" i="3" s="1"/>
  <c r="T74" i="3" s="1"/>
  <c r="R73" i="3"/>
  <c r="AD73" i="3" s="1"/>
  <c r="T73" i="3" s="1"/>
  <c r="R71" i="3"/>
  <c r="AD71" i="3" s="1"/>
  <c r="T71" i="3" s="1"/>
  <c r="R70" i="3"/>
  <c r="AD70" i="3" s="1"/>
  <c r="T70" i="3" s="1"/>
  <c r="R69" i="3"/>
  <c r="AD69" i="3" s="1"/>
  <c r="T69" i="3" s="1"/>
  <c r="R68" i="3"/>
  <c r="AD68" i="3" s="1"/>
  <c r="T68" i="3" s="1"/>
  <c r="R67" i="3"/>
  <c r="AD67" i="3" s="1"/>
  <c r="T67" i="3" s="1"/>
  <c r="R65" i="3"/>
  <c r="AD65" i="3" s="1"/>
  <c r="T65" i="3" s="1"/>
  <c r="R64" i="3"/>
  <c r="AD64" i="3" s="1"/>
  <c r="T64" i="3" s="1"/>
  <c r="R63" i="3"/>
  <c r="AD63" i="3" s="1"/>
  <c r="T63" i="3" s="1"/>
  <c r="R62" i="3"/>
  <c r="AD62" i="3" s="1"/>
  <c r="T62" i="3" s="1"/>
  <c r="R61" i="3"/>
  <c r="AD61" i="3" s="1"/>
  <c r="T61" i="3" s="1"/>
  <c r="R60" i="3"/>
  <c r="AD60" i="3" s="1"/>
  <c r="T60" i="3" s="1"/>
  <c r="R59" i="3"/>
  <c r="AD59" i="3" s="1"/>
  <c r="T59" i="3" s="1"/>
  <c r="R58" i="3"/>
  <c r="AD58" i="3" s="1"/>
  <c r="T58" i="3" s="1"/>
  <c r="R57" i="3"/>
  <c r="AD57" i="3" s="1"/>
  <c r="T57" i="3" s="1"/>
  <c r="R54" i="3"/>
  <c r="AD54" i="3" s="1"/>
  <c r="T54" i="3" s="1"/>
  <c r="R53" i="3"/>
  <c r="AD53" i="3" s="1"/>
  <c r="T53" i="3" s="1"/>
  <c r="R51" i="3"/>
  <c r="AD51" i="3" s="1"/>
  <c r="T51" i="3" s="1"/>
  <c r="R50" i="3"/>
  <c r="AD50" i="3" s="1"/>
  <c r="T50" i="3" s="1"/>
  <c r="R49" i="3"/>
  <c r="AD49" i="3" s="1"/>
  <c r="T49" i="3" s="1"/>
  <c r="R48" i="3"/>
  <c r="AD48" i="3" s="1"/>
  <c r="T48" i="3" s="1"/>
  <c r="R47" i="3"/>
  <c r="AD47" i="3" s="1"/>
  <c r="T47" i="3" s="1"/>
  <c r="R46" i="3"/>
  <c r="AD46" i="3" s="1"/>
  <c r="T46" i="3" s="1"/>
  <c r="R45" i="3"/>
  <c r="AD45" i="3" s="1"/>
  <c r="T45" i="3" s="1"/>
  <c r="R43" i="3"/>
  <c r="AD43" i="3" s="1"/>
  <c r="T43" i="3" s="1"/>
  <c r="R42" i="3"/>
  <c r="AD42" i="3" s="1"/>
  <c r="T42" i="3" s="1"/>
  <c r="R41" i="3"/>
  <c r="AD41" i="3" s="1"/>
  <c r="T41" i="3" s="1"/>
  <c r="R40" i="3"/>
  <c r="AD40" i="3" s="1"/>
  <c r="T40" i="3" s="1"/>
  <c r="R39" i="3"/>
  <c r="AD39" i="3" s="1"/>
  <c r="T39" i="3" s="1"/>
  <c r="R38" i="3"/>
  <c r="AD38" i="3" s="1"/>
  <c r="T38" i="3" s="1"/>
  <c r="R37" i="3"/>
  <c r="AD37" i="3" s="1"/>
  <c r="T37" i="3" s="1"/>
  <c r="R36" i="3"/>
  <c r="AD36" i="3" s="1"/>
  <c r="T36" i="3" s="1"/>
  <c r="R35" i="3"/>
  <c r="AD35" i="3" s="1"/>
  <c r="T35" i="3" s="1"/>
  <c r="R31" i="3"/>
  <c r="AD31" i="3" s="1"/>
  <c r="T31" i="3" s="1"/>
  <c r="R30" i="3"/>
  <c r="AD30" i="3" s="1"/>
  <c r="T30" i="3" s="1"/>
  <c r="R25" i="3"/>
  <c r="AD25" i="3" s="1"/>
  <c r="T25" i="3" s="1"/>
  <c r="R23" i="3"/>
  <c r="AD23" i="3" s="1"/>
  <c r="T23" i="3" s="1"/>
  <c r="R22" i="3"/>
  <c r="AD22" i="3" s="1"/>
  <c r="T22" i="3" s="1"/>
  <c r="R20" i="3"/>
  <c r="AD20" i="3" s="1"/>
  <c r="T20" i="3" s="1"/>
  <c r="R19" i="3"/>
  <c r="AD19" i="3" s="1"/>
  <c r="T19" i="3" s="1"/>
  <c r="R18" i="3"/>
  <c r="AD18" i="3" s="1"/>
  <c r="T18" i="3" s="1"/>
  <c r="R17" i="3"/>
  <c r="AD17" i="3" s="1"/>
  <c r="T17" i="3" s="1"/>
  <c r="R16" i="3"/>
  <c r="AD16" i="3" s="1"/>
  <c r="T16" i="3" s="1"/>
  <c r="R15" i="3"/>
  <c r="AD15" i="3" s="1"/>
  <c r="T15" i="3" s="1"/>
  <c r="R14" i="3"/>
  <c r="AD14" i="3" s="1"/>
  <c r="T14" i="3" s="1"/>
  <c r="R13" i="3"/>
  <c r="AD13" i="3" s="1"/>
  <c r="T13" i="3" s="1"/>
  <c r="R12" i="3"/>
  <c r="AD12" i="3" s="1"/>
  <c r="T12" i="3" s="1"/>
  <c r="R10" i="3"/>
  <c r="AD10" i="3" s="1"/>
  <c r="T10" i="3" s="1"/>
  <c r="R9" i="3"/>
  <c r="AD9" i="3" s="1"/>
  <c r="T9" i="3" s="1"/>
  <c r="R8" i="3"/>
  <c r="AD8" i="3" s="1"/>
  <c r="T8" i="3" s="1"/>
  <c r="R7" i="3"/>
  <c r="AD7" i="3" s="1"/>
  <c r="T7" i="3" s="1"/>
  <c r="R6" i="3"/>
  <c r="AD6" i="3" s="1"/>
  <c r="T6" i="3" s="1"/>
  <c r="R5" i="3"/>
  <c r="AD5" i="3" s="1"/>
  <c r="T5" i="3" s="1"/>
  <c r="R4" i="3"/>
  <c r="AD4" i="3" s="1"/>
  <c r="T4" i="3" s="1"/>
  <c r="R3" i="3"/>
  <c r="AD3" i="3" s="1"/>
  <c r="T3" i="3" s="1"/>
  <c r="R2" i="3"/>
  <c r="AD2" i="3" s="1"/>
  <c r="T2" i="3" s="1"/>
  <c r="R102" i="3" l="1"/>
  <c r="R114" i="3"/>
  <c r="R135" i="3"/>
  <c r="R146" i="3"/>
  <c r="R153" i="3"/>
  <c r="R103" i="3"/>
  <c r="R107" i="3"/>
  <c r="R133" i="3"/>
  <c r="R136" i="3"/>
  <c r="R147" i="3"/>
  <c r="R158" i="3"/>
  <c r="R166" i="3"/>
  <c r="R108" i="3"/>
  <c r="R131" i="3"/>
  <c r="R132" i="3"/>
  <c r="R134" i="3"/>
  <c r="R139" i="3"/>
  <c r="R148" i="3"/>
  <c r="R159" i="3"/>
  <c r="R168" i="3"/>
  <c r="R101" i="3"/>
  <c r="R109" i="3"/>
  <c r="R125" i="3"/>
  <c r="R142" i="3"/>
  <c r="R149" i="3"/>
  <c r="R173" i="3"/>
  <c r="R95" i="3"/>
  <c r="R104" i="3"/>
  <c r="R110" i="3"/>
  <c r="R126" i="3"/>
  <c r="R162" i="3"/>
  <c r="R170" i="3"/>
  <c r="R116" i="3"/>
  <c r="R127" i="3"/>
  <c r="R171" i="3"/>
  <c r="R97" i="3"/>
  <c r="R124" i="3"/>
  <c r="R128" i="3"/>
  <c r="R164" i="3"/>
  <c r="R169" i="3"/>
  <c r="R174" i="3"/>
  <c r="R106" i="3"/>
  <c r="R121" i="3"/>
  <c r="R123" i="3"/>
  <c r="R129" i="3"/>
  <c r="R143" i="3"/>
  <c r="R150" i="3"/>
  <c r="R160" i="3"/>
  <c r="R130" i="3"/>
  <c r="R137" i="3"/>
  <c r="R151" i="3"/>
  <c r="R154" i="3"/>
  <c r="R112" i="3"/>
  <c r="R144" i="3"/>
  <c r="R152" i="3"/>
  <c r="R155" i="3"/>
  <c r="R175" i="3"/>
  <c r="R113" i="3"/>
  <c r="R119" i="3"/>
  <c r="R122" i="3"/>
  <c r="R145" i="3"/>
  <c r="R156" i="3"/>
  <c r="R161" i="3"/>
  <c r="R165" i="3"/>
  <c r="R176" i="3"/>
  <c r="R11" i="3"/>
  <c r="R34" i="3"/>
  <c r="R28" i="3"/>
  <c r="R29" i="3"/>
  <c r="R66" i="3"/>
  <c r="R44" i="3"/>
  <c r="R72" i="3"/>
  <c r="R21" i="3"/>
  <c r="R96" i="3"/>
  <c r="R163" i="3"/>
  <c r="R140" i="3"/>
  <c r="R89" i="3"/>
  <c r="R24" i="3"/>
  <c r="R55" i="3"/>
  <c r="R90" i="3"/>
  <c r="R32" i="3"/>
  <c r="R91" i="3"/>
  <c r="R141" i="3"/>
  <c r="R26" i="3"/>
  <c r="R33" i="3"/>
  <c r="R27" i="3"/>
  <c r="R52" i="3"/>
  <c r="R56" i="3"/>
  <c r="R105" i="3"/>
  <c r="AE141" i="3" l="1"/>
  <c r="AD141" i="3"/>
  <c r="T141" i="3" s="1"/>
  <c r="AE28" i="3"/>
  <c r="AD28" i="3"/>
  <c r="T28" i="3" s="1"/>
  <c r="AE176" i="3"/>
  <c r="AD176" i="3"/>
  <c r="T176" i="3" s="1"/>
  <c r="AE113" i="3"/>
  <c r="AD113" i="3"/>
  <c r="T113" i="3" s="1"/>
  <c r="AE112" i="3"/>
  <c r="AD112" i="3"/>
  <c r="T112" i="3" s="1"/>
  <c r="AE160" i="3"/>
  <c r="AD160" i="3"/>
  <c r="T160" i="3" s="1"/>
  <c r="AE174" i="3"/>
  <c r="AD174" i="3"/>
  <c r="T174" i="3" s="1"/>
  <c r="AE128" i="3"/>
  <c r="AD128" i="3"/>
  <c r="T128" i="3" s="1"/>
  <c r="AE162" i="3"/>
  <c r="AD162" i="3"/>
  <c r="T162" i="3" s="1"/>
  <c r="AE101" i="3"/>
  <c r="AD101" i="3"/>
  <c r="T101" i="3" s="1"/>
  <c r="AE148" i="3"/>
  <c r="AD148" i="3"/>
  <c r="T148" i="3" s="1"/>
  <c r="AE91" i="3"/>
  <c r="AD91" i="3"/>
  <c r="T91" i="3" s="1"/>
  <c r="AE55" i="3"/>
  <c r="AD55" i="3"/>
  <c r="T55" i="3" s="1"/>
  <c r="AE124" i="3"/>
  <c r="AD124" i="3"/>
  <c r="T124" i="3" s="1"/>
  <c r="AE139" i="3"/>
  <c r="AD139" i="3"/>
  <c r="T139" i="3" s="1"/>
  <c r="AE105" i="3"/>
  <c r="AD105" i="3"/>
  <c r="T105" i="3" s="1"/>
  <c r="AE163" i="3"/>
  <c r="AD163" i="3"/>
  <c r="T163" i="3" s="1"/>
  <c r="AE72" i="3"/>
  <c r="AD72" i="3"/>
  <c r="T72" i="3" s="1"/>
  <c r="AE134" i="3"/>
  <c r="AD134" i="3"/>
  <c r="T134" i="3" s="1"/>
  <c r="AE158" i="3"/>
  <c r="AD158" i="3"/>
  <c r="T158" i="3" s="1"/>
  <c r="AE175" i="3"/>
  <c r="AD175" i="3"/>
  <c r="T175" i="3" s="1"/>
  <c r="AE150" i="3"/>
  <c r="AD150" i="3"/>
  <c r="T150" i="3" s="1"/>
  <c r="AE127" i="3"/>
  <c r="AD127" i="3"/>
  <c r="T127" i="3" s="1"/>
  <c r="AE132" i="3"/>
  <c r="AD132" i="3"/>
  <c r="T132" i="3" s="1"/>
  <c r="AE153" i="3"/>
  <c r="AD153" i="3"/>
  <c r="T153" i="3" s="1"/>
  <c r="AE140" i="3"/>
  <c r="AD140" i="3"/>
  <c r="T140" i="3" s="1"/>
  <c r="AE96" i="3"/>
  <c r="AD96" i="3"/>
  <c r="T96" i="3" s="1"/>
  <c r="AE165" i="3"/>
  <c r="AD165" i="3"/>
  <c r="T165" i="3" s="1"/>
  <c r="AE154" i="3"/>
  <c r="AD154" i="3"/>
  <c r="T154" i="3" s="1"/>
  <c r="AE143" i="3"/>
  <c r="AD143" i="3"/>
  <c r="T143" i="3" s="1"/>
  <c r="AE169" i="3"/>
  <c r="AD169" i="3"/>
  <c r="T169" i="3" s="1"/>
  <c r="AE116" i="3"/>
  <c r="AD116" i="3"/>
  <c r="T116" i="3" s="1"/>
  <c r="AE131" i="3"/>
  <c r="AD131" i="3"/>
  <c r="T131" i="3" s="1"/>
  <c r="AE146" i="3"/>
  <c r="AD146" i="3"/>
  <c r="T146" i="3" s="1"/>
  <c r="AE24" i="3"/>
  <c r="AD24" i="3"/>
  <c r="T24" i="3" s="1"/>
  <c r="AE161" i="3"/>
  <c r="AD161" i="3"/>
  <c r="T161" i="3" s="1"/>
  <c r="AE151" i="3"/>
  <c r="AD151" i="3"/>
  <c r="T151" i="3" s="1"/>
  <c r="AE164" i="3"/>
  <c r="AD164" i="3"/>
  <c r="T164" i="3" s="1"/>
  <c r="AE126" i="3"/>
  <c r="AD126" i="3"/>
  <c r="T126" i="3" s="1"/>
  <c r="AE168" i="3"/>
  <c r="AD168" i="3"/>
  <c r="T168" i="3" s="1"/>
  <c r="AE147" i="3"/>
  <c r="AD147" i="3"/>
  <c r="T147" i="3" s="1"/>
  <c r="AE32" i="3"/>
  <c r="AD32" i="3"/>
  <c r="T32" i="3" s="1"/>
  <c r="AE21" i="3"/>
  <c r="AD21" i="3"/>
  <c r="T21" i="3" s="1"/>
  <c r="AE156" i="3"/>
  <c r="AD156" i="3"/>
  <c r="T156" i="3" s="1"/>
  <c r="AE155" i="3"/>
  <c r="AD155" i="3"/>
  <c r="T155" i="3" s="1"/>
  <c r="AE137" i="3"/>
  <c r="AD137" i="3"/>
  <c r="T137" i="3" s="1"/>
  <c r="AE97" i="3"/>
  <c r="AD97" i="3"/>
  <c r="T97" i="3" s="1"/>
  <c r="AE149" i="3"/>
  <c r="AD149" i="3"/>
  <c r="T149" i="3" s="1"/>
  <c r="AE135" i="3"/>
  <c r="AD135" i="3"/>
  <c r="T135" i="3" s="1"/>
  <c r="AE33" i="3"/>
  <c r="AD33" i="3"/>
  <c r="T33" i="3" s="1"/>
  <c r="AE44" i="3"/>
  <c r="AD44" i="3"/>
  <c r="T44" i="3" s="1"/>
  <c r="AE171" i="3"/>
  <c r="AD171" i="3"/>
  <c r="T171" i="3" s="1"/>
  <c r="AE110" i="3"/>
  <c r="AD110" i="3"/>
  <c r="T110" i="3" s="1"/>
  <c r="AE108" i="3"/>
  <c r="AD108" i="3"/>
  <c r="T108" i="3" s="1"/>
  <c r="AE136" i="3"/>
  <c r="AD136" i="3"/>
  <c r="T136" i="3" s="1"/>
  <c r="AE52" i="3"/>
  <c r="AD52" i="3"/>
  <c r="T52" i="3" s="1"/>
  <c r="AE26" i="3"/>
  <c r="AD26" i="3"/>
  <c r="T26" i="3" s="1"/>
  <c r="AE66" i="3"/>
  <c r="AD66" i="3"/>
  <c r="T66" i="3" s="1"/>
  <c r="AE34" i="3"/>
  <c r="AD34" i="3"/>
  <c r="T34" i="3" s="1"/>
  <c r="AE145" i="3"/>
  <c r="AD145" i="3"/>
  <c r="T145" i="3" s="1"/>
  <c r="AE152" i="3"/>
  <c r="AD152" i="3"/>
  <c r="T152" i="3" s="1"/>
  <c r="AE130" i="3"/>
  <c r="AD130" i="3"/>
  <c r="T130" i="3" s="1"/>
  <c r="AE129" i="3"/>
  <c r="AD129" i="3"/>
  <c r="T129" i="3" s="1"/>
  <c r="AE170" i="3"/>
  <c r="AD170" i="3"/>
  <c r="T170" i="3" s="1"/>
  <c r="AE104" i="3"/>
  <c r="AD104" i="3"/>
  <c r="T104" i="3" s="1"/>
  <c r="AE142" i="3"/>
  <c r="AD142" i="3"/>
  <c r="T142" i="3" s="1"/>
  <c r="AE159" i="3"/>
  <c r="AD159" i="3"/>
  <c r="T159" i="3" s="1"/>
  <c r="AE133" i="3"/>
  <c r="AD133" i="3"/>
  <c r="T133" i="3" s="1"/>
  <c r="AE56" i="3"/>
  <c r="AD56" i="3"/>
  <c r="T56" i="3" s="1"/>
  <c r="AE90" i="3"/>
  <c r="AD90" i="3"/>
  <c r="T90" i="3" s="1"/>
  <c r="AE11" i="3"/>
  <c r="AD11" i="3"/>
  <c r="T11" i="3" s="1"/>
  <c r="AE144" i="3"/>
  <c r="AD144" i="3"/>
  <c r="T144" i="3" s="1"/>
  <c r="AE123" i="3"/>
  <c r="AD123" i="3"/>
  <c r="T123" i="3" s="1"/>
  <c r="AE95" i="3"/>
  <c r="AD95" i="3"/>
  <c r="T95" i="3" s="1"/>
  <c r="AE125" i="3"/>
  <c r="AD125" i="3"/>
  <c r="T125" i="3" s="1"/>
  <c r="AE114" i="3"/>
  <c r="AD114" i="3"/>
  <c r="T114" i="3" s="1"/>
  <c r="AE29" i="3"/>
  <c r="AD29" i="3"/>
  <c r="T29" i="3" s="1"/>
  <c r="AE122" i="3"/>
  <c r="AD122" i="3"/>
  <c r="T122" i="3" s="1"/>
  <c r="AE121" i="3"/>
  <c r="AD121" i="3"/>
  <c r="T121" i="3" s="1"/>
  <c r="AE107" i="3"/>
  <c r="AD107" i="3"/>
  <c r="AE102" i="3"/>
  <c r="AD102" i="3"/>
  <c r="T102" i="3" s="1"/>
  <c r="AE27" i="3"/>
  <c r="AD27" i="3"/>
  <c r="T27" i="3" s="1"/>
  <c r="AE89" i="3"/>
  <c r="AD89" i="3"/>
  <c r="T89" i="3" s="1"/>
  <c r="AE119" i="3"/>
  <c r="AD119" i="3"/>
  <c r="T119" i="3" s="1"/>
  <c r="AE106" i="3"/>
  <c r="AD106" i="3"/>
  <c r="T106" i="3" s="1"/>
  <c r="AE173" i="3"/>
  <c r="AD173" i="3"/>
  <c r="T173" i="3" s="1"/>
  <c r="AE109" i="3"/>
  <c r="AD109" i="3"/>
  <c r="T109" i="3" s="1"/>
  <c r="AE166" i="3"/>
  <c r="AD166" i="3"/>
  <c r="T166" i="3" s="1"/>
  <c r="AE103" i="3"/>
  <c r="AD103" i="3"/>
  <c r="T103" i="3" s="1"/>
  <c r="AE7" i="3"/>
  <c r="AE157" i="3"/>
  <c r="AE76" i="3"/>
  <c r="AE70" i="3"/>
  <c r="AE68" i="3"/>
  <c r="AE13" i="3"/>
  <c r="AE42" i="3"/>
  <c r="AE78" i="3"/>
  <c r="AE19" i="3"/>
  <c r="AE49" i="3"/>
  <c r="AE59" i="3"/>
  <c r="AE17" i="3"/>
  <c r="AE47" i="3"/>
  <c r="AE120" i="3"/>
  <c r="AE63" i="3"/>
  <c r="AE30" i="3"/>
  <c r="AE99" i="3"/>
  <c r="AE8" i="3"/>
  <c r="AE18" i="3"/>
  <c r="AE85" i="3"/>
  <c r="AE20" i="3"/>
  <c r="AE62" i="3"/>
  <c r="AE50" i="3"/>
  <c r="AE75" i="3"/>
  <c r="AE65" i="3"/>
  <c r="AE172" i="3"/>
  <c r="AE74" i="3"/>
  <c r="AE37" i="3"/>
  <c r="AE58" i="3"/>
  <c r="AE167" i="3"/>
  <c r="AE53" i="3"/>
  <c r="AE111" i="3"/>
  <c r="AE54" i="3"/>
  <c r="AE60" i="3"/>
  <c r="AE83" i="3"/>
  <c r="AE87" i="3"/>
  <c r="AE14" i="3"/>
  <c r="AE2" i="3"/>
  <c r="AE5" i="3"/>
  <c r="AE43" i="3"/>
  <c r="AE35" i="3"/>
  <c r="AE67" i="3"/>
  <c r="AE46" i="3"/>
  <c r="AE84" i="3"/>
  <c r="AE93" i="3"/>
  <c r="AE41" i="3"/>
  <c r="AE77" i="3"/>
  <c r="AE45" i="3"/>
  <c r="AE38" i="3"/>
  <c r="AE94" i="3"/>
  <c r="AE22" i="3"/>
  <c r="AE80" i="3"/>
  <c r="AE98" i="3"/>
  <c r="AE71" i="3"/>
  <c r="AE40" i="3"/>
  <c r="AE31" i="3"/>
  <c r="AE73" i="3"/>
  <c r="AE16" i="3"/>
  <c r="AE12" i="3"/>
  <c r="AE82" i="3"/>
  <c r="AE61" i="3"/>
  <c r="AE118" i="3"/>
  <c r="AE10" i="3"/>
  <c r="AE6" i="3"/>
  <c r="AE86" i="3"/>
  <c r="AE138" i="3"/>
  <c r="AE79" i="3"/>
  <c r="AE117" i="3"/>
  <c r="AE15" i="3"/>
  <c r="AE100" i="3"/>
  <c r="AE88" i="3"/>
  <c r="AE3" i="3"/>
  <c r="AE4" i="3"/>
  <c r="AE25" i="3"/>
  <c r="AE115" i="3"/>
  <c r="AE64" i="3"/>
  <c r="AE92" i="3"/>
  <c r="AE39" i="3"/>
  <c r="AE48" i="3"/>
  <c r="AE9" i="3"/>
  <c r="AE57" i="3"/>
  <c r="AE51" i="3"/>
  <c r="AE23" i="3"/>
  <c r="AE81" i="3"/>
  <c r="AE36" i="3"/>
  <c r="AE69" i="3"/>
  <c r="T107" i="3" l="1"/>
</calcChain>
</file>

<file path=xl/sharedStrings.xml><?xml version="1.0" encoding="utf-8"?>
<sst xmlns="http://schemas.openxmlformats.org/spreadsheetml/2006/main" count="3796" uniqueCount="1063">
  <si>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</si>
  <si>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</si>
  <si>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</si>
  <si>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</si>
  <si>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</si>
  <si>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</si>
  <si>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</si>
  <si>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</si>
  <si>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</si>
  <si>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</si>
  <si>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</si>
  <si>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</si>
  <si>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</si>
  <si>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</si>
  <si>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</si>
  <si>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</si>
  <si>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</si>
  <si>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</si>
  <si>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</si>
  <si>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</si>
  <si>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</si>
  <si>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Discount</t>
  </si>
  <si>
    <t>Cancelled Order</t>
  </si>
  <si>
    <t>Short Shipment</t>
  </si>
  <si>
    <t>Unknown Deduction</t>
  </si>
  <si>
    <t>PO Closed</t>
  </si>
  <si>
    <t>Item Not on PO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</si>
  <si>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</si>
  <si>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</si>
  <si>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</si>
  <si>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</si>
  <si>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</si>
  <si>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</si>
  <si>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</si>
  <si>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</si>
  <si>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</si>
  <si>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</si>
  <si>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</si>
  <si>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</si>
  <si>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</si>
  <si>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</si>
  <si>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RMA Credit Needed</t>
  </si>
  <si>
    <t>Inv. Hold Tariff Credit</t>
  </si>
  <si>
    <t>Billing Wrong Customer</t>
  </si>
  <si>
    <t>Deducted Tax</t>
  </si>
  <si>
    <t>Freight</t>
  </si>
  <si>
    <t>Shipping and Handling Charge</t>
  </si>
  <si>
    <t>Paid?</t>
  </si>
  <si>
    <t>Filter</t>
  </si>
  <si>
    <t>Dif Inv</t>
  </si>
  <si>
    <t>PO4000295317</t>
  </si>
  <si>
    <t>SO91108095317</t>
  </si>
  <si>
    <t>PO4419599207</t>
  </si>
  <si>
    <t>SO91144299207</t>
  </si>
  <si>
    <t>PO4417072629</t>
  </si>
  <si>
    <t>SO91136072629</t>
  </si>
  <si>
    <t>PO4417732293</t>
  </si>
  <si>
    <t>SO91137132293</t>
  </si>
  <si>
    <t>PO4417050728</t>
  </si>
  <si>
    <t>SO91137550728</t>
  </si>
  <si>
    <t>PO4417768270</t>
  </si>
  <si>
    <t>SO91137868270</t>
  </si>
  <si>
    <t>PO4418170949</t>
  </si>
  <si>
    <t>SO91138570949</t>
  </si>
  <si>
    <t>HONE 0445</t>
  </si>
  <si>
    <t>PO4418025361</t>
  </si>
  <si>
    <t>SO91139325361</t>
  </si>
  <si>
    <t>PO4417792063</t>
  </si>
  <si>
    <t>SO91139892063</t>
  </si>
  <si>
    <t>PO4418012284</t>
  </si>
  <si>
    <t>SO91141712284</t>
  </si>
  <si>
    <t>PO4418765803</t>
  </si>
  <si>
    <t>SO91141565803</t>
  </si>
  <si>
    <t>PO4419338650</t>
  </si>
  <si>
    <t>SO91142938650</t>
  </si>
  <si>
    <t>PO4419297421</t>
  </si>
  <si>
    <t>SO91142997421</t>
  </si>
  <si>
    <t>PO4418956192</t>
  </si>
  <si>
    <t>SO91142456192</t>
  </si>
  <si>
    <t>PO4419831718</t>
  </si>
  <si>
    <t>SO91146531718</t>
  </si>
  <si>
    <t>PO4417714176</t>
  </si>
  <si>
    <t>SO91144014176</t>
  </si>
  <si>
    <t>PO4419939649</t>
  </si>
  <si>
    <t>SO91146239649</t>
  </si>
  <si>
    <t>PO4419574733</t>
  </si>
  <si>
    <t>SO91146274733</t>
  </si>
  <si>
    <t>PO4420163079</t>
  </si>
  <si>
    <t>SO91156663079</t>
  </si>
  <si>
    <t>PO4420313495</t>
  </si>
  <si>
    <t>SO91150513495</t>
  </si>
  <si>
    <t>North America</t>
  </si>
  <si>
    <t>HARR 7117</t>
  </si>
  <si>
    <t>PO4419990807</t>
  </si>
  <si>
    <t>SO91152890807</t>
  </si>
  <si>
    <t>PO4419349578</t>
  </si>
  <si>
    <t>SO91152349578</t>
  </si>
  <si>
    <t>PO4420508349</t>
  </si>
  <si>
    <t>SO91152908349</t>
  </si>
  <si>
    <t>FUJI 8570</t>
  </si>
  <si>
    <t>BAE  0631</t>
  </si>
  <si>
    <t>RAYT 9829</t>
  </si>
  <si>
    <t>PO4433847429</t>
  </si>
  <si>
    <t>SO91156347429</t>
  </si>
  <si>
    <t>HARR 0151</t>
  </si>
  <si>
    <t>PO4502034246</t>
  </si>
  <si>
    <t>SO91159734246</t>
  </si>
  <si>
    <t>PS E 3277</t>
  </si>
  <si>
    <t>SO91156993017</t>
  </si>
  <si>
    <t>PO4433836032</t>
  </si>
  <si>
    <t>SO91156236032</t>
  </si>
  <si>
    <t>PO3014211558</t>
  </si>
  <si>
    <t>SO91162011558</t>
  </si>
  <si>
    <t>SPAC 3616</t>
  </si>
  <si>
    <t>PO3014129100</t>
  </si>
  <si>
    <t>SO91162129100</t>
  </si>
  <si>
    <t>PO3006054088</t>
  </si>
  <si>
    <t>SO91113054088</t>
  </si>
  <si>
    <t>PO3019830401</t>
  </si>
  <si>
    <t>SO91099630401</t>
  </si>
  <si>
    <t>PO4418884919</t>
  </si>
  <si>
    <t>SO91136084919</t>
  </si>
  <si>
    <t>POC221243690</t>
  </si>
  <si>
    <t>SO91135743690</t>
  </si>
  <si>
    <t>PO4417508606</t>
  </si>
  <si>
    <t>SO91137308606</t>
  </si>
  <si>
    <t>PO4417691957</t>
  </si>
  <si>
    <t>SO91137991957</t>
  </si>
  <si>
    <t>PO4419009499</t>
  </si>
  <si>
    <t>SO91137809499</t>
  </si>
  <si>
    <t>POON EX99101</t>
  </si>
  <si>
    <t>SO91125199101</t>
  </si>
  <si>
    <t>PO4419088597</t>
  </si>
  <si>
    <t>SO91141388597</t>
  </si>
  <si>
    <t>FRON 8622</t>
  </si>
  <si>
    <t>PO4000078986</t>
  </si>
  <si>
    <t>SO91146378986</t>
  </si>
  <si>
    <t>PO4418379879</t>
  </si>
  <si>
    <t>SO91143079879</t>
  </si>
  <si>
    <t>PO4419503566</t>
  </si>
  <si>
    <t>SO91143003566</t>
  </si>
  <si>
    <t>PO4419262337</t>
  </si>
  <si>
    <t>SO91143062337</t>
  </si>
  <si>
    <t>PO4420302098</t>
  </si>
  <si>
    <t>SO91150702098</t>
  </si>
  <si>
    <t>PO4420195953</t>
  </si>
  <si>
    <t>SO91150595953</t>
  </si>
  <si>
    <t>PO4420378411</t>
  </si>
  <si>
    <t>SO91150778411</t>
  </si>
  <si>
    <t>PO4419519640</t>
  </si>
  <si>
    <t>SO91150719640</t>
  </si>
  <si>
    <t>PO4420260869</t>
  </si>
  <si>
    <t>SO91150660869</t>
  </si>
  <si>
    <t>PO4419237182</t>
  </si>
  <si>
    <t>SO91151137182</t>
  </si>
  <si>
    <t>PO4419944008</t>
  </si>
  <si>
    <t>SO91146244008</t>
  </si>
  <si>
    <t>PO39P0232823</t>
  </si>
  <si>
    <t>SO91153832823</t>
  </si>
  <si>
    <t>PO39P0250365</t>
  </si>
  <si>
    <t>SO91153850365</t>
  </si>
  <si>
    <t>PO39P0291594</t>
  </si>
  <si>
    <t>SO91153891594</t>
  </si>
  <si>
    <t>PO39P0215281</t>
  </si>
  <si>
    <t>SO91153815281</t>
  </si>
  <si>
    <t>GE A 7694</t>
  </si>
  <si>
    <t>PO4420676050</t>
  </si>
  <si>
    <t>SO91154176050</t>
  </si>
  <si>
    <t>PO4420699737</t>
  </si>
  <si>
    <t>SO91154099737</t>
  </si>
  <si>
    <t>PO4419166590</t>
  </si>
  <si>
    <t>SO91139966590</t>
  </si>
  <si>
    <t>PO4420051576</t>
  </si>
  <si>
    <t>SO91155651576</t>
  </si>
  <si>
    <t>PO4420792805</t>
  </si>
  <si>
    <t>SO91155692805</t>
  </si>
  <si>
    <t>POOR24621851</t>
  </si>
  <si>
    <t>SO91157921850</t>
  </si>
  <si>
    <t>PO4500064865</t>
  </si>
  <si>
    <t>SO91153964865</t>
  </si>
  <si>
    <t>PO4000080622</t>
  </si>
  <si>
    <t>SO91159880621</t>
  </si>
  <si>
    <t>PO5552811452</t>
  </si>
  <si>
    <t>SO90117511452</t>
  </si>
  <si>
    <t>NORT 2097</t>
  </si>
  <si>
    <t>PO4416567695</t>
  </si>
  <si>
    <t>SO91146067695</t>
  </si>
  <si>
    <t>LOCK 2348</t>
  </si>
  <si>
    <t>PO4417663442</t>
  </si>
  <si>
    <t>SO91148963442</t>
  </si>
  <si>
    <t>PO4419200993</t>
  </si>
  <si>
    <t>SO91144500993</t>
  </si>
  <si>
    <t>PO31 - 41179</t>
  </si>
  <si>
    <t>SO91150641178</t>
  </si>
  <si>
    <t>ASTR 4741</t>
  </si>
  <si>
    <t>PO4420668331</t>
  </si>
  <si>
    <t>SO91156768331</t>
  </si>
  <si>
    <t>Patrick Hayes</t>
  </si>
  <si>
    <t>Materials Team</t>
  </si>
  <si>
    <t>Sophia Turner</t>
  </si>
  <si>
    <t>Rupert Thiem</t>
  </si>
  <si>
    <t>Noah Harrison</t>
  </si>
  <si>
    <t>Jason Whitman</t>
  </si>
  <si>
    <t>Joshua Reed</t>
  </si>
  <si>
    <t>Gabrielle Terrazas</t>
  </si>
  <si>
    <t>Ryan Cooper</t>
  </si>
  <si>
    <t>Michelle Conway</t>
  </si>
  <si>
    <t>Alejandra Tamez</t>
  </si>
  <si>
    <t>Claire Bennett</t>
  </si>
  <si>
    <t>Arthur Vega</t>
  </si>
  <si>
    <t>Lauren Bishop</t>
  </si>
  <si>
    <t>Emma Parker</t>
  </si>
  <si>
    <t>Brianna Collins</t>
  </si>
  <si>
    <t>Gabriella Knight</t>
  </si>
  <si>
    <t>Madison Brooks</t>
  </si>
  <si>
    <t>Helen Butz</t>
  </si>
  <si>
    <t>Elena Richards</t>
  </si>
  <si>
    <t>Hernanda Luizk</t>
  </si>
  <si>
    <t>Julia Foster</t>
  </si>
  <si>
    <t>Carlos Herrera</t>
  </si>
  <si>
    <t>Jessica Bonus</t>
  </si>
  <si>
    <t>Katherine Miles</t>
  </si>
  <si>
    <t>John Patrickson</t>
  </si>
  <si>
    <t>Robert Gomez</t>
  </si>
  <si>
    <t>Logan Pierce</t>
  </si>
  <si>
    <t>Mateo Silva</t>
  </si>
  <si>
    <t>Kyle Chandler</t>
  </si>
  <si>
    <t>Caleb Thornton</t>
  </si>
  <si>
    <t>Nicole Walters</t>
  </si>
  <si>
    <t>Emma Lawson</t>
  </si>
  <si>
    <t>Ava Simmons</t>
  </si>
  <si>
    <t>Leo Vargas</t>
  </si>
  <si>
    <t>Dylan Hughes</t>
  </si>
  <si>
    <t>Zachary Morris</t>
  </si>
  <si>
    <t>Christian Evans</t>
  </si>
  <si>
    <t>Thomas Richardson</t>
  </si>
  <si>
    <t>Evelyn Barnes</t>
  </si>
  <si>
    <t>Dominic Flores</t>
  </si>
  <si>
    <t>Benjamin Hughes</t>
  </si>
  <si>
    <t>Brandon Kelly</t>
  </si>
  <si>
    <t>Anthony Griffin</t>
  </si>
  <si>
    <t>Jeremy Rhodes</t>
  </si>
  <si>
    <t>Jessica Harmon</t>
  </si>
  <si>
    <t>Riley Grant</t>
  </si>
  <si>
    <t>Harper Long</t>
  </si>
  <si>
    <t>Nathan Cooper</t>
  </si>
  <si>
    <t>Christopher Morgan</t>
  </si>
  <si>
    <t>Victoria Hamilton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</si>
  <si>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</si>
  <si>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</si>
  <si>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</si>
  <si>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</si>
  <si>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</si>
  <si>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PO Closed</t>
  </si>
  <si>
    <t>Description -  This Req has been handled by Materials Team and this is related to RMA Number Needed</t>
  </si>
  <si>
    <t>Description -  This Req has been handled by Sales Team and this is related to Item Not on PO</t>
  </si>
  <si>
    <t>Description -  This Req has been handled by Materials Team and this is related to Shipping and Handling Charge</t>
  </si>
  <si>
    <t>L-3  2935</t>
  </si>
  <si>
    <t>VETE 3202</t>
  </si>
  <si>
    <t>L3HA 9721</t>
  </si>
  <si>
    <t>LOCK 2492</t>
  </si>
  <si>
    <t>M/A- 6250</t>
  </si>
  <si>
    <t>SPAR 1086</t>
  </si>
  <si>
    <t>GENE 1094</t>
  </si>
  <si>
    <t>BAE  1156</t>
  </si>
  <si>
    <t>LIPP 9030</t>
  </si>
  <si>
    <t>LOCK 9863</t>
  </si>
  <si>
    <t>SAGE 7819</t>
  </si>
  <si>
    <t>BAE  2308</t>
  </si>
  <si>
    <t>ROCK 5713</t>
  </si>
  <si>
    <t>ADVA 0119</t>
  </si>
  <si>
    <t>STRA 9146</t>
  </si>
  <si>
    <t>HONE 3247</t>
  </si>
  <si>
    <t>BLUE 1333</t>
  </si>
  <si>
    <t>BAKE 5121</t>
  </si>
  <si>
    <t>AMPH 3769</t>
  </si>
  <si>
    <t>MERC 0001</t>
  </si>
  <si>
    <t>XP P 3669</t>
  </si>
  <si>
    <t>SIEM 8046</t>
  </si>
  <si>
    <t>UNIG 5239</t>
  </si>
  <si>
    <t>LEDA 0053</t>
  </si>
  <si>
    <t>ADI  0317</t>
  </si>
  <si>
    <t>MERC 3236</t>
  </si>
  <si>
    <t>WILL 8961</t>
  </si>
  <si>
    <t>BAE  5625</t>
  </si>
  <si>
    <t>CUST 5570</t>
  </si>
  <si>
    <t>A.F. 2939</t>
  </si>
  <si>
    <t>ARGO 5512</t>
  </si>
  <si>
    <t>FIBE 1790</t>
  </si>
  <si>
    <t>DRS  2746</t>
  </si>
  <si>
    <t>LYTE 9677</t>
  </si>
  <si>
    <t>CLOU 0900</t>
  </si>
  <si>
    <t>ACC  0581</t>
  </si>
  <si>
    <t>ADVA 5370</t>
  </si>
  <si>
    <t>TELE 6379</t>
  </si>
  <si>
    <t>WESC 0970</t>
  </si>
  <si>
    <t>PO2376777775</t>
  </si>
  <si>
    <t>SO90112477775</t>
  </si>
  <si>
    <t>PO8454560233</t>
  </si>
  <si>
    <t>SO90112860233</t>
  </si>
  <si>
    <t>POC230120003</t>
  </si>
  <si>
    <t>SO91137220003</t>
  </si>
  <si>
    <t>POON EX16643</t>
  </si>
  <si>
    <t>SO91125216643</t>
  </si>
  <si>
    <t>PO4419353513</t>
  </si>
  <si>
    <t>SO91141753513</t>
  </si>
  <si>
    <t>PO4419693062</t>
  </si>
  <si>
    <t>SO91143793062</t>
  </si>
  <si>
    <t>PO4419318535</t>
  </si>
  <si>
    <t>SO91144518535</t>
  </si>
  <si>
    <t>PO4418689596</t>
  </si>
  <si>
    <t>SO91144489596</t>
  </si>
  <si>
    <t>PO4419915962</t>
  </si>
  <si>
    <t>SO91146215962</t>
  </si>
  <si>
    <t>PO4417785343</t>
  </si>
  <si>
    <t>SO91148785343</t>
  </si>
  <si>
    <t>PO4419726572</t>
  </si>
  <si>
    <t>SO91148626572</t>
  </si>
  <si>
    <t>PO4420076625</t>
  </si>
  <si>
    <t>SO91149176625</t>
  </si>
  <si>
    <t>PO4420217854</t>
  </si>
  <si>
    <t>SO91150017854</t>
  </si>
  <si>
    <t>SO91153114388</t>
  </si>
  <si>
    <t>PO4514155617</t>
  </si>
  <si>
    <t>SO91153955617</t>
  </si>
  <si>
    <t>PO4501596846</t>
  </si>
  <si>
    <t>SO91149296846</t>
  </si>
  <si>
    <t>PO39P0226678</t>
  </si>
  <si>
    <t>SO91153826678</t>
  </si>
  <si>
    <t>PO4420434609</t>
  </si>
  <si>
    <t>SO91151334609</t>
  </si>
  <si>
    <t>PO4420667120</t>
  </si>
  <si>
    <t>SO91153067120</t>
  </si>
  <si>
    <t>SO91155723424</t>
  </si>
  <si>
    <t>PO4417175263</t>
  </si>
  <si>
    <t>SO91155175263</t>
  </si>
  <si>
    <t>PO4420846324</t>
  </si>
  <si>
    <t>SO91155646324</t>
  </si>
  <si>
    <t>PO4420141965</t>
  </si>
  <si>
    <t>SO91153041965</t>
  </si>
  <si>
    <t>PO4420824423</t>
  </si>
  <si>
    <t>SO91154924423</t>
  </si>
  <si>
    <t>PO9723774476</t>
  </si>
  <si>
    <t>SO91159474476</t>
  </si>
  <si>
    <t>SO91159775369</t>
  </si>
  <si>
    <t>POMR6H572796</t>
  </si>
  <si>
    <t>SO91158272796</t>
  </si>
  <si>
    <t>PO4433988658</t>
  </si>
  <si>
    <t>SO91156588658</t>
  </si>
  <si>
    <t>PO4518574688</t>
  </si>
  <si>
    <t>SO91160274688</t>
  </si>
  <si>
    <t>PO4518515917</t>
  </si>
  <si>
    <t>SO91160215917</t>
  </si>
  <si>
    <t>PO4420880833</t>
  </si>
  <si>
    <t>SO91158580833</t>
  </si>
  <si>
    <t>PO3014370329</t>
  </si>
  <si>
    <t>SO91162170329</t>
  </si>
  <si>
    <t>SO91161544069</t>
  </si>
  <si>
    <t>PO5800291443</t>
  </si>
  <si>
    <t>SO91160291443</t>
  </si>
  <si>
    <t>SO91160462504</t>
  </si>
  <si>
    <t>PO2305633565</t>
  </si>
  <si>
    <t>SO91161033565</t>
  </si>
  <si>
    <t>PO4850059038</t>
  </si>
  <si>
    <t>SO91159659038</t>
  </si>
  <si>
    <t>PO4291082725</t>
  </si>
  <si>
    <t>SO91161182725</t>
  </si>
  <si>
    <t>PO33E8788870</t>
  </si>
  <si>
    <t>SO91159988870</t>
  </si>
  <si>
    <t>PO2024030099</t>
  </si>
  <si>
    <t>SO95113330099</t>
  </si>
  <si>
    <t>PO4421295015</t>
  </si>
  <si>
    <t>SO91158995015</t>
  </si>
  <si>
    <t>PO8012259931</t>
  </si>
  <si>
    <t>SO90117859931</t>
  </si>
  <si>
    <t>PO1180901160</t>
  </si>
  <si>
    <t>SO91162001160</t>
  </si>
  <si>
    <t>POWol84511</t>
  </si>
  <si>
    <t>SO91160384511</t>
  </si>
  <si>
    <t>POTLNT220488</t>
  </si>
  <si>
    <t>SO91162020488</t>
  </si>
  <si>
    <t>PO4420785404</t>
  </si>
  <si>
    <t>SO91159585404</t>
  </si>
  <si>
    <t>PO2176291549</t>
  </si>
  <si>
    <t>SO91161491549</t>
  </si>
  <si>
    <t>PO4519686297</t>
  </si>
  <si>
    <t>SO95113486297</t>
  </si>
  <si>
    <t>PO4761151213</t>
  </si>
  <si>
    <t>SO91161651213</t>
  </si>
  <si>
    <t>PO27-FE92442</t>
  </si>
  <si>
    <t>SO91161692442</t>
  </si>
  <si>
    <t>PO4504512663</t>
  </si>
  <si>
    <t>SO91162412663</t>
  </si>
  <si>
    <t>PO4700453892</t>
  </si>
  <si>
    <t>SO91162653892</t>
  </si>
  <si>
    <t>POcriti15342</t>
  </si>
  <si>
    <t>SO91160215342</t>
  </si>
  <si>
    <t>PO3251056571</t>
  </si>
  <si>
    <t>SO91162956571</t>
  </si>
  <si>
    <t>PO3251497800</t>
  </si>
  <si>
    <t>SO91162997800</t>
  </si>
  <si>
    <t>POAV06239029</t>
  </si>
  <si>
    <t>SO90117939029</t>
  </si>
  <si>
    <t>POAV05280258</t>
  </si>
  <si>
    <t>SO90117980258</t>
  </si>
  <si>
    <t>PO4500621487</t>
  </si>
  <si>
    <t>SO91162121487</t>
  </si>
  <si>
    <t>PO4513362716</t>
  </si>
  <si>
    <t>SO91161562716</t>
  </si>
  <si>
    <t>PO4513303945</t>
  </si>
  <si>
    <t>SO91161503945</t>
  </si>
  <si>
    <t>PO4517427632</t>
  </si>
  <si>
    <t>SO95113427632</t>
  </si>
  <si>
    <t>PO4517368861</t>
  </si>
  <si>
    <t>SO95113468861</t>
  </si>
  <si>
    <t>PO4420610090</t>
  </si>
  <si>
    <t>SO91159910090</t>
  </si>
  <si>
    <t>PO4513851319</t>
  </si>
  <si>
    <t>SO91163251319</t>
  </si>
  <si>
    <t>PO8856433777</t>
  </si>
  <si>
    <t>SO91162533777</t>
  </si>
  <si>
    <t>PO4421157464</t>
  </si>
  <si>
    <t>SO91160957464</t>
  </si>
  <si>
    <t>PO4421398693</t>
  </si>
  <si>
    <t>SO91159998693</t>
  </si>
  <si>
    <t>PO8856439922</t>
  </si>
  <si>
    <t>SO91162839922</t>
  </si>
  <si>
    <t>PO4421481151</t>
  </si>
  <si>
    <t>SO91159981151</t>
  </si>
  <si>
    <t>PO4421522380</t>
  </si>
  <si>
    <t>SO91160222380</t>
  </si>
  <si>
    <t>PO9198363609</t>
  </si>
  <si>
    <t>SO90117963609</t>
  </si>
  <si>
    <t>PO4421546067</t>
  </si>
  <si>
    <t>SO91160046067</t>
  </si>
  <si>
    <t>PO9198310983</t>
  </si>
  <si>
    <t>SO90117910983</t>
  </si>
  <si>
    <t>PO9095558357</t>
  </si>
  <si>
    <t>SO90117958357</t>
  </si>
  <si>
    <t>PO2100360143</t>
  </si>
  <si>
    <t>SO91163660143</t>
  </si>
  <si>
    <t>PO2100383830</t>
  </si>
  <si>
    <t>SO91163683830</t>
  </si>
  <si>
    <t>PO2100325059</t>
  </si>
  <si>
    <t>SO91163625059</t>
  </si>
  <si>
    <t>PO2100366288</t>
  </si>
  <si>
    <t>SO91163666288</t>
  </si>
  <si>
    <t>PO2100307517</t>
  </si>
  <si>
    <t>SO91163407517</t>
  </si>
  <si>
    <t>PO4517419807</t>
  </si>
  <si>
    <t>SO95113519807</t>
  </si>
  <si>
    <t>PO4517361036</t>
  </si>
  <si>
    <t>SO95113561036</t>
  </si>
  <si>
    <t>PO1442762822</t>
  </si>
  <si>
    <t>SO90117962822</t>
  </si>
  <si>
    <t>POG320051425</t>
  </si>
  <si>
    <t>SO91163751425</t>
  </si>
  <si>
    <t>PO9801704944</t>
  </si>
  <si>
    <t>SO90117904944</t>
  </si>
  <si>
    <t>PO4513146173</t>
  </si>
  <si>
    <t>SO91163746173</t>
  </si>
  <si>
    <t>PO3405576898</t>
  </si>
  <si>
    <t>SO90118076898</t>
  </si>
  <si>
    <t>PO4421612875</t>
  </si>
  <si>
    <t>SO91161312875</t>
  </si>
  <si>
    <t>PO4421214661</t>
  </si>
  <si>
    <t>SO91161514661</t>
  </si>
  <si>
    <t>PO1100162035</t>
  </si>
  <si>
    <t>SO91163762035</t>
  </si>
  <si>
    <t>PO4420509409</t>
  </si>
  <si>
    <t>SO91152409409</t>
  </si>
  <si>
    <t>POPO 1191867</t>
  </si>
  <si>
    <t>SO91164291867</t>
  </si>
  <si>
    <t>PO3405539241</t>
  </si>
  <si>
    <t>SO90117939241</t>
  </si>
  <si>
    <t>PO3405580470</t>
  </si>
  <si>
    <t>SO90117980470</t>
  </si>
  <si>
    <t>POPO-4029630</t>
  </si>
  <si>
    <t>SO91160529630</t>
  </si>
  <si>
    <t>PO05-VA27844</t>
  </si>
  <si>
    <t>SO91163627844</t>
  </si>
  <si>
    <t>PO0535810302</t>
  </si>
  <si>
    <t>SO90118010302</t>
  </si>
  <si>
    <t>POUS18592760</t>
  </si>
  <si>
    <t>SO91161892760</t>
  </si>
  <si>
    <t>POPO-0075218</t>
  </si>
  <si>
    <t>SO91163075218</t>
  </si>
  <si>
    <t>PO8006511195</t>
  </si>
  <si>
    <t>SO91164511195</t>
  </si>
  <si>
    <t>PO3917276111</t>
  </si>
  <si>
    <t>SO91162276111</t>
  </si>
  <si>
    <t>PO39U1517340</t>
  </si>
  <si>
    <t>SO91162217340</t>
  </si>
  <si>
    <t>PO39U1758569</t>
  </si>
  <si>
    <t>SO91162258569</t>
  </si>
  <si>
    <t>PO4600053317</t>
  </si>
  <si>
    <t>SO91164953317</t>
  </si>
  <si>
    <t>PO4951271752</t>
  </si>
  <si>
    <t>SO91162171752</t>
  </si>
  <si>
    <t>PO4951212981</t>
  </si>
  <si>
    <t>SO91162112981</t>
  </si>
  <si>
    <t>PO4421695439</t>
  </si>
  <si>
    <t>SO91161295439</t>
  </si>
  <si>
    <t>PO05-VA36668</t>
  </si>
  <si>
    <t>SO91163736668</t>
  </si>
  <si>
    <t>PO4421631416</t>
  </si>
  <si>
    <t>SO91161031416</t>
  </si>
  <si>
    <t>PO6932020019</t>
  </si>
  <si>
    <t>SO91162120019</t>
  </si>
  <si>
    <t>PO2000043706</t>
  </si>
  <si>
    <t>SO91163743706</t>
  </si>
  <si>
    <t>PO2000084935</t>
  </si>
  <si>
    <t>SO91163784935</t>
  </si>
  <si>
    <t>PO1000126164</t>
  </si>
  <si>
    <t>SO91163426164</t>
  </si>
  <si>
    <t>POPOJS275324</t>
  </si>
  <si>
    <t>SO91161075324</t>
  </si>
  <si>
    <t>PO4846181469</t>
  </si>
  <si>
    <t>SO91162281469</t>
  </si>
  <si>
    <t>PO1086122698</t>
  </si>
  <si>
    <t>SO91163522698</t>
  </si>
  <si>
    <t>PO6885363927</t>
  </si>
  <si>
    <t>SO91162663927</t>
  </si>
  <si>
    <t>PO4788776217</t>
  </si>
  <si>
    <t>SO91161676217</t>
  </si>
  <si>
    <t>PO4867318339</t>
  </si>
  <si>
    <t>SO91161718339</t>
  </si>
  <si>
    <t>PO4950959568</t>
  </si>
  <si>
    <t>SO91161759568</t>
  </si>
  <si>
    <t>PO2000295545</t>
  </si>
  <si>
    <t>SO91160595545</t>
  </si>
  <si>
    <t>PO9222236774</t>
  </si>
  <si>
    <t>SO91162436774</t>
  </si>
  <si>
    <t>PO0242119232</t>
  </si>
  <si>
    <t>SO94108019232</t>
  </si>
  <si>
    <t>PO4800160461</t>
  </si>
  <si>
    <t>SO91158860461</t>
  </si>
  <si>
    <t>PO4951237667</t>
  </si>
  <si>
    <t>SO91162237667</t>
  </si>
  <si>
    <t>PO4951278896</t>
  </si>
  <si>
    <t>SO91162278896</t>
  </si>
  <si>
    <t>PO4951220125</t>
  </si>
  <si>
    <t>SO91162220125</t>
  </si>
  <si>
    <t>POPO21202583</t>
  </si>
  <si>
    <t>SO95113502583</t>
  </si>
  <si>
    <t>PO4420867499</t>
  </si>
  <si>
    <t>SO91161167499</t>
  </si>
  <si>
    <t>PO4000065485</t>
  </si>
  <si>
    <t>SO90111865485</t>
  </si>
  <si>
    <t>PO2429242691</t>
  </si>
  <si>
    <t>SO90112842691</t>
  </si>
  <si>
    <t>PO4000047943</t>
  </si>
  <si>
    <t>SO90111847943</t>
  </si>
  <si>
    <t>PO3006012859</t>
  </si>
  <si>
    <t>SO91112112859</t>
  </si>
  <si>
    <t>PO2448466378</t>
  </si>
  <si>
    <t>SO90112866378</t>
  </si>
  <si>
    <t>PO4000045370</t>
  </si>
  <si>
    <t>SO91133745370</t>
  </si>
  <si>
    <t>PO4000186599</t>
  </si>
  <si>
    <t>SO91133886599</t>
  </si>
  <si>
    <t>PO4417849835</t>
  </si>
  <si>
    <t>SO91137349835</t>
  </si>
  <si>
    <t>PO4716358659</t>
  </si>
  <si>
    <t>SO90115458659</t>
  </si>
  <si>
    <t>PO4419114857</t>
  </si>
  <si>
    <t>SO91140414857</t>
  </si>
  <si>
    <t>PO4417198208</t>
  </si>
  <si>
    <t>SO91141398208</t>
  </si>
  <si>
    <t>PO6714210498</t>
  </si>
  <si>
    <t>SO90115610498</t>
  </si>
  <si>
    <t>POON EX99994</t>
  </si>
  <si>
    <t>SO91125199994</t>
  </si>
  <si>
    <t>PO3023062443</t>
  </si>
  <si>
    <t>SO91147962443</t>
  </si>
  <si>
    <t>PO4419263336</t>
  </si>
  <si>
    <t>SO91146463336</t>
  </si>
  <si>
    <t>PO4419980878</t>
  </si>
  <si>
    <t>SO91146380878</t>
  </si>
  <si>
    <t>PO4418187023</t>
  </si>
  <si>
    <t>SO91146787023</t>
  </si>
  <si>
    <t>PO0399731931</t>
  </si>
  <si>
    <t>SO91152531930</t>
  </si>
  <si>
    <t>POMR6H396846</t>
  </si>
  <si>
    <t>PO0116023425</t>
  </si>
  <si>
    <t>PO4433828676</t>
  </si>
  <si>
    <t>SO91155528676</t>
  </si>
  <si>
    <t>PO2337454149</t>
  </si>
  <si>
    <t>SO90117254149</t>
  </si>
  <si>
    <t>PO4500036819</t>
  </si>
  <si>
    <t>SO91153536819</t>
  </si>
  <si>
    <t>PO4421098163</t>
  </si>
  <si>
    <t>SO91156898163</t>
  </si>
  <si>
    <t>POMK05375370</t>
  </si>
  <si>
    <t>PO4433829887</t>
  </si>
  <si>
    <t>SO91156229887</t>
  </si>
  <si>
    <t>POPO76844070</t>
  </si>
  <si>
    <t>PO1004462505</t>
  </si>
  <si>
    <t>PO20E6021276</t>
  </si>
  <si>
    <t>SO91161321275</t>
  </si>
  <si>
    <t>POPO89175475</t>
  </si>
  <si>
    <t>Description -  This Req has been handled by Sales Team and this is related to Cancelled Order</t>
  </si>
  <si>
    <t>Description -  This Req has been handled by Credit Team and this is related to Discount</t>
  </si>
  <si>
    <t>Description -  This Req has been handled by Materials Team and this is related to RMA Credit Needed</t>
  </si>
  <si>
    <t>Description -  This Req has been handled by Sales Team and this is related to Inv. Hold Tariff Credit</t>
  </si>
  <si>
    <t>Description -  This Req has been handled by Sales Team and this is related to Billing Wrong Customer</t>
  </si>
  <si>
    <t>Description -  This Req has been handled by Tax Team and this is related to Deducted Tax</t>
  </si>
  <si>
    <t>Description -  This Req has been handled by Materials Team and this is related to Freight</t>
  </si>
  <si>
    <t>Andrew Ross</t>
  </si>
  <si>
    <t>Emily Coleman</t>
  </si>
  <si>
    <t>Charles Benson</t>
  </si>
  <si>
    <t>Noah Ellis</t>
  </si>
  <si>
    <t>Sydney Walker</t>
  </si>
  <si>
    <t>Olivia Jenkins</t>
  </si>
  <si>
    <t>Mason Reynolds</t>
  </si>
  <si>
    <t>Jordan Keller</t>
  </si>
  <si>
    <t>Isabella Dawson</t>
  </si>
  <si>
    <t>Leah Pearson</t>
  </si>
  <si>
    <t>Aiden Harper</t>
  </si>
  <si>
    <t>Jackson Norris</t>
  </si>
  <si>
    <t>Connor Bishop</t>
  </si>
  <si>
    <t>Brooke Palmer</t>
  </si>
  <si>
    <t>Grace Whitaker</t>
  </si>
  <si>
    <t>Mason Harper</t>
  </si>
  <si>
    <t>John Peterson</t>
  </si>
  <si>
    <t>Kevin Wallace</t>
  </si>
  <si>
    <t>Gavin Chandler</t>
  </si>
  <si>
    <t>Lily Murphy</t>
  </si>
  <si>
    <t>Caroline West</t>
  </si>
  <si>
    <t>Ella Foster</t>
  </si>
  <si>
    <t>Hailey Sanders</t>
  </si>
  <si>
    <t>Amelia Powell</t>
  </si>
  <si>
    <t>Connor Ellis</t>
  </si>
  <si>
    <t>Justin Barrett</t>
  </si>
  <si>
    <t>Lily Harper</t>
  </si>
  <si>
    <t>Henry Wagner</t>
  </si>
  <si>
    <t>Brian Foster</t>
  </si>
  <si>
    <t>Jonathan Simmons</t>
  </si>
  <si>
    <t>Jacob Flynn</t>
  </si>
  <si>
    <t>Amelia Sanders</t>
  </si>
  <si>
    <t>Cole Patterson</t>
  </si>
  <si>
    <t>Emily Patterson</t>
  </si>
  <si>
    <t>Michael Turner</t>
  </si>
  <si>
    <t>Natalie Brooks</t>
  </si>
  <si>
    <t>Stephanie Nolan</t>
  </si>
  <si>
    <t>Mackenzie Cole</t>
  </si>
  <si>
    <t>Paige Sullivan</t>
  </si>
  <si>
    <t>Savannah Collins</t>
  </si>
  <si>
    <t>Penelope West</t>
  </si>
  <si>
    <t>Monica Hayes</t>
  </si>
  <si>
    <t>Hunter McBride</t>
  </si>
  <si>
    <t>Allison Bennett</t>
  </si>
  <si>
    <t>Zoe Carrington</t>
  </si>
  <si>
    <t>DN20022801</t>
  </si>
  <si>
    <t>AVN7</t>
  </si>
  <si>
    <t>DN77499801</t>
  </si>
  <si>
    <t>ON S1BC846BM3T5GON 9</t>
  </si>
  <si>
    <t>ON 9</t>
  </si>
  <si>
    <t>DN28388801</t>
  </si>
  <si>
    <t>RENS1HI1-0201/883REN1</t>
  </si>
  <si>
    <t>REN1</t>
  </si>
  <si>
    <t>DN48555801</t>
  </si>
  <si>
    <t>VISS1MKT1817510065VIS8</t>
  </si>
  <si>
    <t>VIS8</t>
  </si>
  <si>
    <t>DN28044801</t>
  </si>
  <si>
    <t>AVX0</t>
  </si>
  <si>
    <t>DN30266801</t>
  </si>
  <si>
    <t>VIS0</t>
  </si>
  <si>
    <t>DN29188801</t>
  </si>
  <si>
    <t>SOU4</t>
  </si>
  <si>
    <t>DN50999801</t>
  </si>
  <si>
    <t>DN57933801</t>
  </si>
  <si>
    <t>DN69699801</t>
  </si>
  <si>
    <t>DN28188801</t>
  </si>
  <si>
    <t>MIC0</t>
  </si>
  <si>
    <t>DN24422800</t>
  </si>
  <si>
    <t>INNS1G150XNE-L01INN6</t>
  </si>
  <si>
    <t>INN6</t>
  </si>
  <si>
    <t>DN16866801</t>
  </si>
  <si>
    <t>ON S1NCP3286MNTXGON 9</t>
  </si>
  <si>
    <t>DN01200801</t>
  </si>
  <si>
    <t>AVA2</t>
  </si>
  <si>
    <t>DN93966801</t>
  </si>
  <si>
    <t>TE 6</t>
  </si>
  <si>
    <t>DN72055801</t>
  </si>
  <si>
    <t>DN20533801</t>
  </si>
  <si>
    <t>TAI1</t>
  </si>
  <si>
    <t>VIS7</t>
  </si>
  <si>
    <t>DN84700801</t>
  </si>
  <si>
    <t>DN97266801</t>
  </si>
  <si>
    <t>ON S1NOICPSEVRICA-GCCON 9</t>
  </si>
  <si>
    <t>DN16555801</t>
  </si>
  <si>
    <t>DN08833801</t>
  </si>
  <si>
    <t>DN36077801</t>
  </si>
  <si>
    <t>DN02255801</t>
  </si>
  <si>
    <t>DN61299801</t>
  </si>
  <si>
    <t>MICS1KSZ8081RNBIA-TRMIC4</t>
  </si>
  <si>
    <t>MIC4</t>
  </si>
  <si>
    <t>DN21688801</t>
  </si>
  <si>
    <t>KEM5</t>
  </si>
  <si>
    <t>DN19000801</t>
  </si>
  <si>
    <t>DN98322801</t>
  </si>
  <si>
    <t>DN97522801</t>
  </si>
  <si>
    <t>DN55855801</t>
  </si>
  <si>
    <t>YAG5</t>
  </si>
  <si>
    <t>DN56555801</t>
  </si>
  <si>
    <t>INT0</t>
  </si>
  <si>
    <t>CTS9</t>
  </si>
  <si>
    <t>DN73255801</t>
  </si>
  <si>
    <t>DN89522801</t>
  </si>
  <si>
    <t>DN88633801</t>
  </si>
  <si>
    <t>PAN4</t>
  </si>
  <si>
    <t>DN29700801</t>
  </si>
  <si>
    <t>DN45699801</t>
  </si>
  <si>
    <t>DN13399801</t>
  </si>
  <si>
    <t>ITT0</t>
  </si>
  <si>
    <t>DN54788801</t>
  </si>
  <si>
    <t>DN32888801</t>
  </si>
  <si>
    <t>MOLS1203632-2000MOL9</t>
  </si>
  <si>
    <t>MOL9</t>
  </si>
  <si>
    <t>DN09477801</t>
  </si>
  <si>
    <t>MICS1SG2003JMIC4</t>
  </si>
  <si>
    <t>DN07766801</t>
  </si>
  <si>
    <t>AMP7</t>
  </si>
  <si>
    <t>DN16233801</t>
  </si>
  <si>
    <t>HALS1TG1G-EX05J24LFHAL9</t>
  </si>
  <si>
    <t>HAL9</t>
  </si>
  <si>
    <t>AMPS15911021-2AMP8</t>
  </si>
  <si>
    <t>AMP8</t>
  </si>
  <si>
    <t>ON S1SMMBT5551LT1GON 9</t>
  </si>
  <si>
    <t>DN83511801</t>
  </si>
  <si>
    <t>ON S1BC848BLT3GON 9</t>
  </si>
  <si>
    <t>DN32744801</t>
  </si>
  <si>
    <t>AVXS104021J1R2PBSTR\500AVX0</t>
  </si>
  <si>
    <t>DN88600801</t>
  </si>
  <si>
    <t>INF9</t>
  </si>
  <si>
    <t>DN29633801</t>
  </si>
  <si>
    <t>AVXS10805ZC106KAT2AAVX0</t>
  </si>
  <si>
    <t>VISS1CRCW04022M00FKTDVIS7</t>
  </si>
  <si>
    <t>GOLS1CP-Y1121-151KSZGOL2</t>
  </si>
  <si>
    <t>GOL2</t>
  </si>
  <si>
    <t>DN24388801</t>
  </si>
  <si>
    <t>DN21588801</t>
  </si>
  <si>
    <t>RENS1JM38510/19005BEAREN1</t>
  </si>
  <si>
    <t>DN40266801</t>
  </si>
  <si>
    <t>DN25155801</t>
  </si>
  <si>
    <t>DN13833801</t>
  </si>
  <si>
    <t>ON S1BAS16XV2T1GON 9</t>
  </si>
  <si>
    <t>DN56899801</t>
  </si>
  <si>
    <t>DN32733801</t>
  </si>
  <si>
    <t>DN36144801</t>
  </si>
  <si>
    <t>BOUS1RTR22DP502MBOU5</t>
  </si>
  <si>
    <t>BOU5</t>
  </si>
  <si>
    <t>DN18433801</t>
  </si>
  <si>
    <t>DN96899801</t>
  </si>
  <si>
    <t>VISS1593D107X0010C2TE3VIS9</t>
  </si>
  <si>
    <t>VIS9</t>
  </si>
  <si>
    <t>MIC7</t>
  </si>
  <si>
    <t>DN78166801</t>
  </si>
  <si>
    <t>EAT4</t>
  </si>
  <si>
    <t>DN78400801</t>
  </si>
  <si>
    <t>DN68500801</t>
  </si>
  <si>
    <t>DN47777801</t>
  </si>
  <si>
    <t>DN19311801</t>
  </si>
  <si>
    <t>AVAS1AFCD-P84HSAVA2</t>
  </si>
  <si>
    <t>DN32900801</t>
  </si>
  <si>
    <t>DN15266801</t>
  </si>
  <si>
    <t>DN64199801</t>
  </si>
  <si>
    <t>GLE0</t>
  </si>
  <si>
    <t>DN30500801</t>
  </si>
  <si>
    <t>DN91155801</t>
  </si>
  <si>
    <t>DN16933801</t>
  </si>
  <si>
    <t>DN48199801</t>
  </si>
  <si>
    <t>NXP0</t>
  </si>
  <si>
    <t>DN86099801</t>
  </si>
  <si>
    <t>DN54644801</t>
  </si>
  <si>
    <t>DN18444801</t>
  </si>
  <si>
    <t>VISS1RCA040210R0FKEDVIS7</t>
  </si>
  <si>
    <t>TRIS1M39029/87-476TRI1</t>
  </si>
  <si>
    <t>TRI1</t>
  </si>
  <si>
    <t>DN92944801</t>
  </si>
  <si>
    <t>DIO1</t>
  </si>
  <si>
    <t>NIC6</t>
  </si>
  <si>
    <t>STM6</t>
  </si>
  <si>
    <t>DN70199801</t>
  </si>
  <si>
    <t>VIS6</t>
  </si>
  <si>
    <t>MUR8</t>
  </si>
  <si>
    <t>STMS1STD35P6LLF6STM6</t>
  </si>
  <si>
    <t>DN66700801</t>
  </si>
  <si>
    <t>ROHS1SML-210MTT86ROH7</t>
  </si>
  <si>
    <t>ROH7</t>
  </si>
  <si>
    <t>DN99544801</t>
  </si>
  <si>
    <t>NEX4</t>
  </si>
  <si>
    <t>DN38900801</t>
  </si>
  <si>
    <t>DN32722801</t>
  </si>
  <si>
    <t>DN08688801</t>
  </si>
  <si>
    <t>DN32944801</t>
  </si>
  <si>
    <t>DN54033801</t>
  </si>
  <si>
    <t>SAM2</t>
  </si>
  <si>
    <t>DN36000801</t>
  </si>
  <si>
    <t>NXPS1MPC5554MZP132NXP0</t>
  </si>
  <si>
    <t>DN57766801</t>
  </si>
  <si>
    <t>KEMS1C0805C393K5RACTUKEM5</t>
  </si>
  <si>
    <t>DN64422801</t>
  </si>
  <si>
    <t>ON S1NTF6P02T3GON 9</t>
  </si>
  <si>
    <t>DN77222801</t>
  </si>
  <si>
    <t>DN60055801</t>
  </si>
  <si>
    <t>DN45100800</t>
  </si>
  <si>
    <t>DN32711801</t>
  </si>
  <si>
    <t>DN57666801</t>
  </si>
  <si>
    <t>DN36411801</t>
  </si>
  <si>
    <t>DN36755801</t>
  </si>
  <si>
    <t>KEMS1C1206C105K3RACTUKEM5</t>
  </si>
  <si>
    <t>PAN0</t>
  </si>
  <si>
    <t>DN66500801</t>
  </si>
  <si>
    <t>REN3</t>
  </si>
  <si>
    <t>DN44433801</t>
  </si>
  <si>
    <t>DN96888801</t>
  </si>
  <si>
    <t>CTSS1219-4LPSTRFCTS9</t>
  </si>
  <si>
    <t>DN99122801</t>
  </si>
  <si>
    <t>DN56922801</t>
  </si>
  <si>
    <t>DN32700801</t>
  </si>
  <si>
    <t>DN05477801</t>
  </si>
  <si>
    <t>CTSS1219-3LPSTRFCTS9</t>
  </si>
  <si>
    <t>MICS1ATA8401C-6AQY-66MIC0</t>
  </si>
  <si>
    <t>DN41399801</t>
  </si>
  <si>
    <t>DN07833801</t>
  </si>
  <si>
    <t>DN84800801</t>
  </si>
  <si>
    <t>DN69344801</t>
  </si>
  <si>
    <t>AVXS108055C332KAT2AAVX0</t>
  </si>
  <si>
    <t>LIT5</t>
  </si>
  <si>
    <t>AVA6</t>
  </si>
  <si>
    <t>DN43299801</t>
  </si>
  <si>
    <t>SAMS1CL21B106KPQNNNESAM0</t>
  </si>
  <si>
    <t>SAM0</t>
  </si>
  <si>
    <t>XIL0</t>
  </si>
  <si>
    <t>DN71377801</t>
  </si>
  <si>
    <t>DN28166801</t>
  </si>
  <si>
    <t>OSR4</t>
  </si>
  <si>
    <t>DN11088801</t>
  </si>
  <si>
    <t>DN02399801</t>
  </si>
  <si>
    <t>DN57611801</t>
  </si>
  <si>
    <t>AMP1</t>
  </si>
  <si>
    <t>INFS1IRF4905LPBFINF9</t>
  </si>
  <si>
    <t>DN32922801</t>
  </si>
  <si>
    <t>CEN3</t>
  </si>
  <si>
    <t>DN59022801</t>
  </si>
  <si>
    <t>DN32911801</t>
  </si>
  <si>
    <t>VISS1MLV1812E39503TVIS6</t>
  </si>
  <si>
    <t>DN89222801</t>
  </si>
  <si>
    <t>FOXS1FC7ASBBMM9.216-T1FOX4</t>
  </si>
  <si>
    <t>FOX4</t>
  </si>
  <si>
    <t>DN72911801</t>
  </si>
  <si>
    <t>ON S1NOICPSMVG62A-GBCON 9</t>
  </si>
  <si>
    <t>TDK9</t>
  </si>
  <si>
    <t>DN63888801</t>
  </si>
  <si>
    <t>DN88033801</t>
  </si>
  <si>
    <t>DIOS1FL4910002DIO1</t>
  </si>
  <si>
    <t>OME6</t>
  </si>
  <si>
    <t>DN39600801</t>
  </si>
  <si>
    <t>TE S11410142-1TE 6</t>
  </si>
  <si>
    <t>AVAS1BCM53101EKMLGAVA6</t>
  </si>
  <si>
    <t>SITS1SIT9386AE-2B1-33E156.250000GSIT5</t>
  </si>
  <si>
    <t>SIT5</t>
  </si>
  <si>
    <t>ON S1BSP52T1GON 9</t>
  </si>
  <si>
    <t>DN53866801</t>
  </si>
  <si>
    <t>INTS1GG8067402569403S R2UBINT0</t>
  </si>
  <si>
    <t>VISS1M55342K06B2E74RS6VIS7</t>
  </si>
  <si>
    <t>ITTS1025-1158-001ITT0</t>
  </si>
  <si>
    <t>RENS15962-8513103EAREN1</t>
  </si>
  <si>
    <t>GOLS1LPS3015-332MRCGOL2</t>
  </si>
  <si>
    <t>ON S1NJV4031NT3GON 9</t>
  </si>
  <si>
    <t>ON S1NSVMMBT6520LT1GON 9</t>
  </si>
  <si>
    <t>KEMS1T510X337K010ATA035KEM5</t>
  </si>
  <si>
    <t>ON S1FDMC86184ON 9</t>
  </si>
  <si>
    <t>MPS5</t>
  </si>
  <si>
    <t>BEL5</t>
  </si>
  <si>
    <t>PANS1ERJ-1GNF4702CPAN4</t>
  </si>
  <si>
    <t>VISS1PTF565K0000BZREVIS7</t>
  </si>
  <si>
    <t>AMPS1M1001-12315AMP9</t>
  </si>
  <si>
    <t>AMP9</t>
  </si>
  <si>
    <t>MARS1EV-CD822AA0-A0-R0MAR0</t>
  </si>
  <si>
    <t>MICS1OX-249-0032-16M384000MIC4</t>
  </si>
  <si>
    <t>ON S1MMBT5401LT1GON 9</t>
  </si>
  <si>
    <t>ITTS1BACC63G14S-7SWITT0</t>
  </si>
  <si>
    <t>NICS1NRC04F2210TRFNIC6</t>
  </si>
  <si>
    <t>ON S1MURS360T3GON 9</t>
  </si>
  <si>
    <t>OMES15TC-TT-T-30-300OME6</t>
  </si>
  <si>
    <t>RAD1</t>
  </si>
  <si>
    <t>AVXS1SB3B3B202C CLASS B TESTAVX0</t>
  </si>
  <si>
    <t>MPSS1MPQ4572GQBE-AEC1-ZMPS5</t>
  </si>
  <si>
    <t>MICS1VSC8541WZBRT-EMIC4</t>
  </si>
  <si>
    <t>RADS17105-1521-019RAD1</t>
  </si>
  <si>
    <t>REN4</t>
  </si>
  <si>
    <t>GOLS1179739-0001/KGOL2</t>
  </si>
  <si>
    <t>RADS180-6825-002RAD1</t>
  </si>
  <si>
    <t>PANS1MT25QL256ABA1EW9-0SITPAN0</t>
  </si>
  <si>
    <t>VISS1RN60C7320BRE6VIS7</t>
  </si>
  <si>
    <t>AVXS1LD035C104KAB2AAVX0</t>
  </si>
  <si>
    <t>RENS17705202EAREN1</t>
  </si>
  <si>
    <t>GLES1601-025GLE0</t>
  </si>
  <si>
    <t>VISS156006021-008 QCIVIS5</t>
  </si>
  <si>
    <t>VIS5</t>
  </si>
  <si>
    <t>GLES1630A022M04BTGLE0</t>
  </si>
  <si>
    <t>VISS1CRCW040252R3FKTDVIS7</t>
  </si>
  <si>
    <t>MPSS1MP2172CGQFU-ZMPS5</t>
  </si>
  <si>
    <t>VISS1M55342K08B127DPULVIS7</t>
  </si>
  <si>
    <t>NEXS174AHC14D,118NEX4</t>
  </si>
  <si>
    <t>CENS13SMC12CA TR13 PBFREECEN3</t>
  </si>
  <si>
    <t>NXPS1TJA1040T/CM,118NXP0</t>
  </si>
  <si>
    <t>TE S11-406541-6TE 6</t>
  </si>
  <si>
    <t>NEXS1BSS84,215NEX4</t>
  </si>
  <si>
    <t>KEMS1C1812C335K1RACAUTOKEM5</t>
  </si>
  <si>
    <t>OSRS1SFH 7781-1/2/3OSR4</t>
  </si>
  <si>
    <t>INFS188Q5192-D0-DGG2A000INF9</t>
  </si>
  <si>
    <t>VISS156006021-003 FAI INSPECTIONVIS5</t>
  </si>
  <si>
    <t>XILS1XQ7Z045-2RF900IXIL0</t>
  </si>
  <si>
    <t>INFS1JANSR2N7467U2AINF0</t>
  </si>
  <si>
    <t>INF0</t>
  </si>
  <si>
    <t>AVAS1AFCD-V84LPAVA2</t>
  </si>
  <si>
    <t>PANS1EEE-FK1V151PPAN4</t>
  </si>
  <si>
    <t>AMPS1RVPX-P16DM2AMP7</t>
  </si>
  <si>
    <t>KEMS1C0603C102K5RACTUKEM5</t>
  </si>
  <si>
    <t>ON S115022-516-XTDON 9</t>
  </si>
  <si>
    <t>GOLS10402CS-4N7XJRWGOL2</t>
  </si>
  <si>
    <t>AVXS1M49470X01126KBN SLDR SAMAVX0</t>
  </si>
  <si>
    <t>BOUS1RT24C2W501BOU5</t>
  </si>
  <si>
    <t>AVAS1W1206-601205AVA6</t>
  </si>
  <si>
    <t>MICS1HRDS-JANTXV_DATA_PACKAGEMIC7</t>
  </si>
  <si>
    <t>CYP7</t>
  </si>
  <si>
    <t>AVXS106031C102KAT2AAVX0</t>
  </si>
  <si>
    <t>VISS1RWR80S1001FPS73VIS7</t>
  </si>
  <si>
    <t>MICS1AT28C256-15JUMIC0</t>
  </si>
  <si>
    <t>VISS1SOMC160110K0JDCVIS7</t>
  </si>
  <si>
    <t>MARS188E6393XA0-BXB2I000MAR0</t>
  </si>
  <si>
    <t>AMPS1MS27484E24F35SAMP6</t>
  </si>
  <si>
    <t>AMP6</t>
  </si>
  <si>
    <t>BOUS15.0SMDJ45ABOU5</t>
  </si>
  <si>
    <t>MPSS1MP8792GLE-ZMPS5</t>
  </si>
  <si>
    <t>MICS1DSPIC30F6014A-30I/PTMIC4</t>
  </si>
  <si>
    <t>SAMS1MEC6-110-02-L-DV-TRSAM2</t>
  </si>
  <si>
    <t>LENS143V7099LEN4</t>
  </si>
  <si>
    <t>LEN4</t>
  </si>
  <si>
    <t>SOUS12358145SOU4</t>
  </si>
  <si>
    <t>LENS169Y5816LEN4</t>
  </si>
  <si>
    <t>RENS1UPD70F3628GCA-UEU-E2-QS-AXREN3</t>
  </si>
  <si>
    <t>RADS17512-1511-006RAD1</t>
  </si>
  <si>
    <t>STMS1STA8600ASTM6</t>
  </si>
  <si>
    <t>AVXS104025C152KAT2AAVX0</t>
  </si>
  <si>
    <t>TAIS1LBC3225T101MRTAI1</t>
  </si>
  <si>
    <t>VISS1CRCW201010R0FKEFHPVIS7</t>
  </si>
  <si>
    <t>STMS15962F8776003VXCSTM6</t>
  </si>
  <si>
    <t>STMS1DC3SLDC-71$STM6</t>
  </si>
  <si>
    <t>AMPS1D38999/24MB35SNAMP6</t>
  </si>
  <si>
    <t>MOLS115167-0722MOL9</t>
  </si>
  <si>
    <t>CYPS1FDC2512CYP7</t>
  </si>
  <si>
    <t>RADS17512-2212-007RAD1</t>
  </si>
  <si>
    <t>BELS10ZCG0010FF2CBEL5</t>
  </si>
  <si>
    <t>KEMS1C1206C104KARACTUKEM5</t>
  </si>
  <si>
    <t>ON S1CAT24C08TDI-GT3ON 9</t>
  </si>
  <si>
    <t>GOLS11008LS-472XJLCGOL2</t>
  </si>
  <si>
    <t>MICS124AA16T-I/STMIC4</t>
  </si>
  <si>
    <t>AVAS1247C1-1270TAVA2</t>
  </si>
  <si>
    <t>AVAS1247C1-1290TAVA2</t>
  </si>
  <si>
    <t>RADS1R223703270RAD1</t>
  </si>
  <si>
    <t>MOLS152610-1633MOL9</t>
  </si>
  <si>
    <t>MURS1GRM32ER60J227ME05LMUR8</t>
  </si>
  <si>
    <t>SAMS1CL10A475KP8NNNCSAM0</t>
  </si>
  <si>
    <t>ON S1MBR0520LT1GON 9</t>
  </si>
  <si>
    <t>RADS180-4623-006RAD1</t>
  </si>
  <si>
    <t>FUTS1ELI70-CRFUT7</t>
  </si>
  <si>
    <t>FUT7</t>
  </si>
  <si>
    <t>GLES1NASA/SCREENINGGLE0</t>
  </si>
  <si>
    <t>GLES1GMR7580-51S2BRN-429AGLE0</t>
  </si>
  <si>
    <t>MICS1JANTXV1N5806USMIC7</t>
  </si>
  <si>
    <t>LITS1LTL1CHKRKNNLIT5</t>
  </si>
  <si>
    <t>VISS1IRFBE30PBFVIS0</t>
  </si>
  <si>
    <t>AMPS1AT13-6P-BM03GRYAMP1</t>
  </si>
  <si>
    <t>EATS1KR-5R5C105-REAT4</t>
  </si>
  <si>
    <t>MOLS139-29-9023MOL9</t>
  </si>
  <si>
    <t>TE S11217754-1TE 6</t>
  </si>
  <si>
    <t>INTS1GG8067402570503S R2M2INT0</t>
  </si>
  <si>
    <t>RADS17225-1512-000RAD1</t>
  </si>
  <si>
    <t>TDKS1FS1406-1000-ASTDK9</t>
  </si>
  <si>
    <t>ON S1NOICPSCVG62A-GCCON 9</t>
  </si>
  <si>
    <t>NICS1NMC0402X7R104K16TRPFNIC6</t>
  </si>
  <si>
    <t>CTSS1445I23D25M00000CTS9</t>
  </si>
  <si>
    <t>DIOS174LVC1G3157DW-7DIO1</t>
  </si>
  <si>
    <t>KEMS1C1206C107M9PACTUKEM5</t>
  </si>
  <si>
    <t>MURS1GCM155R71H103KA55DMUR8</t>
  </si>
  <si>
    <t>MURS1GRM033R71A103KA01DMUR8</t>
  </si>
  <si>
    <t>PANS1ERJ-8GEY0R00VPAN4</t>
  </si>
  <si>
    <t>TAIS1EMK107ABJ475KA-TTAI1</t>
  </si>
  <si>
    <t>VISS1CRCW04022K00FKEDVIS7</t>
  </si>
  <si>
    <t>VISS1CRCW04028K06FKEDVIS7</t>
  </si>
  <si>
    <t>YAGS1RC0201FR-0710KLYAG5</t>
  </si>
  <si>
    <t>AVXS112061Z475KAT2AAVX0</t>
  </si>
  <si>
    <t>RENS15PB1104CMGI8REN4</t>
  </si>
  <si>
    <t>VISS1M55342E06B825ASTI_GRP_A_DATAVIS7</t>
  </si>
  <si>
    <t>VISS1M55342E06B825ASTIVIS7</t>
  </si>
  <si>
    <t>AVAS15962-8876901XAAVA2</t>
  </si>
  <si>
    <t>AVXS1TBME336K035LRLC90GC DPAAVX0</t>
  </si>
  <si>
    <t>AVXS1TBME336K035LRLC90GCAVX0</t>
  </si>
  <si>
    <t>AMPS1ELFH20240AMP2</t>
  </si>
  <si>
    <t>AMP2</t>
  </si>
  <si>
    <t>AVNS1MC908QY8CDWEAVN7</t>
  </si>
  <si>
    <t>SOUS10805N560FW251XSOU4</t>
  </si>
  <si>
    <t>PANS1142-1701-031PAN0</t>
  </si>
  <si>
    <t>GOLS1DT1608C-223MLCGOL2</t>
  </si>
  <si>
    <t>GOLS12119-4721-6205GOL2</t>
  </si>
  <si>
    <t>KEMS1C0603C474K4RACTUKEM5</t>
  </si>
  <si>
    <t>OMES15SRTC-TT-T-24-120OME6</t>
  </si>
  <si>
    <t>GLES1000-01-15-163GLE0</t>
  </si>
  <si>
    <t>MOLS1146236-2123MOL9</t>
  </si>
  <si>
    <t>KEMS195158-19KHKEM5</t>
  </si>
  <si>
    <t>NXPS1PCF7937EA/C1AB5901NXP0</t>
  </si>
  <si>
    <t>MURS1GCM155R71H104KE02JMUR8</t>
  </si>
  <si>
    <t>MURS1GCM188R71E105KA64DMUR8</t>
  </si>
  <si>
    <t>TDKS1CGA6P3X7R1E226M250AETDK9</t>
  </si>
  <si>
    <t>VASS1SW-U-1200VAS0</t>
  </si>
  <si>
    <t>VAS0</t>
  </si>
  <si>
    <t>AVNS117922AVN7</t>
  </si>
  <si>
    <t>AVNS118581AVN7</t>
  </si>
  <si>
    <t>AVNS127690AVN7</t>
  </si>
  <si>
    <t>TA I 5517</t>
  </si>
  <si>
    <t>PARP 9614</t>
  </si>
  <si>
    <t>AVNS1X28HC64JIZ-12AVN7</t>
  </si>
  <si>
    <t>AVNS1NSS60601MZ4T1GAVN7</t>
  </si>
  <si>
    <t>AVNS1MC74ACT14DGAVN7</t>
  </si>
  <si>
    <t>AVNS110181-9826-020/REV.LAVN7</t>
  </si>
  <si>
    <t>AVNS1MC74ACT245DWGAVN7</t>
  </si>
  <si>
    <t>AVNS15613AVN7</t>
  </si>
  <si>
    <t>AVNS1MC74HCT244ADWGAVN7</t>
  </si>
  <si>
    <t>AVNS1MC908QY4ACDWEAVN7</t>
  </si>
  <si>
    <t>AVNS1R5F51115ADFL#1AAVN7</t>
  </si>
  <si>
    <t>AVNS1LM317BD2TGAVN7</t>
  </si>
  <si>
    <t>AVNS1HI9P0548-9ZAVN7</t>
  </si>
  <si>
    <t>AVNS1ATTINY25-20SUAVN7</t>
  </si>
  <si>
    <t>AVNS1HI9P0546-9Z96AVN7</t>
  </si>
  <si>
    <t>AVNS1MJB44H11GAVN7</t>
  </si>
  <si>
    <t>AVNS1MKL28Z512VLL7AVN7</t>
  </si>
  <si>
    <t>AVNS1ATMEGA168PV-10MUAVN7</t>
  </si>
  <si>
    <t>AVNS1XC9572XL-10VQG64IAVN7</t>
  </si>
  <si>
    <t>AVNS1REN5962-8671601EA/C00-19/801/62/BOEAVN7</t>
  </si>
  <si>
    <t>AVNS1M30620FCPGP#U5CAVN7</t>
  </si>
  <si>
    <t>AVNS140014847-MM103J1FAVN7</t>
  </si>
  <si>
    <t>AVNS15962-85131013AAVN7</t>
  </si>
  <si>
    <t>AVNS1INFJANTX2N6770/011130-1/C/GEAVN7</t>
  </si>
  <si>
    <t>AVNS1AT91SAM7S256D-AUAVN7</t>
  </si>
  <si>
    <t>AVNS1XC95144XL-10TQG144CAVN7</t>
  </si>
  <si>
    <t>AVNS1VISM32159B11TUL5/TRAVN7</t>
  </si>
  <si>
    <t>AVNS1MICMT46V32M16CY-5B IT:J/70B865895-1001/0AVN7</t>
  </si>
  <si>
    <t>AVNS1MC705P6ACDWEAVN7</t>
  </si>
  <si>
    <t>AVNS112053-6310-A1/REV.AAVN7</t>
  </si>
  <si>
    <t>AVNS110513-0811-A100/REV.CAVN7</t>
  </si>
  <si>
    <t>AVNS140014847-MC908QY4ACDWEAVN7</t>
  </si>
  <si>
    <t>AVNS11248323-3/PLREV.C/DWGREV.DAVN7</t>
  </si>
  <si>
    <t>AVNS15962-86716012AAVN7</t>
  </si>
  <si>
    <t>AVNS1ADVALXD800EEXJ2VF    C3/REBALL//HNYAVN7</t>
  </si>
  <si>
    <t>AVNS1FDS3992AVN7</t>
  </si>
  <si>
    <t>AVNS140006836- DSP56F807VF80AVN7</t>
  </si>
  <si>
    <t>AVNS1EQCO30T5.2AVN7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</si>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</sst>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237"/>
  <sheetViews>
    <sheetView tabSelected="1"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34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29</v>
      </c>
      <c r="P1" s="4" t="s">
        <v>30</v>
      </c>
      <c r="Q1" s="4" t="s">
        <v>31</v>
      </c>
      <c r="R1" s="3" t="s">
        <v>32</v>
      </c>
      <c r="S1" s="4" t="s">
        <v>36</v>
      </c>
      <c r="T1" s="5" t="s">
        <v>35</v>
      </c>
      <c r="U1" s="6" t="s">
        <v>11</v>
      </c>
      <c r="V1" s="7" t="s">
        <v>12</v>
      </c>
      <c r="W1" s="5" t="s">
        <v>47</v>
      </c>
      <c r="X1" s="1" t="s">
        <v>13</v>
      </c>
      <c r="Y1" s="1" t="s">
        <v>38</v>
      </c>
      <c r="Z1" s="1" t="s">
        <v>14</v>
      </c>
      <c r="AA1" s="1" t="s">
        <v>39</v>
      </c>
      <c r="AB1" s="8" t="s">
        <v>33</v>
      </c>
      <c r="AC1" s="5" t="s">
        <v>40</v>
      </c>
      <c r="AD1" s="5" t="s">
        <v>48</v>
      </c>
      <c r="AE1" s="5" t="s">
        <v>49</v>
      </c>
    </row>
    <row r="2" spans="1:31" x14ac:dyDescent="0.3">
      <c r="A2">
        <v>240</v>
      </c>
      <c r="B2">
        <v>4383098</v>
      </c>
      <c r="C2" t="s">
        <v>91</v>
      </c>
      <c r="D2">
        <v>1963277</v>
      </c>
      <c r="E2" t="s">
        <v>107</v>
      </c>
      <c r="F2" t="s">
        <v>18</v>
      </c>
      <c r="G2" t="s">
        <v>361</v>
      </c>
      <c r="H2" t="s">
        <v>362</v>
      </c>
      <c r="I2" s="9" t="s">
        <v>832</v>
      </c>
      <c r="J2" s="9">
        <v>51161089675</v>
      </c>
      <c r="K2" s="14" t="s">
        <v>657</v>
      </c>
      <c r="L2" s="13" t="s">
        <v>886</v>
      </c>
      <c r="M2" s="14">
        <v>17500</v>
      </c>
      <c r="N2" s="14">
        <v>0.11824999999999999</v>
      </c>
      <c r="O2" s="10">
        <f t="shared" ref="O2:O16" si="0">M2*N2</f>
        <v>2069.375</v>
      </c>
      <c r="P2" s="11">
        <v>0</v>
      </c>
      <c r="Q2" s="11">
        <v>0</v>
      </c>
      <c r="R2" s="10">
        <f>IF(COUNTIF($J$2:J2,J2)=1,SUMIFS($O:$O,$J:$J,J2)+SUMIFS($P:$P,$J:$J,J2)+SUMIFS($Q:$Q,$J:$J,J2),"")</f>
        <v>2069.375</v>
      </c>
      <c r="S2" s="10">
        <v>2069.38</v>
      </c>
      <c r="T2" s="11" t="str">
        <f>IFERROR(INDEX(AD:AD,MATCH(J2,J:J,0)),"")</f>
        <v>Check</v>
      </c>
      <c r="U2" s="12">
        <v>45848</v>
      </c>
      <c r="V2" s="10">
        <v>144.38</v>
      </c>
      <c r="W2" s="10" t="str">
        <f t="shared" ref="W2:W16" si="1">IF(OR(S2="",V2=""),"N/A",IF(S2&lt;&gt;V2,"Short Paid","Not Paid"))</f>
        <v>Short Paid</v>
      </c>
      <c r="X2" t="s">
        <v>220</v>
      </c>
      <c r="Y2" t="s">
        <v>27</v>
      </c>
      <c r="Z2">
        <v>100129</v>
      </c>
      <c r="AA2" t="s">
        <v>236</v>
      </c>
      <c r="AB2" t="s">
        <v>251</v>
      </c>
      <c r="AC2" s="9">
        <f>COUNTIF(J:J,J2)</f>
        <v>1</v>
      </c>
      <c r="AD2" s="9" t="str">
        <f t="shared" ref="AD2:AD16" si="2">IF(AND(R2="",S2=""),"N/A",IF(R2=S2,"Ok","Check"))</f>
        <v>Check</v>
      </c>
      <c r="AE2" s="11">
        <f t="shared" ref="AE2:AE7" si="3">R2-S2</f>
        <v>-5.0000000001091394E-3</v>
      </c>
    </row>
    <row r="3" spans="1:31" x14ac:dyDescent="0.3">
      <c r="A3">
        <v>225</v>
      </c>
      <c r="B3">
        <v>4389638</v>
      </c>
      <c r="C3" t="s">
        <v>91</v>
      </c>
      <c r="D3">
        <v>1262308</v>
      </c>
      <c r="E3" t="s">
        <v>268</v>
      </c>
      <c r="F3" t="s">
        <v>20</v>
      </c>
      <c r="G3" t="s">
        <v>363</v>
      </c>
      <c r="H3" t="s">
        <v>364</v>
      </c>
      <c r="I3" s="9" t="s">
        <v>856</v>
      </c>
      <c r="J3" s="9">
        <v>51159630958</v>
      </c>
      <c r="K3" s="14" t="s">
        <v>740</v>
      </c>
      <c r="L3" s="13" t="s">
        <v>870</v>
      </c>
      <c r="M3" s="14">
        <v>4000</v>
      </c>
      <c r="N3" s="14">
        <v>0.23799999999999999</v>
      </c>
      <c r="O3" s="10">
        <f t="shared" si="0"/>
        <v>952</v>
      </c>
      <c r="P3" s="11">
        <v>0</v>
      </c>
      <c r="Q3" s="11">
        <v>90.44</v>
      </c>
      <c r="R3" s="10">
        <f>IF(COUNTIF($J$2:J3,J3)=1,SUMIFS($O:$O,$J:$J,J3)+SUMIFS($P:$P,$J:$J,J3)+SUMIFS($Q:$Q,$J:$J,J3),"")</f>
        <v>1042.44</v>
      </c>
      <c r="S3" s="10">
        <v>1042.44</v>
      </c>
      <c r="T3" s="11" t="str">
        <f>IFERROR(INDEX(AD:AD,MATCH(J3,J:J,0)),"")</f>
        <v>Ok</v>
      </c>
      <c r="U3" s="12">
        <v>45867</v>
      </c>
      <c r="V3" s="10">
        <v>90.44</v>
      </c>
      <c r="W3" s="10" t="str">
        <f t="shared" si="1"/>
        <v>Short Paid</v>
      </c>
      <c r="X3" t="s">
        <v>207</v>
      </c>
      <c r="Y3" t="s">
        <v>27</v>
      </c>
      <c r="Z3">
        <v>100274</v>
      </c>
      <c r="AA3" t="s">
        <v>208</v>
      </c>
      <c r="AB3" t="s">
        <v>249</v>
      </c>
      <c r="AC3" s="9">
        <f>COUNTIF(J:J,J3)</f>
        <v>1</v>
      </c>
      <c r="AD3" s="9" t="str">
        <f t="shared" si="2"/>
        <v>Ok</v>
      </c>
      <c r="AE3" s="11">
        <f t="shared" si="3"/>
        <v>0</v>
      </c>
    </row>
    <row r="4" spans="1:31" x14ac:dyDescent="0.3">
      <c r="A4">
        <v>225</v>
      </c>
      <c r="B4">
        <v>4390548</v>
      </c>
      <c r="C4" t="s">
        <v>91</v>
      </c>
      <c r="D4">
        <v>1391333</v>
      </c>
      <c r="E4" t="s">
        <v>273</v>
      </c>
      <c r="F4" t="s">
        <v>23</v>
      </c>
      <c r="G4" t="s">
        <v>365</v>
      </c>
      <c r="H4" t="s">
        <v>366</v>
      </c>
      <c r="I4" s="9" t="s">
        <v>673</v>
      </c>
      <c r="J4" s="9">
        <v>51161143785</v>
      </c>
      <c r="K4" s="14" t="s">
        <v>858</v>
      </c>
      <c r="L4" s="13" t="s">
        <v>887</v>
      </c>
      <c r="M4" s="14">
        <v>8</v>
      </c>
      <c r="N4" s="14">
        <v>373.25</v>
      </c>
      <c r="O4" s="10">
        <f t="shared" si="0"/>
        <v>2986</v>
      </c>
      <c r="P4" s="11">
        <v>0</v>
      </c>
      <c r="Q4" s="11">
        <v>0</v>
      </c>
      <c r="R4" s="10">
        <f>IF(COUNTIF($J$2:J4,J4)=1,SUMIFS($O:$O,$J:$J,J4)+SUMIFS($P:$P,$J:$J,J4)+SUMIFS($Q:$Q,$J:$J,J4),"")</f>
        <v>2986</v>
      </c>
      <c r="S4" s="10">
        <v>2986</v>
      </c>
      <c r="T4" s="11" t="str">
        <f>IFERROR(INDEX(AD:AD,MATCH(J4,J:J,0)),"")</f>
        <v>Ok</v>
      </c>
      <c r="U4" s="12">
        <v>45860</v>
      </c>
      <c r="V4" s="10">
        <v>2538.1</v>
      </c>
      <c r="W4" s="10" t="str">
        <f t="shared" si="1"/>
        <v>Short Paid</v>
      </c>
      <c r="X4" t="s">
        <v>204</v>
      </c>
      <c r="Y4" t="s">
        <v>198</v>
      </c>
      <c r="Z4">
        <v>100177</v>
      </c>
      <c r="AA4" t="s">
        <v>639</v>
      </c>
      <c r="AB4" t="s">
        <v>248</v>
      </c>
      <c r="AC4" s="9">
        <f>COUNTIF(J:J,J4)</f>
        <v>1</v>
      </c>
      <c r="AD4" s="9" t="str">
        <f t="shared" si="2"/>
        <v>Ok</v>
      </c>
      <c r="AE4" s="11">
        <f t="shared" si="3"/>
        <v>0</v>
      </c>
    </row>
    <row r="5" spans="1:31" x14ac:dyDescent="0.3">
      <c r="A5">
        <v>224</v>
      </c>
      <c r="B5">
        <v>4391967</v>
      </c>
      <c r="C5" t="s">
        <v>91</v>
      </c>
      <c r="D5">
        <v>1391333</v>
      </c>
      <c r="E5" t="s">
        <v>273</v>
      </c>
      <c r="F5" t="s">
        <v>18</v>
      </c>
      <c r="G5" t="s">
        <v>367</v>
      </c>
      <c r="H5" t="s">
        <v>368</v>
      </c>
      <c r="I5" s="9" t="s">
        <v>724</v>
      </c>
      <c r="J5" s="9">
        <v>51159924130</v>
      </c>
      <c r="K5" s="14" t="s">
        <v>699</v>
      </c>
      <c r="L5" s="13" t="s">
        <v>873</v>
      </c>
      <c r="M5" s="14">
        <v>500</v>
      </c>
      <c r="N5" s="14">
        <v>4.7601599999999999</v>
      </c>
      <c r="O5" s="10">
        <f t="shared" si="0"/>
        <v>2380.08</v>
      </c>
      <c r="P5" s="11">
        <v>0</v>
      </c>
      <c r="Q5" s="11">
        <v>0</v>
      </c>
      <c r="R5" s="10">
        <f>IF(COUNTIF($J$2:J5,J5)=1,SUMIFS($O:$O,$J:$J,J5)+SUMIFS($P:$P,$J:$J,J5)+SUMIFS($Q:$Q,$J:$J,J5),"")</f>
        <v>2380.08</v>
      </c>
      <c r="S5" s="10">
        <v>2380.08</v>
      </c>
      <c r="T5" s="11" t="str">
        <f>IFERROR(INDEX(AD:AD,MATCH(J5,J:J,0)),"")</f>
        <v>Ok</v>
      </c>
      <c r="U5" s="12">
        <v>45859</v>
      </c>
      <c r="V5" s="10">
        <v>5</v>
      </c>
      <c r="W5" s="10" t="str">
        <f t="shared" si="1"/>
        <v>Short Paid</v>
      </c>
      <c r="X5" t="s">
        <v>204</v>
      </c>
      <c r="Y5" t="s">
        <v>27</v>
      </c>
      <c r="Z5">
        <v>100237</v>
      </c>
      <c r="AA5" t="s">
        <v>633</v>
      </c>
      <c r="AB5" t="s">
        <v>251</v>
      </c>
      <c r="AC5" s="9">
        <f>COUNTIF(J:J,J5)</f>
        <v>1</v>
      </c>
      <c r="AD5" s="9" t="str">
        <f t="shared" si="2"/>
        <v>Ok</v>
      </c>
      <c r="AE5" s="11">
        <f t="shared" si="3"/>
        <v>0</v>
      </c>
    </row>
    <row r="6" spans="1:31" x14ac:dyDescent="0.3">
      <c r="A6">
        <v>224</v>
      </c>
      <c r="B6">
        <v>4392867</v>
      </c>
      <c r="C6" t="s">
        <v>91</v>
      </c>
      <c r="D6">
        <v>1443616</v>
      </c>
      <c r="E6" t="s">
        <v>113</v>
      </c>
      <c r="F6" t="s">
        <v>18</v>
      </c>
      <c r="G6" t="s">
        <v>369</v>
      </c>
      <c r="H6" t="s">
        <v>370</v>
      </c>
      <c r="I6" s="9" t="s">
        <v>701</v>
      </c>
      <c r="J6" s="9">
        <v>55113373969</v>
      </c>
      <c r="K6" s="14">
        <v>36586</v>
      </c>
      <c r="L6" s="13" t="s">
        <v>934</v>
      </c>
      <c r="M6" s="14">
        <v>7000</v>
      </c>
      <c r="N6" s="14">
        <v>34.340000000000003</v>
      </c>
      <c r="O6" s="10">
        <f t="shared" si="0"/>
        <v>240380.00000000003</v>
      </c>
      <c r="P6" s="11">
        <v>0</v>
      </c>
      <c r="Q6" s="11">
        <v>0</v>
      </c>
      <c r="R6" s="10">
        <f>IF(COUNTIF($J$2:J6,J6)=1,SUMIFS($O:$O,$J:$J,J6)+SUMIFS($P:$P,$J:$J,J6)+SUMIFS($Q:$Q,$J:$J,J6),"")</f>
        <v>240380.00000000003</v>
      </c>
      <c r="S6" s="10">
        <v>240380</v>
      </c>
      <c r="T6" s="11" t="str">
        <f>IFERROR(INDEX(AD:AD,MATCH(J6,J:J,0)),"")</f>
        <v>Ok</v>
      </c>
      <c r="U6" s="12">
        <v>45945</v>
      </c>
      <c r="V6" s="10">
        <v>23800</v>
      </c>
      <c r="W6" s="10" t="str">
        <f t="shared" si="1"/>
        <v>Short Paid</v>
      </c>
      <c r="X6" t="s">
        <v>197</v>
      </c>
      <c r="Y6" t="s">
        <v>27</v>
      </c>
      <c r="Z6">
        <v>100241</v>
      </c>
      <c r="AA6" t="s">
        <v>617</v>
      </c>
      <c r="AB6" t="s">
        <v>251</v>
      </c>
      <c r="AC6" s="9">
        <f>COUNTIF(J:J,J6)</f>
        <v>1</v>
      </c>
      <c r="AD6" s="9" t="str">
        <f t="shared" si="2"/>
        <v>Ok</v>
      </c>
      <c r="AE6" s="11">
        <f t="shared" si="3"/>
        <v>0</v>
      </c>
    </row>
    <row r="7" spans="1:31" x14ac:dyDescent="0.3">
      <c r="A7">
        <v>223</v>
      </c>
      <c r="B7">
        <v>4394487</v>
      </c>
      <c r="C7" t="s">
        <v>91</v>
      </c>
      <c r="D7">
        <v>1963277</v>
      </c>
      <c r="E7" t="s">
        <v>107</v>
      </c>
      <c r="F7" t="s">
        <v>18</v>
      </c>
      <c r="G7" t="s">
        <v>371</v>
      </c>
      <c r="H7" t="s">
        <v>372</v>
      </c>
      <c r="I7" s="9" t="s">
        <v>809</v>
      </c>
      <c r="J7" s="9">
        <v>51158994705</v>
      </c>
      <c r="K7" s="14" t="s">
        <v>715</v>
      </c>
      <c r="L7" s="13" t="s">
        <v>868</v>
      </c>
      <c r="M7" s="14">
        <v>1000</v>
      </c>
      <c r="N7" s="14">
        <v>3.0385000000000004</v>
      </c>
      <c r="O7" s="10">
        <f t="shared" si="0"/>
        <v>3038.5000000000005</v>
      </c>
      <c r="P7" s="11">
        <v>0</v>
      </c>
      <c r="Q7" s="11">
        <v>0</v>
      </c>
      <c r="R7" s="10">
        <f>IF(COUNTIF($J$2:J7,J7)=1,SUMIFS($O:$O,$J:$J,J7)+SUMIFS($P:$P,$J:$J,J7)+SUMIFS($Q:$Q,$J:$J,J7),"")</f>
        <v>3038.5000000000005</v>
      </c>
      <c r="S7" s="10">
        <v>3038.5</v>
      </c>
      <c r="T7" s="11" t="str">
        <f>IFERROR(INDEX(AD:AD,MATCH(J7,J:J,0)),"")</f>
        <v>Ok</v>
      </c>
      <c r="U7" s="12">
        <v>45869</v>
      </c>
      <c r="V7" s="10">
        <v>228.5</v>
      </c>
      <c r="W7" s="10" t="str">
        <f t="shared" si="1"/>
        <v>Short Paid</v>
      </c>
      <c r="X7" t="s">
        <v>220</v>
      </c>
      <c r="Y7" t="s">
        <v>27</v>
      </c>
      <c r="Z7">
        <v>100129</v>
      </c>
      <c r="AA7" t="s">
        <v>236</v>
      </c>
      <c r="AB7" t="s">
        <v>251</v>
      </c>
      <c r="AC7" s="9">
        <f>COUNTIF(J:J,J7)</f>
        <v>1</v>
      </c>
      <c r="AD7" s="9" t="str">
        <f t="shared" si="2"/>
        <v>Ok</v>
      </c>
      <c r="AE7" s="11">
        <f t="shared" si="3"/>
        <v>0</v>
      </c>
    </row>
    <row r="8" spans="1:31" x14ac:dyDescent="0.3">
      <c r="A8">
        <v>219</v>
      </c>
      <c r="B8">
        <v>4395147</v>
      </c>
      <c r="C8" t="s">
        <v>91</v>
      </c>
      <c r="D8">
        <v>1223769</v>
      </c>
      <c r="E8" t="s">
        <v>275</v>
      </c>
      <c r="F8" t="s">
        <v>42</v>
      </c>
      <c r="G8" t="s">
        <v>373</v>
      </c>
      <c r="H8" t="s">
        <v>374</v>
      </c>
      <c r="I8" s="9" t="s">
        <v>695</v>
      </c>
      <c r="J8" s="9">
        <v>50117801221</v>
      </c>
      <c r="K8" s="14" t="s">
        <v>719</v>
      </c>
      <c r="L8" s="13" t="s">
        <v>718</v>
      </c>
      <c r="M8" s="14">
        <v>4400</v>
      </c>
      <c r="N8" s="14">
        <v>0.33900000000000002</v>
      </c>
      <c r="O8" s="10">
        <f t="shared" si="0"/>
        <v>1491.6000000000001</v>
      </c>
      <c r="P8" s="11">
        <v>0</v>
      </c>
      <c r="Q8" s="11">
        <v>780.1</v>
      </c>
      <c r="R8" s="10">
        <f>IF(COUNTIF($J$2:J8,J8)=1,SUMIFS($O:$O,$J:$J,J8)+SUMIFS($P:$P,$J:$J,J8)+SUMIFS($Q:$Q,$J:$J,J8),"")</f>
        <v>2271.7000000000003</v>
      </c>
      <c r="S8" s="10">
        <v>2271.6999999999998</v>
      </c>
      <c r="T8" s="11" t="str">
        <f>IFERROR(INDEX(AD:AD,MATCH(J8,J:J,0)),"")</f>
        <v>Ok</v>
      </c>
      <c r="U8" s="12">
        <v>45870</v>
      </c>
      <c r="V8" s="10">
        <v>780.1</v>
      </c>
      <c r="W8" s="10" t="str">
        <f t="shared" si="1"/>
        <v>Short Paid</v>
      </c>
      <c r="X8" t="s">
        <v>217</v>
      </c>
      <c r="Y8" t="s">
        <v>27</v>
      </c>
      <c r="Z8">
        <v>100208</v>
      </c>
      <c r="AA8" t="s">
        <v>636</v>
      </c>
      <c r="AB8" t="s">
        <v>604</v>
      </c>
      <c r="AC8" s="9">
        <f>COUNTIF(J:J,J8)</f>
        <v>1</v>
      </c>
      <c r="AD8" s="9" t="str">
        <f t="shared" si="2"/>
        <v>Ok</v>
      </c>
      <c r="AE8" s="11">
        <f t="shared" ref="AE8:AE15" si="4">R8-S8</f>
        <v>0</v>
      </c>
    </row>
    <row r="9" spans="1:31" x14ac:dyDescent="0.3">
      <c r="A9">
        <v>219</v>
      </c>
      <c r="B9">
        <v>4394817</v>
      </c>
      <c r="C9" t="s">
        <v>91</v>
      </c>
      <c r="D9">
        <v>1223769</v>
      </c>
      <c r="E9" t="s">
        <v>275</v>
      </c>
      <c r="F9" t="s">
        <v>18</v>
      </c>
      <c r="G9" t="s">
        <v>375</v>
      </c>
      <c r="H9" t="s">
        <v>376</v>
      </c>
      <c r="I9" s="9" t="s">
        <v>753</v>
      </c>
      <c r="J9" s="9">
        <v>51162052840</v>
      </c>
      <c r="K9" s="14" t="s">
        <v>768</v>
      </c>
      <c r="L9" s="13" t="s">
        <v>903</v>
      </c>
      <c r="M9" s="14">
        <v>10</v>
      </c>
      <c r="N9" s="14">
        <v>200.98</v>
      </c>
      <c r="O9" s="10">
        <f t="shared" si="0"/>
        <v>2009.8</v>
      </c>
      <c r="P9" s="11">
        <v>0</v>
      </c>
      <c r="Q9" s="11">
        <v>0</v>
      </c>
      <c r="R9" s="10">
        <f>IF(COUNTIF($J$2:J9,J9)=1,SUMIFS($O:$O,$J:$J,J9)+SUMIFS($P:$P,$J:$J,J9)+SUMIFS($Q:$Q,$J:$J,J9),"")</f>
        <v>2009.8</v>
      </c>
      <c r="S9" s="10">
        <v>2009.8</v>
      </c>
      <c r="T9" s="11" t="str">
        <f>IFERROR(INDEX(AD:AD,MATCH(J9,J:J,0)),"")</f>
        <v>Ok</v>
      </c>
      <c r="U9" s="12">
        <v>45909</v>
      </c>
      <c r="V9" s="10">
        <v>544.52</v>
      </c>
      <c r="W9" s="10" t="str">
        <f t="shared" si="1"/>
        <v>Short Paid</v>
      </c>
      <c r="X9" t="s">
        <v>217</v>
      </c>
      <c r="Y9" t="s">
        <v>27</v>
      </c>
      <c r="Z9">
        <v>100238</v>
      </c>
      <c r="AA9" t="s">
        <v>625</v>
      </c>
      <c r="AB9" t="s">
        <v>251</v>
      </c>
      <c r="AC9" s="9">
        <f>COUNTIF(J:J,J9)</f>
        <v>1</v>
      </c>
      <c r="AD9" s="9" t="str">
        <f t="shared" si="2"/>
        <v>Ok</v>
      </c>
      <c r="AE9" s="11">
        <f t="shared" si="4"/>
        <v>0</v>
      </c>
    </row>
    <row r="10" spans="1:31" x14ac:dyDescent="0.3">
      <c r="A10">
        <v>211</v>
      </c>
      <c r="B10">
        <v>4398986</v>
      </c>
      <c r="C10" t="s">
        <v>91</v>
      </c>
      <c r="D10">
        <v>1443616</v>
      </c>
      <c r="E10" t="s">
        <v>113</v>
      </c>
      <c r="F10" t="s">
        <v>20</v>
      </c>
      <c r="G10" t="s">
        <v>377</v>
      </c>
      <c r="H10" t="s">
        <v>378</v>
      </c>
      <c r="I10" s="9" t="s">
        <v>685</v>
      </c>
      <c r="J10" s="9">
        <v>51160320651</v>
      </c>
      <c r="K10" s="14">
        <v>36586</v>
      </c>
      <c r="L10" s="13" t="s">
        <v>881</v>
      </c>
      <c r="M10" s="14">
        <v>1</v>
      </c>
      <c r="N10" s="14">
        <v>25000</v>
      </c>
      <c r="O10" s="10">
        <f t="shared" si="0"/>
        <v>25000</v>
      </c>
      <c r="P10" s="11">
        <v>0</v>
      </c>
      <c r="Q10" s="11">
        <v>0</v>
      </c>
      <c r="R10" s="10">
        <f>IF(COUNTIF($J$2:J10,J10)=1,SUMIFS($O:$O,$J:$J,J10)+SUMIFS($P:$P,$J:$J,J10)+SUMIFS($Q:$Q,$J:$J,J10),"")</f>
        <v>25000</v>
      </c>
      <c r="S10" s="10">
        <v>25000</v>
      </c>
      <c r="T10" s="11" t="str">
        <f>IFERROR(INDEX(AD:AD,MATCH(J10,J:J,0)),"")</f>
        <v>Ok</v>
      </c>
      <c r="U10" s="12">
        <v>45916</v>
      </c>
      <c r="V10" s="10">
        <v>25000</v>
      </c>
      <c r="W10" s="10" t="str">
        <f t="shared" si="1"/>
        <v>Not Paid</v>
      </c>
      <c r="X10" t="s">
        <v>197</v>
      </c>
      <c r="Y10" t="s">
        <v>27</v>
      </c>
      <c r="Z10">
        <v>100271</v>
      </c>
      <c r="AA10" t="s">
        <v>621</v>
      </c>
      <c r="AB10" t="s">
        <v>249</v>
      </c>
      <c r="AC10" s="9">
        <f>COUNTIF(J:J,J10)</f>
        <v>1</v>
      </c>
      <c r="AD10" s="9" t="str">
        <f t="shared" si="2"/>
        <v>Ok</v>
      </c>
      <c r="AE10" s="11">
        <f t="shared" si="4"/>
        <v>0</v>
      </c>
    </row>
    <row r="11" spans="1:31" x14ac:dyDescent="0.3">
      <c r="A11">
        <v>205</v>
      </c>
      <c r="B11">
        <v>4397106</v>
      </c>
      <c r="C11" t="s">
        <v>91</v>
      </c>
      <c r="D11">
        <v>1963277</v>
      </c>
      <c r="E11" t="s">
        <v>107</v>
      </c>
      <c r="F11" t="s">
        <v>18</v>
      </c>
      <c r="G11" t="s">
        <v>379</v>
      </c>
      <c r="H11" t="s">
        <v>380</v>
      </c>
      <c r="I11" s="9" t="s">
        <v>780</v>
      </c>
      <c r="J11" s="9">
        <v>51162008078</v>
      </c>
      <c r="K11" s="14" t="s">
        <v>657</v>
      </c>
      <c r="L11" s="13" t="s">
        <v>886</v>
      </c>
      <c r="M11" s="14">
        <v>15000</v>
      </c>
      <c r="N11" s="14">
        <v>0.11824999999999999</v>
      </c>
      <c r="O11" s="10">
        <f t="shared" si="0"/>
        <v>1773.75</v>
      </c>
      <c r="P11" s="11">
        <v>0</v>
      </c>
      <c r="Q11" s="11">
        <v>0</v>
      </c>
      <c r="R11" s="10">
        <f>IF(COUNTIF($J$2:J11,J11)=1,SUMIFS($O:$O,$J:$J,J11)+SUMIFS($P:$P,$J:$J,J11)+SUMIFS($Q:$Q,$J:$J,J11),"")</f>
        <v>1773.75</v>
      </c>
      <c r="S11" s="10">
        <v>1773.75</v>
      </c>
      <c r="T11" s="11" t="str">
        <f>IFERROR(INDEX(AD:AD,MATCH(J11,J:J,0)),"")</f>
        <v>Ok</v>
      </c>
      <c r="U11" s="12">
        <v>45884</v>
      </c>
      <c r="V11" s="10">
        <v>123.75</v>
      </c>
      <c r="W11" s="10" t="str">
        <f t="shared" si="1"/>
        <v>Short Paid</v>
      </c>
      <c r="X11" t="s">
        <v>220</v>
      </c>
      <c r="Y11" t="s">
        <v>27</v>
      </c>
      <c r="Z11">
        <v>100279</v>
      </c>
      <c r="AA11" t="s">
        <v>229</v>
      </c>
      <c r="AB11" t="s">
        <v>251</v>
      </c>
      <c r="AC11" s="9">
        <f>COUNTIF(J:J,J11)</f>
        <v>1</v>
      </c>
      <c r="AD11" s="9" t="str">
        <f t="shared" si="2"/>
        <v>Ok</v>
      </c>
      <c r="AE11" s="11">
        <f t="shared" si="4"/>
        <v>0</v>
      </c>
    </row>
    <row r="12" spans="1:31" x14ac:dyDescent="0.3">
      <c r="A12">
        <v>204</v>
      </c>
      <c r="B12">
        <v>4401246</v>
      </c>
      <c r="C12" t="s">
        <v>91</v>
      </c>
      <c r="D12">
        <v>1963277</v>
      </c>
      <c r="E12" t="s">
        <v>107</v>
      </c>
      <c r="F12" t="s">
        <v>18</v>
      </c>
      <c r="G12" t="s">
        <v>381</v>
      </c>
      <c r="H12" t="s">
        <v>382</v>
      </c>
      <c r="I12" s="9" t="s">
        <v>712</v>
      </c>
      <c r="J12" s="9">
        <v>51159534024</v>
      </c>
      <c r="K12" s="14" t="s">
        <v>660</v>
      </c>
      <c r="L12" s="13" t="s">
        <v>869</v>
      </c>
      <c r="M12" s="14">
        <v>1000</v>
      </c>
      <c r="N12" s="14">
        <v>90.84</v>
      </c>
      <c r="O12" s="10">
        <f t="shared" si="0"/>
        <v>90840</v>
      </c>
      <c r="P12" s="11">
        <v>0</v>
      </c>
      <c r="Q12" s="11">
        <v>0</v>
      </c>
      <c r="R12" s="10">
        <f>IF(COUNTIF($J$2:J12,J12)=1,SUMIFS($O:$O,$J:$J,J12)+SUMIFS($P:$P,$J:$J,J12)+SUMIFS($Q:$Q,$J:$J,J12),"")</f>
        <v>90840</v>
      </c>
      <c r="S12" s="10">
        <v>90840</v>
      </c>
      <c r="T12" s="11" t="str">
        <f>IFERROR(INDEX(AD:AD,MATCH(J12,J:J,0)),"")</f>
        <v>Ok</v>
      </c>
      <c r="U12" s="12">
        <v>45884</v>
      </c>
      <c r="V12" s="10">
        <v>4360</v>
      </c>
      <c r="W12" s="10" t="str">
        <f t="shared" si="1"/>
        <v>Short Paid</v>
      </c>
      <c r="X12" t="s">
        <v>220</v>
      </c>
      <c r="Y12" t="s">
        <v>27</v>
      </c>
      <c r="Z12">
        <v>100159</v>
      </c>
      <c r="AA12" t="s">
        <v>232</v>
      </c>
      <c r="AB12" t="s">
        <v>251</v>
      </c>
      <c r="AC12" s="9">
        <f>COUNTIF(J:J,J12)</f>
        <v>1</v>
      </c>
      <c r="AD12" s="9" t="str">
        <f t="shared" si="2"/>
        <v>Ok</v>
      </c>
      <c r="AE12" s="11">
        <f t="shared" si="4"/>
        <v>0</v>
      </c>
    </row>
    <row r="13" spans="1:31" x14ac:dyDescent="0.3">
      <c r="A13">
        <v>199</v>
      </c>
      <c r="B13">
        <v>4399256</v>
      </c>
      <c r="C13" t="s">
        <v>91</v>
      </c>
      <c r="D13">
        <v>1383202</v>
      </c>
      <c r="E13" t="s">
        <v>258</v>
      </c>
      <c r="F13" t="s">
        <v>20</v>
      </c>
      <c r="G13" t="s">
        <v>383</v>
      </c>
      <c r="H13" t="s">
        <v>384</v>
      </c>
      <c r="I13" s="9" t="s">
        <v>788</v>
      </c>
      <c r="J13" s="9">
        <v>51161426639</v>
      </c>
      <c r="K13" s="14" t="s">
        <v>740</v>
      </c>
      <c r="L13" s="13" t="s">
        <v>894</v>
      </c>
      <c r="M13" s="14">
        <v>19</v>
      </c>
      <c r="N13" s="14">
        <v>389.63</v>
      </c>
      <c r="O13" s="10">
        <f t="shared" si="0"/>
        <v>7402.97</v>
      </c>
      <c r="P13" s="11">
        <v>0</v>
      </c>
      <c r="Q13" s="11">
        <v>0</v>
      </c>
      <c r="R13" s="10">
        <f>IF(COUNTIF($J$2:J13,J13)=1,SUMIFS($O:$O,$J:$J,J13)+SUMIFS($P:$P,$J:$J,J13)+SUMIFS($Q:$Q,$J:$J,J13),"")</f>
        <v>7402.97</v>
      </c>
      <c r="S13" s="10">
        <v>7402.97</v>
      </c>
      <c r="T13" s="11" t="str">
        <f>IFERROR(INDEX(AD:AD,MATCH(J13,J:J,0)),"")</f>
        <v>Ok</v>
      </c>
      <c r="U13" s="12">
        <v>45968</v>
      </c>
      <c r="V13" s="10">
        <v>7402.97</v>
      </c>
      <c r="W13" s="10" t="str">
        <f t="shared" si="1"/>
        <v>Not Paid</v>
      </c>
      <c r="X13" t="s">
        <v>220</v>
      </c>
      <c r="Y13" t="s">
        <v>27</v>
      </c>
      <c r="Z13">
        <v>100249</v>
      </c>
      <c r="AA13" t="s">
        <v>228</v>
      </c>
      <c r="AB13" t="s">
        <v>249</v>
      </c>
      <c r="AC13" s="9">
        <f>COUNTIF(J:J,J13)</f>
        <v>1</v>
      </c>
      <c r="AD13" s="9" t="str">
        <f t="shared" si="2"/>
        <v>Ok</v>
      </c>
      <c r="AE13" s="11">
        <f t="shared" si="4"/>
        <v>0</v>
      </c>
    </row>
    <row r="14" spans="1:31" x14ac:dyDescent="0.3">
      <c r="A14">
        <v>193</v>
      </c>
      <c r="B14">
        <v>4403465</v>
      </c>
      <c r="C14" t="s">
        <v>91</v>
      </c>
      <c r="D14">
        <v>1422097</v>
      </c>
      <c r="E14" t="s">
        <v>184</v>
      </c>
      <c r="F14" t="s">
        <v>19</v>
      </c>
      <c r="G14" t="s">
        <v>385</v>
      </c>
      <c r="H14" t="s">
        <v>386</v>
      </c>
      <c r="I14" s="9" t="s">
        <v>703</v>
      </c>
      <c r="J14" s="9">
        <v>55113451177</v>
      </c>
      <c r="K14" s="14" t="s">
        <v>936</v>
      </c>
      <c r="L14" s="13" t="s">
        <v>935</v>
      </c>
      <c r="M14" s="14">
        <v>3</v>
      </c>
      <c r="N14" s="14">
        <v>454.44</v>
      </c>
      <c r="O14" s="10">
        <f t="shared" si="0"/>
        <v>1363.32</v>
      </c>
      <c r="P14" s="11">
        <v>0</v>
      </c>
      <c r="Q14" s="11">
        <v>324.47000000000003</v>
      </c>
      <c r="R14" s="10">
        <f>IF(COUNTIF($J$2:J14,J14)=1,SUMIFS($O:$O,$J:$J,J14)+SUMIFS($P:$P,$J:$J,J14)+SUMIFS($Q:$Q,$J:$J,J14),"")</f>
        <v>1687.79</v>
      </c>
      <c r="S14" s="10">
        <v>1687.79</v>
      </c>
      <c r="T14" s="11" t="str">
        <f>IFERROR(INDEX(AD:AD,MATCH(J14,J:J,0)),"")</f>
        <v>Ok</v>
      </c>
      <c r="U14" s="12">
        <v>45908</v>
      </c>
      <c r="V14" s="10">
        <v>324.47000000000003</v>
      </c>
      <c r="W14" s="10" t="str">
        <f t="shared" si="1"/>
        <v>Short Paid</v>
      </c>
      <c r="X14" t="s">
        <v>207</v>
      </c>
      <c r="Y14" t="s">
        <v>27</v>
      </c>
      <c r="Z14">
        <v>100284</v>
      </c>
      <c r="AA14" t="s">
        <v>616</v>
      </c>
      <c r="AB14" t="s">
        <v>252</v>
      </c>
      <c r="AC14" s="9">
        <f>COUNTIF(J:J,J14)</f>
        <v>1</v>
      </c>
      <c r="AD14" s="9" t="str">
        <f t="shared" si="2"/>
        <v>Ok</v>
      </c>
      <c r="AE14" s="11">
        <f t="shared" si="4"/>
        <v>0</v>
      </c>
    </row>
    <row r="15" spans="1:31" x14ac:dyDescent="0.3">
      <c r="A15">
        <v>191</v>
      </c>
      <c r="B15">
        <v>4403555</v>
      </c>
      <c r="C15" t="s">
        <v>91</v>
      </c>
      <c r="D15">
        <v>1830445</v>
      </c>
      <c r="E15" t="s">
        <v>64</v>
      </c>
      <c r="F15" t="s">
        <v>19</v>
      </c>
      <c r="G15" t="s">
        <v>387</v>
      </c>
      <c r="H15" t="s">
        <v>388</v>
      </c>
      <c r="I15" s="9" t="s">
        <v>799</v>
      </c>
      <c r="J15" s="9">
        <v>51161657123</v>
      </c>
      <c r="K15" s="14" t="s">
        <v>687</v>
      </c>
      <c r="L15" s="13" t="s">
        <v>897</v>
      </c>
      <c r="M15" s="14">
        <v>1000</v>
      </c>
      <c r="N15" s="14">
        <v>0.44500000000000001</v>
      </c>
      <c r="O15" s="10">
        <f t="shared" si="0"/>
        <v>445</v>
      </c>
      <c r="P15" s="11">
        <v>0</v>
      </c>
      <c r="Q15" s="11">
        <v>0</v>
      </c>
      <c r="R15" s="10">
        <f>IF(COUNTIF($J$2:J15,J15)=1,SUMIFS($O:$O,$J:$J,J15)+SUMIFS($P:$P,$J:$J,J15)+SUMIFS($Q:$Q,$J:$J,J15),"")</f>
        <v>445</v>
      </c>
      <c r="S15" s="10">
        <v>445</v>
      </c>
      <c r="T15" s="11" t="str">
        <f>IFERROR(INDEX(AD:AD,MATCH(J15,J:J,0)),"")</f>
        <v>Ok</v>
      </c>
      <c r="U15" s="12">
        <v>45888</v>
      </c>
      <c r="V15" s="10">
        <v>400.5</v>
      </c>
      <c r="W15" s="10" t="str">
        <f t="shared" si="1"/>
        <v>Short Paid</v>
      </c>
      <c r="X15" t="s">
        <v>204</v>
      </c>
      <c r="Y15" t="s">
        <v>27</v>
      </c>
      <c r="Z15">
        <v>100167</v>
      </c>
      <c r="AA15" t="s">
        <v>239</v>
      </c>
      <c r="AB15" t="s">
        <v>252</v>
      </c>
      <c r="AC15" s="9">
        <f>COUNTIF(J:J,J15)</f>
        <v>1</v>
      </c>
      <c r="AD15" s="9" t="str">
        <f t="shared" si="2"/>
        <v>Ok</v>
      </c>
      <c r="AE15" s="11">
        <f t="shared" si="4"/>
        <v>0</v>
      </c>
    </row>
    <row r="16" spans="1:31" x14ac:dyDescent="0.3">
      <c r="A16">
        <v>191</v>
      </c>
      <c r="B16">
        <v>4399285</v>
      </c>
      <c r="C16" t="s">
        <v>91</v>
      </c>
      <c r="D16">
        <v>1180001</v>
      </c>
      <c r="E16" t="s">
        <v>276</v>
      </c>
      <c r="F16" t="s">
        <v>17</v>
      </c>
      <c r="G16" t="s">
        <v>389</v>
      </c>
      <c r="H16" t="s">
        <v>390</v>
      </c>
      <c r="I16" s="9" t="s">
        <v>684</v>
      </c>
      <c r="J16" s="9">
        <v>51161650502</v>
      </c>
      <c r="K16" s="14" t="s">
        <v>813</v>
      </c>
      <c r="L16" s="13" t="s">
        <v>896</v>
      </c>
      <c r="M16" s="14">
        <v>500</v>
      </c>
      <c r="N16" s="14">
        <v>3.17</v>
      </c>
      <c r="O16" s="10">
        <f t="shared" si="0"/>
        <v>1585</v>
      </c>
      <c r="P16" s="11">
        <v>0</v>
      </c>
      <c r="Q16" s="11">
        <v>0</v>
      </c>
      <c r="R16" s="10">
        <f>IF(COUNTIF($J$2:J16,J16)=1,SUMIFS($O:$O,$J:$J,J16)+SUMIFS($P:$P,$J:$J,J16)+SUMIFS($Q:$Q,$J:$J,J16),"")</f>
        <v>1585</v>
      </c>
      <c r="S16" s="10">
        <v>1585</v>
      </c>
      <c r="T16" s="11" t="str">
        <f>IFERROR(INDEX(AD:AD,MATCH(J16,J:J,0)),"")</f>
        <v>Ok</v>
      </c>
      <c r="U16" s="12">
        <v>45897</v>
      </c>
      <c r="V16" s="10">
        <v>1585</v>
      </c>
      <c r="W16" s="10" t="str">
        <f t="shared" si="1"/>
        <v>Not Paid</v>
      </c>
      <c r="X16" t="s">
        <v>207</v>
      </c>
      <c r="Y16" t="s">
        <v>198</v>
      </c>
      <c r="Z16">
        <v>100214</v>
      </c>
      <c r="AA16" t="s">
        <v>640</v>
      </c>
      <c r="AB16" t="s">
        <v>254</v>
      </c>
      <c r="AC16" s="9">
        <f>COUNTIF(J:J,J16)</f>
        <v>1</v>
      </c>
      <c r="AD16" s="9" t="str">
        <f t="shared" si="2"/>
        <v>Ok</v>
      </c>
      <c r="AE16" s="11">
        <f t="shared" ref="AE16:AE18" si="5">R16-S16</f>
        <v>0</v>
      </c>
    </row>
    <row r="17" spans="1:31" x14ac:dyDescent="0.3">
      <c r="A17">
        <v>176</v>
      </c>
      <c r="B17">
        <v>4406654</v>
      </c>
      <c r="C17" t="s">
        <v>91</v>
      </c>
      <c r="D17">
        <v>1443616</v>
      </c>
      <c r="E17" t="s">
        <v>113</v>
      </c>
      <c r="F17" t="s">
        <v>20</v>
      </c>
      <c r="G17" t="s">
        <v>391</v>
      </c>
      <c r="H17" t="s">
        <v>392</v>
      </c>
      <c r="I17" s="9" t="s">
        <v>766</v>
      </c>
      <c r="J17" s="9">
        <v>51162447353</v>
      </c>
      <c r="K17" s="14" t="s">
        <v>657</v>
      </c>
      <c r="L17" s="13" t="s">
        <v>874</v>
      </c>
      <c r="M17" s="14">
        <v>6000</v>
      </c>
      <c r="N17" s="14">
        <v>0.64949999999999997</v>
      </c>
      <c r="O17" s="10">
        <f t="shared" ref="O17:O45" si="6">M17*N17</f>
        <v>3897</v>
      </c>
      <c r="P17" s="11">
        <v>0</v>
      </c>
      <c r="Q17" s="11">
        <v>0</v>
      </c>
      <c r="R17" s="10">
        <f>IF(COUNTIF($J$2:J17,J17)=1,SUMIFS($O:$O,$J:$J,J17)+SUMIFS($P:$P,$J:$J,J17)+SUMIFS($Q:$Q,$J:$J,J17),"")</f>
        <v>3897</v>
      </c>
      <c r="S17" s="10">
        <v>3897</v>
      </c>
      <c r="T17" s="11" t="str">
        <f>IFERROR(INDEX(AD:AD,MATCH(J17,J:J,0)),"")</f>
        <v>Ok</v>
      </c>
      <c r="U17" s="12">
        <v>45965</v>
      </c>
      <c r="V17" s="10">
        <v>3897</v>
      </c>
      <c r="W17" s="10" t="str">
        <f t="shared" ref="W17:W45" si="7">IF(OR(S17="",V17=""),"N/A",IF(S17&lt;&gt;V17,"Short Paid","Not Paid"))</f>
        <v>Not Paid</v>
      </c>
      <c r="X17" t="s">
        <v>197</v>
      </c>
      <c r="Y17" t="s">
        <v>27</v>
      </c>
      <c r="Z17">
        <v>100111</v>
      </c>
      <c r="AA17" t="s">
        <v>608</v>
      </c>
      <c r="AB17" t="s">
        <v>249</v>
      </c>
      <c r="AC17" s="9">
        <f>COUNTIF(J:J,J17)</f>
        <v>1</v>
      </c>
      <c r="AD17" s="9" t="str">
        <f t="shared" ref="AD17:AD45" si="8">IF(AND(R17="",S17=""),"N/A",IF(R17=S17,"Ok","Check"))</f>
        <v>Ok</v>
      </c>
      <c r="AE17" s="11">
        <f t="shared" si="5"/>
        <v>0</v>
      </c>
    </row>
    <row r="18" spans="1:31" x14ac:dyDescent="0.3">
      <c r="A18">
        <v>176</v>
      </c>
      <c r="B18">
        <v>4407374</v>
      </c>
      <c r="C18" t="s">
        <v>91</v>
      </c>
      <c r="D18">
        <v>1531094</v>
      </c>
      <c r="E18" t="s">
        <v>263</v>
      </c>
      <c r="F18" t="s">
        <v>24</v>
      </c>
      <c r="G18" t="s">
        <v>393</v>
      </c>
      <c r="H18" t="s">
        <v>394</v>
      </c>
      <c r="I18" s="9" t="s">
        <v>805</v>
      </c>
      <c r="J18" s="9">
        <v>51162689372</v>
      </c>
      <c r="K18" s="14" t="s">
        <v>699</v>
      </c>
      <c r="L18" s="13" t="s">
        <v>912</v>
      </c>
      <c r="M18" s="14">
        <v>65500</v>
      </c>
      <c r="N18" s="14">
        <v>0.20280999999999999</v>
      </c>
      <c r="O18" s="10">
        <f t="shared" si="6"/>
        <v>13284.054999999998</v>
      </c>
      <c r="P18" s="11">
        <v>0</v>
      </c>
      <c r="Q18" s="11">
        <v>0</v>
      </c>
      <c r="R18" s="10">
        <f>IF(COUNTIF($J$2:J18,J18)=1,SUMIFS($O:$O,$J:$J,J18)+SUMIFS($P:$P,$J:$J,J18)+SUMIFS($Q:$Q,$J:$J,J18),"")</f>
        <v>13284.054999999998</v>
      </c>
      <c r="S18" s="10">
        <v>13284.06</v>
      </c>
      <c r="T18" s="11" t="str">
        <f>IFERROR(INDEX(AD:AD,MATCH(J18,J:J,0)),"")</f>
        <v>Check</v>
      </c>
      <c r="U18" s="12">
        <v>45976</v>
      </c>
      <c r="V18" s="10">
        <v>265.68</v>
      </c>
      <c r="W18" s="10" t="str">
        <f t="shared" si="7"/>
        <v>Short Paid</v>
      </c>
      <c r="X18" t="s">
        <v>223</v>
      </c>
      <c r="Y18" t="s">
        <v>37</v>
      </c>
      <c r="Z18">
        <v>100102</v>
      </c>
      <c r="AA18" t="s">
        <v>642</v>
      </c>
      <c r="AB18" t="s">
        <v>250</v>
      </c>
      <c r="AC18" s="9">
        <f>COUNTIF(J:J,J18)</f>
        <v>1</v>
      </c>
      <c r="AD18" s="9" t="str">
        <f t="shared" si="8"/>
        <v>Check</v>
      </c>
      <c r="AE18" s="11">
        <f t="shared" si="5"/>
        <v>-5.0000000010186341E-3</v>
      </c>
    </row>
    <row r="19" spans="1:31" x14ac:dyDescent="0.3">
      <c r="A19">
        <v>172</v>
      </c>
      <c r="B19">
        <v>4412684</v>
      </c>
      <c r="C19" t="s">
        <v>91</v>
      </c>
      <c r="D19">
        <v>1443616</v>
      </c>
      <c r="E19" t="s">
        <v>113</v>
      </c>
      <c r="F19" t="s">
        <v>20</v>
      </c>
      <c r="G19" t="s">
        <v>395</v>
      </c>
      <c r="H19" t="s">
        <v>396</v>
      </c>
      <c r="I19" s="9" t="s">
        <v>822</v>
      </c>
      <c r="J19" s="9">
        <v>51160296922</v>
      </c>
      <c r="K19" s="14" t="s">
        <v>657</v>
      </c>
      <c r="L19" s="13" t="s">
        <v>871</v>
      </c>
      <c r="M19" s="14">
        <v>4000</v>
      </c>
      <c r="N19" s="14">
        <v>0.78800000000000003</v>
      </c>
      <c r="O19" s="10">
        <f t="shared" si="6"/>
        <v>3152</v>
      </c>
      <c r="P19" s="11">
        <v>0</v>
      </c>
      <c r="Q19" s="11">
        <v>0</v>
      </c>
      <c r="R19" s="10">
        <f>IF(COUNTIF($J$2:J19,J19)=1,SUMIFS($O:$O,$J:$J,J19)+SUMIFS($P:$P,$J:$J,J19)+SUMIFS($Q:$Q,$J:$J,J19),"")</f>
        <v>3152</v>
      </c>
      <c r="S19" s="10">
        <v>3152</v>
      </c>
      <c r="T19" s="11" t="str">
        <f>IFERROR(INDEX(AD:AD,MATCH(J19,J:J,0)),"")</f>
        <v>Ok</v>
      </c>
      <c r="U19" s="12">
        <v>45967</v>
      </c>
      <c r="V19" s="10">
        <v>3152</v>
      </c>
      <c r="W19" s="10" t="str">
        <f t="shared" si="7"/>
        <v>Not Paid</v>
      </c>
      <c r="X19" t="s">
        <v>197</v>
      </c>
      <c r="Y19" t="s">
        <v>27</v>
      </c>
      <c r="Z19">
        <v>100121</v>
      </c>
      <c r="AA19" t="s">
        <v>613</v>
      </c>
      <c r="AB19" t="s">
        <v>249</v>
      </c>
      <c r="AC19" s="9">
        <f>COUNTIF(J:J,J19)</f>
        <v>1</v>
      </c>
      <c r="AD19" s="9" t="str">
        <f t="shared" si="8"/>
        <v>Ok</v>
      </c>
      <c r="AE19" s="11">
        <f t="shared" ref="AE19:AE40" si="9">R19-S19</f>
        <v>0</v>
      </c>
    </row>
    <row r="20" spans="1:31" x14ac:dyDescent="0.3">
      <c r="A20">
        <v>171</v>
      </c>
      <c r="B20">
        <v>4413864</v>
      </c>
      <c r="C20" t="s">
        <v>91</v>
      </c>
      <c r="D20">
        <v>1443616</v>
      </c>
      <c r="E20" t="s">
        <v>113</v>
      </c>
      <c r="F20" t="s">
        <v>19</v>
      </c>
      <c r="G20" t="s">
        <v>397</v>
      </c>
      <c r="H20" t="s">
        <v>398</v>
      </c>
      <c r="I20" s="9" t="s">
        <v>827</v>
      </c>
      <c r="J20" s="9">
        <v>51162969701</v>
      </c>
      <c r="K20" s="14" t="s">
        <v>735</v>
      </c>
      <c r="L20" s="13" t="s">
        <v>914</v>
      </c>
      <c r="M20" s="14">
        <v>200</v>
      </c>
      <c r="N20" s="14">
        <v>51.17</v>
      </c>
      <c r="O20" s="10">
        <f t="shared" si="6"/>
        <v>10234</v>
      </c>
      <c r="P20" s="11">
        <v>0</v>
      </c>
      <c r="Q20" s="11">
        <v>0</v>
      </c>
      <c r="R20" s="10">
        <f>IF(COUNTIF($J$2:J20,J20)=1,SUMIFS($O:$O,$J:$J,J20)+SUMIFS($P:$P,$J:$J,J20)+SUMIFS($Q:$Q,$J:$J,J20),"")</f>
        <v>10234</v>
      </c>
      <c r="S20" s="10">
        <v>10234</v>
      </c>
      <c r="T20" s="11" t="str">
        <f>IFERROR(INDEX(AD:AD,MATCH(J20,J:J,0)),"")</f>
        <v>Ok</v>
      </c>
      <c r="U20" s="12">
        <v>45974</v>
      </c>
      <c r="V20" s="10">
        <v>10234</v>
      </c>
      <c r="W20" s="10" t="str">
        <f t="shared" si="7"/>
        <v>Not Paid</v>
      </c>
      <c r="X20" t="s">
        <v>197</v>
      </c>
      <c r="Y20" t="s">
        <v>27</v>
      </c>
      <c r="Z20">
        <v>100151</v>
      </c>
      <c r="AA20" t="s">
        <v>614</v>
      </c>
      <c r="AB20" t="s">
        <v>252</v>
      </c>
      <c r="AC20" s="9">
        <f>COUNTIF(J:J,J20)</f>
        <v>1</v>
      </c>
      <c r="AD20" s="9" t="str">
        <f t="shared" si="8"/>
        <v>Ok</v>
      </c>
      <c r="AE20" s="11">
        <f t="shared" si="9"/>
        <v>0</v>
      </c>
    </row>
    <row r="21" spans="1:31" x14ac:dyDescent="0.3">
      <c r="A21">
        <v>171</v>
      </c>
      <c r="B21">
        <v>4413964</v>
      </c>
      <c r="C21" t="s">
        <v>91</v>
      </c>
      <c r="D21">
        <v>1443616</v>
      </c>
      <c r="E21" t="s">
        <v>113</v>
      </c>
      <c r="F21" t="s">
        <v>20</v>
      </c>
      <c r="G21" t="s">
        <v>399</v>
      </c>
      <c r="H21" t="s">
        <v>400</v>
      </c>
      <c r="I21" s="9" t="s">
        <v>710</v>
      </c>
      <c r="J21" s="9">
        <v>51162969750</v>
      </c>
      <c r="K21" s="14" t="s">
        <v>657</v>
      </c>
      <c r="L21" s="13" t="s">
        <v>874</v>
      </c>
      <c r="M21" s="14">
        <v>9000</v>
      </c>
      <c r="N21" s="14">
        <v>0.64949999999999997</v>
      </c>
      <c r="O21" s="10">
        <f t="shared" si="6"/>
        <v>5845.5</v>
      </c>
      <c r="P21" s="11">
        <v>0</v>
      </c>
      <c r="Q21" s="11">
        <v>0</v>
      </c>
      <c r="R21" s="10">
        <f>IF(COUNTIF($J$2:J21,J21)=1,SUMIFS($O:$O,$J:$J,J21)+SUMIFS($P:$P,$J:$J,J21)+SUMIFS($Q:$Q,$J:$J,J21),"")</f>
        <v>5845.5</v>
      </c>
      <c r="S21" s="10">
        <v>5845.5</v>
      </c>
      <c r="T21" s="11" t="str">
        <f>IFERROR(INDEX(AD:AD,MATCH(J21,J:J,0)),"")</f>
        <v>Ok</v>
      </c>
      <c r="U21" s="12">
        <v>45975</v>
      </c>
      <c r="V21" s="10">
        <v>5845.5</v>
      </c>
      <c r="W21" s="10" t="str">
        <f t="shared" si="7"/>
        <v>Not Paid</v>
      </c>
      <c r="X21" t="s">
        <v>197</v>
      </c>
      <c r="Y21" t="s">
        <v>27</v>
      </c>
      <c r="Z21">
        <v>100161</v>
      </c>
      <c r="AA21" t="s">
        <v>620</v>
      </c>
      <c r="AB21" t="s">
        <v>249</v>
      </c>
      <c r="AC21" s="9">
        <f>COUNTIF(J:J,J21)</f>
        <v>1</v>
      </c>
      <c r="AD21" s="9" t="str">
        <f t="shared" si="8"/>
        <v>Ok</v>
      </c>
      <c r="AE21" s="11">
        <f t="shared" si="9"/>
        <v>0</v>
      </c>
    </row>
    <row r="22" spans="1:31" x14ac:dyDescent="0.3">
      <c r="A22">
        <v>171</v>
      </c>
      <c r="B22">
        <v>4413944</v>
      </c>
      <c r="C22" t="s">
        <v>91</v>
      </c>
      <c r="D22">
        <v>1443616</v>
      </c>
      <c r="E22" t="s">
        <v>113</v>
      </c>
      <c r="F22" t="s">
        <v>20</v>
      </c>
      <c r="G22" t="s">
        <v>401</v>
      </c>
      <c r="H22" t="s">
        <v>402</v>
      </c>
      <c r="I22" s="9" t="s">
        <v>730</v>
      </c>
      <c r="J22" s="9">
        <v>50117924979</v>
      </c>
      <c r="K22" s="14" t="s">
        <v>657</v>
      </c>
      <c r="L22" s="13" t="s">
        <v>731</v>
      </c>
      <c r="M22" s="14">
        <v>70000</v>
      </c>
      <c r="N22" s="14">
        <v>9.6699999999999998E-3</v>
      </c>
      <c r="O22" s="10">
        <f t="shared" si="6"/>
        <v>676.9</v>
      </c>
      <c r="P22" s="11">
        <v>0</v>
      </c>
      <c r="Q22" s="11">
        <v>0</v>
      </c>
      <c r="R22" s="10">
        <f>IF(COUNTIF($J$2:J22,J22)=1,SUMIFS($O:$O,$J:$J,J22)+SUMIFS($P:$P,$J:$J,J22)+SUMIFS($Q:$Q,$J:$J,J22),"")</f>
        <v>676.9</v>
      </c>
      <c r="S22" s="10">
        <v>676.9</v>
      </c>
      <c r="T22" s="11" t="str">
        <f>IFERROR(INDEX(AD:AD,MATCH(J22,J:J,0)),"")</f>
        <v>Ok</v>
      </c>
      <c r="U22" s="12">
        <v>45978</v>
      </c>
      <c r="V22" s="10">
        <v>676.9</v>
      </c>
      <c r="W22" s="10" t="str">
        <f t="shared" si="7"/>
        <v>Not Paid</v>
      </c>
      <c r="X22" t="s">
        <v>197</v>
      </c>
      <c r="Y22" t="s">
        <v>27</v>
      </c>
      <c r="Z22">
        <v>100191</v>
      </c>
      <c r="AA22" t="s">
        <v>237</v>
      </c>
      <c r="AB22" t="s">
        <v>249</v>
      </c>
      <c r="AC22" s="9">
        <f>COUNTIF(J:J,J22)</f>
        <v>1</v>
      </c>
      <c r="AD22" s="9" t="str">
        <f t="shared" si="8"/>
        <v>Ok</v>
      </c>
      <c r="AE22" s="11">
        <f t="shared" si="9"/>
        <v>0</v>
      </c>
    </row>
    <row r="23" spans="1:31" x14ac:dyDescent="0.3">
      <c r="A23">
        <v>171</v>
      </c>
      <c r="B23">
        <v>4413924</v>
      </c>
      <c r="C23" t="s">
        <v>91</v>
      </c>
      <c r="D23">
        <v>1443616</v>
      </c>
      <c r="E23" t="s">
        <v>113</v>
      </c>
      <c r="F23" t="s">
        <v>20</v>
      </c>
      <c r="G23" t="s">
        <v>403</v>
      </c>
      <c r="H23" t="s">
        <v>404</v>
      </c>
      <c r="I23" s="9" t="s">
        <v>685</v>
      </c>
      <c r="J23" s="9">
        <v>50117924978</v>
      </c>
      <c r="K23" s="14" t="s">
        <v>657</v>
      </c>
      <c r="L23" s="13" t="s">
        <v>729</v>
      </c>
      <c r="M23" s="14">
        <v>12000</v>
      </c>
      <c r="N23" s="14">
        <v>4.5809999999999997E-2</v>
      </c>
      <c r="O23" s="10">
        <f t="shared" si="6"/>
        <v>549.71999999999991</v>
      </c>
      <c r="P23" s="11">
        <v>0</v>
      </c>
      <c r="Q23" s="11">
        <v>0</v>
      </c>
      <c r="R23" s="10">
        <f>IF(COUNTIF($J$2:J23,J23)=1,SUMIFS($O:$O,$J:$J,J23)+SUMIFS($P:$P,$J:$J,J23)+SUMIFS($Q:$Q,$J:$J,J23),"")</f>
        <v>549.71999999999991</v>
      </c>
      <c r="S23" s="10">
        <v>549.72</v>
      </c>
      <c r="T23" s="11" t="str">
        <f>IFERROR(INDEX(AD:AD,MATCH(J23,J:J,0)),"")</f>
        <v>Ok</v>
      </c>
      <c r="U23" s="12">
        <v>45980</v>
      </c>
      <c r="V23" s="10">
        <v>549.72</v>
      </c>
      <c r="W23" s="10" t="str">
        <f t="shared" si="7"/>
        <v>Not Paid</v>
      </c>
      <c r="X23" t="s">
        <v>197</v>
      </c>
      <c r="Y23" t="s">
        <v>27</v>
      </c>
      <c r="Z23">
        <v>100201</v>
      </c>
      <c r="AA23" t="s">
        <v>618</v>
      </c>
      <c r="AB23" t="s">
        <v>249</v>
      </c>
      <c r="AC23" s="9">
        <f>COUNTIF(J:J,J23)</f>
        <v>1</v>
      </c>
      <c r="AD23" s="9" t="str">
        <f t="shared" si="8"/>
        <v>Ok</v>
      </c>
      <c r="AE23" s="11">
        <f t="shared" si="9"/>
        <v>0</v>
      </c>
    </row>
    <row r="24" spans="1:31" x14ac:dyDescent="0.3">
      <c r="A24">
        <v>171</v>
      </c>
      <c r="B24">
        <v>4412414</v>
      </c>
      <c r="C24" t="s">
        <v>91</v>
      </c>
      <c r="D24">
        <v>1443616</v>
      </c>
      <c r="E24" t="s">
        <v>113</v>
      </c>
      <c r="F24" t="s">
        <v>20</v>
      </c>
      <c r="G24" t="s">
        <v>405</v>
      </c>
      <c r="H24" t="s">
        <v>406</v>
      </c>
      <c r="I24" s="9" t="s">
        <v>806</v>
      </c>
      <c r="J24" s="9">
        <v>51162188217</v>
      </c>
      <c r="K24" s="14" t="s">
        <v>657</v>
      </c>
      <c r="L24" s="13" t="s">
        <v>729</v>
      </c>
      <c r="M24" s="14">
        <v>6000</v>
      </c>
      <c r="N24" s="14">
        <v>4.5809999999999997E-2</v>
      </c>
      <c r="O24" s="10">
        <f t="shared" si="6"/>
        <v>274.85999999999996</v>
      </c>
      <c r="P24" s="11">
        <v>0</v>
      </c>
      <c r="Q24" s="11">
        <v>0</v>
      </c>
      <c r="R24" s="10">
        <f>IF(COUNTIF($J$2:J24,J24)=1,SUMIFS($O:$O,$J:$J,J24)+SUMIFS($P:$P,$J:$J,J24)+SUMIFS($Q:$Q,$J:$J,J24),"")</f>
        <v>274.85999999999996</v>
      </c>
      <c r="S24" s="10">
        <v>274.86</v>
      </c>
      <c r="T24" s="11" t="str">
        <f>IFERROR(INDEX(AD:AD,MATCH(J24,J:J,0)),"")</f>
        <v>Ok</v>
      </c>
      <c r="U24" s="12">
        <v>45980</v>
      </c>
      <c r="V24" s="10">
        <v>274.86</v>
      </c>
      <c r="W24" s="10" t="str">
        <f t="shared" si="7"/>
        <v>Not Paid</v>
      </c>
      <c r="X24" t="s">
        <v>197</v>
      </c>
      <c r="Y24" t="s">
        <v>27</v>
      </c>
      <c r="Z24">
        <v>100231</v>
      </c>
      <c r="AA24" t="s">
        <v>619</v>
      </c>
      <c r="AB24" t="s">
        <v>249</v>
      </c>
      <c r="AC24" s="9">
        <f>COUNTIF(J:J,J24)</f>
        <v>1</v>
      </c>
      <c r="AD24" s="9" t="str">
        <f t="shared" si="8"/>
        <v>Ok</v>
      </c>
      <c r="AE24" s="11">
        <f t="shared" si="9"/>
        <v>0</v>
      </c>
    </row>
    <row r="25" spans="1:31" x14ac:dyDescent="0.3">
      <c r="A25">
        <v>171</v>
      </c>
      <c r="B25">
        <v>4413373</v>
      </c>
      <c r="C25" t="s">
        <v>91</v>
      </c>
      <c r="D25">
        <v>1443616</v>
      </c>
      <c r="E25" t="s">
        <v>113</v>
      </c>
      <c r="F25" t="s">
        <v>20</v>
      </c>
      <c r="G25" t="s">
        <v>407</v>
      </c>
      <c r="H25" t="s">
        <v>408</v>
      </c>
      <c r="I25" s="9" t="s">
        <v>678</v>
      </c>
      <c r="J25" s="9">
        <v>51161569796</v>
      </c>
      <c r="K25" s="14" t="s">
        <v>657</v>
      </c>
      <c r="L25" s="13" t="s">
        <v>883</v>
      </c>
      <c r="M25" s="14">
        <v>12000</v>
      </c>
      <c r="N25" s="14">
        <v>1.4E-2</v>
      </c>
      <c r="O25" s="10">
        <f t="shared" si="6"/>
        <v>168</v>
      </c>
      <c r="P25" s="11">
        <v>0</v>
      </c>
      <c r="Q25" s="11">
        <v>0</v>
      </c>
      <c r="R25" s="10">
        <f>IF(COUNTIF($J$2:J25,J25)=1,SUMIFS($O:$O,$J:$J,J25)+SUMIFS($P:$P,$J:$J,J25)+SUMIFS($Q:$Q,$J:$J,J25),"")</f>
        <v>168</v>
      </c>
      <c r="S25" s="10">
        <v>168</v>
      </c>
      <c r="T25" s="11" t="str">
        <f>IFERROR(INDEX(AD:AD,MATCH(J25,J:J,0)),"")</f>
        <v>Ok</v>
      </c>
      <c r="U25" s="12">
        <v>45983</v>
      </c>
      <c r="V25" s="10">
        <v>168</v>
      </c>
      <c r="W25" s="10" t="str">
        <f t="shared" si="7"/>
        <v>Not Paid</v>
      </c>
      <c r="X25" t="s">
        <v>197</v>
      </c>
      <c r="Y25" t="s">
        <v>27</v>
      </c>
      <c r="Z25">
        <v>100241</v>
      </c>
      <c r="AA25" t="s">
        <v>617</v>
      </c>
      <c r="AB25" t="s">
        <v>249</v>
      </c>
      <c r="AC25" s="9">
        <f>COUNTIF(J:J,J25)</f>
        <v>1</v>
      </c>
      <c r="AD25" s="9" t="str">
        <f t="shared" si="8"/>
        <v>Ok</v>
      </c>
      <c r="AE25" s="11">
        <f t="shared" si="9"/>
        <v>0</v>
      </c>
    </row>
    <row r="26" spans="1:31" x14ac:dyDescent="0.3">
      <c r="A26">
        <v>171</v>
      </c>
      <c r="B26">
        <v>4413383</v>
      </c>
      <c r="C26" t="s">
        <v>91</v>
      </c>
      <c r="D26">
        <v>1443616</v>
      </c>
      <c r="E26" t="s">
        <v>113</v>
      </c>
      <c r="F26" t="s">
        <v>20</v>
      </c>
      <c r="G26" t="s">
        <v>409</v>
      </c>
      <c r="H26" t="s">
        <v>410</v>
      </c>
      <c r="I26" s="9" t="s">
        <v>709</v>
      </c>
      <c r="J26" s="9">
        <v>51161569815</v>
      </c>
      <c r="K26" s="14" t="s">
        <v>657</v>
      </c>
      <c r="L26" s="13" t="s">
        <v>883</v>
      </c>
      <c r="M26" s="14">
        <v>3000</v>
      </c>
      <c r="N26" s="14">
        <v>1.4E-2</v>
      </c>
      <c r="O26" s="10">
        <f t="shared" si="6"/>
        <v>42</v>
      </c>
      <c r="P26" s="11">
        <v>0</v>
      </c>
      <c r="Q26" s="11">
        <v>0</v>
      </c>
      <c r="R26" s="10">
        <f>IF(COUNTIF($J$2:J26,J26)=1,SUMIFS($O:$O,$J:$J,J26)+SUMIFS($P:$P,$J:$J,J26)+SUMIFS($Q:$Q,$J:$J,J26),"")</f>
        <v>42</v>
      </c>
      <c r="S26" s="10">
        <v>42</v>
      </c>
      <c r="T26" s="11" t="str">
        <f>IFERROR(INDEX(AD:AD,MATCH(J26,J:J,0)),"")</f>
        <v>Ok</v>
      </c>
      <c r="U26" s="12">
        <v>45987</v>
      </c>
      <c r="V26" s="10">
        <v>42</v>
      </c>
      <c r="W26" s="10" t="str">
        <f t="shared" si="7"/>
        <v>Not Paid</v>
      </c>
      <c r="X26" t="s">
        <v>197</v>
      </c>
      <c r="Y26" t="s">
        <v>27</v>
      </c>
      <c r="Z26">
        <v>100271</v>
      </c>
      <c r="AA26" t="s">
        <v>621</v>
      </c>
      <c r="AB26" t="s">
        <v>249</v>
      </c>
      <c r="AC26" s="9">
        <f>COUNTIF(J:J,J26)</f>
        <v>1</v>
      </c>
      <c r="AD26" s="9" t="str">
        <f t="shared" si="8"/>
        <v>Ok</v>
      </c>
      <c r="AE26" s="11">
        <f t="shared" si="9"/>
        <v>0</v>
      </c>
    </row>
    <row r="27" spans="1:31" x14ac:dyDescent="0.3">
      <c r="A27">
        <v>165</v>
      </c>
      <c r="B27">
        <v>4414663</v>
      </c>
      <c r="C27" t="s">
        <v>91</v>
      </c>
      <c r="D27">
        <v>1443616</v>
      </c>
      <c r="E27" t="s">
        <v>113</v>
      </c>
      <c r="F27" t="s">
        <v>20</v>
      </c>
      <c r="G27" t="s">
        <v>411</v>
      </c>
      <c r="H27" t="s">
        <v>412</v>
      </c>
      <c r="I27" s="9" t="s">
        <v>776</v>
      </c>
      <c r="J27" s="9">
        <v>55113474632</v>
      </c>
      <c r="K27" s="14" t="s">
        <v>657</v>
      </c>
      <c r="L27" s="13" t="s">
        <v>874</v>
      </c>
      <c r="M27" s="14">
        <v>18000</v>
      </c>
      <c r="N27" s="14">
        <v>0.64949999999999997</v>
      </c>
      <c r="O27" s="10">
        <f t="shared" si="6"/>
        <v>11691</v>
      </c>
      <c r="P27" s="11">
        <v>0</v>
      </c>
      <c r="Q27" s="11">
        <v>0</v>
      </c>
      <c r="R27" s="10">
        <f>IF(COUNTIF($J$2:J27,J27)=1,SUMIFS($O:$O,$J:$J,J27)+SUMIFS($P:$P,$J:$J,J27)+SUMIFS($Q:$Q,$J:$J,J27),"")</f>
        <v>11691</v>
      </c>
      <c r="S27" s="10">
        <v>11691</v>
      </c>
      <c r="T27" s="11" t="str">
        <f>IFERROR(INDEX(AD:AD,MATCH(J27,J:J,0)),"")</f>
        <v>Ok</v>
      </c>
      <c r="U27" s="12">
        <v>45993</v>
      </c>
      <c r="V27" s="10">
        <v>11691</v>
      </c>
      <c r="W27" s="10" t="str">
        <f t="shared" si="7"/>
        <v>Not Paid</v>
      </c>
      <c r="X27" t="s">
        <v>197</v>
      </c>
      <c r="Y27" t="s">
        <v>27</v>
      </c>
      <c r="Z27">
        <v>100281</v>
      </c>
      <c r="AA27" t="s">
        <v>622</v>
      </c>
      <c r="AB27" t="s">
        <v>249</v>
      </c>
      <c r="AC27" s="9">
        <f>COUNTIF(J:J,J27)</f>
        <v>1</v>
      </c>
      <c r="AD27" s="9" t="str">
        <f t="shared" si="8"/>
        <v>Ok</v>
      </c>
      <c r="AE27" s="11">
        <f t="shared" si="9"/>
        <v>0</v>
      </c>
    </row>
    <row r="28" spans="1:31" x14ac:dyDescent="0.3">
      <c r="A28">
        <v>165</v>
      </c>
      <c r="B28">
        <v>4415103</v>
      </c>
      <c r="C28" t="s">
        <v>91</v>
      </c>
      <c r="D28">
        <v>1443616</v>
      </c>
      <c r="E28" t="s">
        <v>113</v>
      </c>
      <c r="F28" t="s">
        <v>19</v>
      </c>
      <c r="G28" t="s">
        <v>413</v>
      </c>
      <c r="H28" t="s">
        <v>414</v>
      </c>
      <c r="I28" s="9" t="s">
        <v>741</v>
      </c>
      <c r="J28" s="9">
        <v>55113474611</v>
      </c>
      <c r="K28" s="14" t="s">
        <v>735</v>
      </c>
      <c r="L28" s="13" t="s">
        <v>914</v>
      </c>
      <c r="M28" s="14">
        <v>271</v>
      </c>
      <c r="N28" s="14">
        <v>51.17</v>
      </c>
      <c r="O28" s="10">
        <f t="shared" si="6"/>
        <v>13867.07</v>
      </c>
      <c r="P28" s="11">
        <v>0</v>
      </c>
      <c r="Q28" s="11">
        <v>0</v>
      </c>
      <c r="R28" s="10">
        <f>IF(COUNTIF($J$2:J28,J28)=1,SUMIFS($O:$O,$J:$J,J28)+SUMIFS($P:$P,$J:$J,J28)+SUMIFS($Q:$Q,$J:$J,J28),"")</f>
        <v>13867.07</v>
      </c>
      <c r="S28" s="10">
        <v>13867.07</v>
      </c>
      <c r="T28" s="11" t="str">
        <f>IFERROR(INDEX(AD:AD,MATCH(J28,J:J,0)),"")</f>
        <v>Ok</v>
      </c>
      <c r="U28" s="12">
        <v>46000</v>
      </c>
      <c r="V28" s="10">
        <v>13867.07</v>
      </c>
      <c r="W28" s="10" t="str">
        <f t="shared" si="7"/>
        <v>Not Paid</v>
      </c>
      <c r="X28" t="s">
        <v>197</v>
      </c>
      <c r="Y28" t="s">
        <v>27</v>
      </c>
      <c r="Z28">
        <v>100111</v>
      </c>
      <c r="AA28" t="s">
        <v>608</v>
      </c>
      <c r="AB28" t="s">
        <v>252</v>
      </c>
      <c r="AC28" s="9">
        <f>COUNTIF(J:J,J28)</f>
        <v>1</v>
      </c>
      <c r="AD28" s="9" t="str">
        <f t="shared" si="8"/>
        <v>Ok</v>
      </c>
      <c r="AE28" s="11">
        <f t="shared" si="9"/>
        <v>0</v>
      </c>
    </row>
    <row r="29" spans="1:31" x14ac:dyDescent="0.3">
      <c r="A29">
        <v>165</v>
      </c>
      <c r="B29">
        <v>4414653</v>
      </c>
      <c r="C29" t="s">
        <v>91</v>
      </c>
      <c r="D29">
        <v>1443616</v>
      </c>
      <c r="E29" t="s">
        <v>113</v>
      </c>
      <c r="F29" t="s">
        <v>20</v>
      </c>
      <c r="G29" t="s">
        <v>415</v>
      </c>
      <c r="H29" t="s">
        <v>416</v>
      </c>
      <c r="I29" s="9" t="s">
        <v>744</v>
      </c>
      <c r="J29" s="9">
        <v>51159937570</v>
      </c>
      <c r="K29" s="14" t="s">
        <v>657</v>
      </c>
      <c r="L29" s="13" t="s">
        <v>874</v>
      </c>
      <c r="M29" s="14">
        <v>21000</v>
      </c>
      <c r="N29" s="14">
        <v>0.64949999999999997</v>
      </c>
      <c r="O29" s="10">
        <f t="shared" si="6"/>
        <v>13639.5</v>
      </c>
      <c r="P29" s="11">
        <v>0</v>
      </c>
      <c r="Q29" s="11">
        <v>0</v>
      </c>
      <c r="R29" s="10">
        <f>IF(COUNTIF($J$2:J29,J29)=1,SUMIFS($O:$O,$J:$J,J29)+SUMIFS($P:$P,$J:$J,J29)+SUMIFS($Q:$Q,$J:$J,J29),"")</f>
        <v>13639.5</v>
      </c>
      <c r="S29" s="10">
        <v>13639.5</v>
      </c>
      <c r="T29" s="11" t="str">
        <f>IFERROR(INDEX(AD:AD,MATCH(J29,J:J,0)),"")</f>
        <v>Ok</v>
      </c>
      <c r="U29" s="12">
        <v>46003</v>
      </c>
      <c r="V29" s="10">
        <v>13639.5</v>
      </c>
      <c r="W29" s="10" t="str">
        <f t="shared" si="7"/>
        <v>Not Paid</v>
      </c>
      <c r="X29" t="s">
        <v>197</v>
      </c>
      <c r="Y29" t="s">
        <v>27</v>
      </c>
      <c r="Z29">
        <v>100121</v>
      </c>
      <c r="AA29" t="s">
        <v>613</v>
      </c>
      <c r="AB29" t="s">
        <v>249</v>
      </c>
      <c r="AC29" s="9">
        <f>COUNTIF(J:J,J29)</f>
        <v>1</v>
      </c>
      <c r="AD29" s="9" t="str">
        <f t="shared" si="8"/>
        <v>Ok</v>
      </c>
      <c r="AE29" s="11">
        <f t="shared" si="9"/>
        <v>0</v>
      </c>
    </row>
    <row r="30" spans="1:31" x14ac:dyDescent="0.3">
      <c r="A30">
        <v>163</v>
      </c>
      <c r="B30">
        <v>4413343</v>
      </c>
      <c r="C30" t="s">
        <v>91</v>
      </c>
      <c r="D30">
        <v>1142492</v>
      </c>
      <c r="E30" t="s">
        <v>260</v>
      </c>
      <c r="F30" t="s">
        <v>25</v>
      </c>
      <c r="G30" t="s">
        <v>417</v>
      </c>
      <c r="H30" t="s">
        <v>418</v>
      </c>
      <c r="I30" s="9" t="s">
        <v>840</v>
      </c>
      <c r="J30" s="9">
        <v>51163219769</v>
      </c>
      <c r="K30" s="14" t="s">
        <v>835</v>
      </c>
      <c r="L30" s="13" t="s">
        <v>916</v>
      </c>
      <c r="M30" s="14">
        <v>15</v>
      </c>
      <c r="N30" s="14">
        <v>3755</v>
      </c>
      <c r="O30" s="10">
        <f t="shared" si="6"/>
        <v>56325</v>
      </c>
      <c r="P30" s="11">
        <v>0</v>
      </c>
      <c r="Q30" s="11">
        <v>0</v>
      </c>
      <c r="R30" s="10">
        <f>IF(COUNTIF($J$2:J30,J30)=1,SUMIFS($O:$O,$J:$J,J30)+SUMIFS($P:$P,$J:$J,J30)+SUMIFS($Q:$Q,$J:$J,J30),"")</f>
        <v>56325</v>
      </c>
      <c r="S30" s="10">
        <v>56325</v>
      </c>
      <c r="T30" s="11" t="str">
        <f>IFERROR(INDEX(AD:AD,MATCH(J30,J:J,0)),"")</f>
        <v>Ok</v>
      </c>
      <c r="U30" s="12">
        <v>45953</v>
      </c>
      <c r="V30" s="10">
        <v>56325</v>
      </c>
      <c r="W30" s="10" t="str">
        <f t="shared" si="7"/>
        <v>Not Paid</v>
      </c>
      <c r="X30" t="s">
        <v>217</v>
      </c>
      <c r="Y30" t="s">
        <v>27</v>
      </c>
      <c r="Z30">
        <v>100248</v>
      </c>
      <c r="AA30" t="s">
        <v>643</v>
      </c>
      <c r="AB30" t="s">
        <v>253</v>
      </c>
      <c r="AC30" s="9">
        <f>COUNTIF(J:J,J30)</f>
        <v>1</v>
      </c>
      <c r="AD30" s="9" t="str">
        <f t="shared" si="8"/>
        <v>Ok</v>
      </c>
      <c r="AE30" s="11">
        <f t="shared" si="9"/>
        <v>0</v>
      </c>
    </row>
    <row r="31" spans="1:31" x14ac:dyDescent="0.3">
      <c r="A31">
        <v>158</v>
      </c>
      <c r="B31">
        <v>4413783</v>
      </c>
      <c r="C31" t="s">
        <v>91</v>
      </c>
      <c r="D31">
        <v>1470631</v>
      </c>
      <c r="E31" t="s">
        <v>100</v>
      </c>
      <c r="F31" t="s">
        <v>20</v>
      </c>
      <c r="G31" t="s">
        <v>419</v>
      </c>
      <c r="H31" t="s">
        <v>420</v>
      </c>
      <c r="I31" s="9" t="s">
        <v>732</v>
      </c>
      <c r="J31" s="9">
        <v>51162561407</v>
      </c>
      <c r="K31" s="14" t="s">
        <v>683</v>
      </c>
      <c r="L31" s="13" t="s">
        <v>910</v>
      </c>
      <c r="M31" s="14">
        <v>61</v>
      </c>
      <c r="N31" s="14">
        <v>2.09</v>
      </c>
      <c r="O31" s="10">
        <f t="shared" si="6"/>
        <v>127.49</v>
      </c>
      <c r="P31" s="11">
        <v>0</v>
      </c>
      <c r="Q31" s="11">
        <v>54.82</v>
      </c>
      <c r="R31" s="10">
        <f>IF(COUNTIF($J$2:J31,J31)=1,SUMIFS($O:$O,$J:$J,J31)+SUMIFS($P:$P,$J:$J,J31)+SUMIFS($Q:$Q,$J:$J,J31),"")</f>
        <v>182.31</v>
      </c>
      <c r="S31" s="10">
        <v>182.31</v>
      </c>
      <c r="T31" s="11" t="str">
        <f>IFERROR(INDEX(AD:AD,MATCH(J31,J:J,0)),"")</f>
        <v>Ok</v>
      </c>
      <c r="U31" s="12">
        <v>45743</v>
      </c>
      <c r="V31" s="10">
        <v>182.31</v>
      </c>
      <c r="W31" s="10" t="str">
        <f t="shared" si="7"/>
        <v>Not Paid</v>
      </c>
      <c r="X31" t="s">
        <v>204</v>
      </c>
      <c r="Y31" t="s">
        <v>27</v>
      </c>
      <c r="Z31">
        <v>100287</v>
      </c>
      <c r="AA31" t="s">
        <v>242</v>
      </c>
      <c r="AB31" t="s">
        <v>249</v>
      </c>
      <c r="AC31" s="9">
        <f>COUNTIF(J:J,J31)</f>
        <v>1</v>
      </c>
      <c r="AD31" s="9" t="str">
        <f t="shared" si="8"/>
        <v>Ok</v>
      </c>
      <c r="AE31" s="11">
        <f t="shared" si="9"/>
        <v>0</v>
      </c>
    </row>
    <row r="32" spans="1:31" x14ac:dyDescent="0.3">
      <c r="A32">
        <v>157</v>
      </c>
      <c r="B32">
        <v>4414333</v>
      </c>
      <c r="C32" t="s">
        <v>91</v>
      </c>
      <c r="D32">
        <v>1443616</v>
      </c>
      <c r="E32" t="s">
        <v>113</v>
      </c>
      <c r="F32" t="s">
        <v>20</v>
      </c>
      <c r="G32" t="s">
        <v>421</v>
      </c>
      <c r="H32" t="s">
        <v>422</v>
      </c>
      <c r="I32" s="9" t="s">
        <v>793</v>
      </c>
      <c r="J32" s="9">
        <v>51160940744</v>
      </c>
      <c r="K32" s="14" t="s">
        <v>657</v>
      </c>
      <c r="L32" s="13" t="s">
        <v>883</v>
      </c>
      <c r="M32" s="14">
        <v>15000</v>
      </c>
      <c r="N32" s="14">
        <v>1.4E-2</v>
      </c>
      <c r="O32" s="10">
        <f t="shared" si="6"/>
        <v>210</v>
      </c>
      <c r="P32" s="11">
        <v>0</v>
      </c>
      <c r="Q32" s="11">
        <v>0</v>
      </c>
      <c r="R32" s="10">
        <f>IF(COUNTIF($J$2:J32,J32)=1,SUMIFS($O:$O,$J:$J,J32)+SUMIFS($P:$P,$J:$J,J32)+SUMIFS($Q:$Q,$J:$J,J32),"")</f>
        <v>210</v>
      </c>
      <c r="S32" s="10">
        <v>210</v>
      </c>
      <c r="T32" s="11" t="str">
        <f>IFERROR(INDEX(AD:AD,MATCH(J32,J:J,0)),"")</f>
        <v>Ok</v>
      </c>
      <c r="U32" s="12">
        <v>46010</v>
      </c>
      <c r="V32" s="10">
        <v>210</v>
      </c>
      <c r="W32" s="10" t="str">
        <f t="shared" si="7"/>
        <v>Not Paid</v>
      </c>
      <c r="X32" t="s">
        <v>197</v>
      </c>
      <c r="Y32" t="s">
        <v>27</v>
      </c>
      <c r="Z32">
        <v>100151</v>
      </c>
      <c r="AA32" t="s">
        <v>614</v>
      </c>
      <c r="AB32" t="s">
        <v>249</v>
      </c>
      <c r="AC32" s="9">
        <f>COUNTIF(J:J,J32)</f>
        <v>1</v>
      </c>
      <c r="AD32" s="9" t="str">
        <f t="shared" si="8"/>
        <v>Ok</v>
      </c>
      <c r="AE32" s="11">
        <f t="shared" si="9"/>
        <v>0</v>
      </c>
    </row>
    <row r="33" spans="1:31" x14ac:dyDescent="0.3">
      <c r="A33">
        <v>157</v>
      </c>
      <c r="B33">
        <v>4414323</v>
      </c>
      <c r="C33" t="s">
        <v>91</v>
      </c>
      <c r="D33">
        <v>1443616</v>
      </c>
      <c r="E33" t="s">
        <v>113</v>
      </c>
      <c r="F33" t="s">
        <v>20</v>
      </c>
      <c r="G33" t="s">
        <v>423</v>
      </c>
      <c r="H33" t="s">
        <v>424</v>
      </c>
      <c r="I33" s="9" t="s">
        <v>701</v>
      </c>
      <c r="J33" s="9">
        <v>51159903153</v>
      </c>
      <c r="K33" s="14" t="s">
        <v>657</v>
      </c>
      <c r="L33" s="13" t="s">
        <v>871</v>
      </c>
      <c r="M33" s="14">
        <v>4000</v>
      </c>
      <c r="N33" s="14">
        <v>0.78800000000000003</v>
      </c>
      <c r="O33" s="10">
        <f t="shared" si="6"/>
        <v>3152</v>
      </c>
      <c r="P33" s="11">
        <v>0</v>
      </c>
      <c r="Q33" s="11">
        <v>0</v>
      </c>
      <c r="R33" s="10">
        <f>IF(COUNTIF($J$2:J33,J33)=1,SUMIFS($O:$O,$J:$J,J33)+SUMIFS($P:$P,$J:$J,J33)+SUMIFS($Q:$Q,$J:$J,J33),"")</f>
        <v>3152</v>
      </c>
      <c r="S33" s="10">
        <v>3152</v>
      </c>
      <c r="T33" s="11" t="str">
        <f>IFERROR(INDEX(AD:AD,MATCH(J33,J:J,0)),"")</f>
        <v>Ok</v>
      </c>
      <c r="U33" s="12">
        <v>46011</v>
      </c>
      <c r="V33" s="10">
        <v>3152</v>
      </c>
      <c r="W33" s="10" t="str">
        <f t="shared" si="7"/>
        <v>Not Paid</v>
      </c>
      <c r="X33" t="s">
        <v>197</v>
      </c>
      <c r="Y33" t="s">
        <v>27</v>
      </c>
      <c r="Z33">
        <v>100161</v>
      </c>
      <c r="AA33" t="s">
        <v>620</v>
      </c>
      <c r="AB33" t="s">
        <v>249</v>
      </c>
      <c r="AC33" s="9">
        <f>COUNTIF(J:J,J33)</f>
        <v>1</v>
      </c>
      <c r="AD33" s="9" t="str">
        <f t="shared" si="8"/>
        <v>Ok</v>
      </c>
      <c r="AE33" s="11">
        <f t="shared" si="9"/>
        <v>0</v>
      </c>
    </row>
    <row r="34" spans="1:31" x14ac:dyDescent="0.3">
      <c r="A34">
        <v>157</v>
      </c>
      <c r="B34">
        <v>4414923</v>
      </c>
      <c r="C34" t="s">
        <v>91</v>
      </c>
      <c r="D34">
        <v>1443616</v>
      </c>
      <c r="E34" t="s">
        <v>113</v>
      </c>
      <c r="F34" t="s">
        <v>20</v>
      </c>
      <c r="G34" t="s">
        <v>425</v>
      </c>
      <c r="H34" t="s">
        <v>426</v>
      </c>
      <c r="I34" s="9" t="s">
        <v>807</v>
      </c>
      <c r="J34" s="9">
        <v>51162808912</v>
      </c>
      <c r="K34" s="14" t="s">
        <v>657</v>
      </c>
      <c r="L34" s="13" t="s">
        <v>729</v>
      </c>
      <c r="M34" s="14">
        <v>18000</v>
      </c>
      <c r="N34" s="14">
        <v>4.5809999999999997E-2</v>
      </c>
      <c r="O34" s="10">
        <f t="shared" si="6"/>
        <v>824.57999999999993</v>
      </c>
      <c r="P34" s="11">
        <v>0</v>
      </c>
      <c r="Q34" s="11">
        <v>0</v>
      </c>
      <c r="R34" s="10">
        <f>IF(COUNTIF($J$2:J34,J34)=1,SUMIFS($O:$O,$J:$J,J34)+SUMIFS($P:$P,$J:$J,J34)+SUMIFS($Q:$Q,$J:$J,J34),"")</f>
        <v>824.57999999999993</v>
      </c>
      <c r="S34" s="10">
        <v>824.58</v>
      </c>
      <c r="T34" s="11" t="str">
        <f>IFERROR(INDEX(AD:AD,MATCH(J34,J:J,0)),"")</f>
        <v>Ok</v>
      </c>
      <c r="U34" s="12">
        <v>46014</v>
      </c>
      <c r="V34" s="10">
        <v>824.58</v>
      </c>
      <c r="W34" s="10" t="str">
        <f t="shared" si="7"/>
        <v>Not Paid</v>
      </c>
      <c r="X34" t="s">
        <v>197</v>
      </c>
      <c r="Y34" t="s">
        <v>27</v>
      </c>
      <c r="Z34">
        <v>100191</v>
      </c>
      <c r="AA34" t="s">
        <v>237</v>
      </c>
      <c r="AB34" t="s">
        <v>249</v>
      </c>
      <c r="AC34" s="9">
        <f>COUNTIF(J:J,J34)</f>
        <v>1</v>
      </c>
      <c r="AD34" s="9" t="str">
        <f t="shared" si="8"/>
        <v>Ok</v>
      </c>
      <c r="AE34" s="11">
        <f t="shared" si="9"/>
        <v>0</v>
      </c>
    </row>
    <row r="35" spans="1:31" x14ac:dyDescent="0.3">
      <c r="A35">
        <v>157</v>
      </c>
      <c r="B35">
        <v>4414673</v>
      </c>
      <c r="C35" t="s">
        <v>91</v>
      </c>
      <c r="D35">
        <v>1443616</v>
      </c>
      <c r="E35" t="s">
        <v>113</v>
      </c>
      <c r="F35" t="s">
        <v>20</v>
      </c>
      <c r="G35" t="s">
        <v>427</v>
      </c>
      <c r="H35" t="s">
        <v>428</v>
      </c>
      <c r="I35" s="9" t="s">
        <v>730</v>
      </c>
      <c r="J35" s="9">
        <v>51159903191</v>
      </c>
      <c r="K35" s="14" t="s">
        <v>657</v>
      </c>
      <c r="L35" s="13" t="s">
        <v>872</v>
      </c>
      <c r="M35" s="14">
        <v>6000</v>
      </c>
      <c r="N35" s="14">
        <v>0.12222</v>
      </c>
      <c r="O35" s="10">
        <f t="shared" si="6"/>
        <v>733.31999999999994</v>
      </c>
      <c r="P35" s="11">
        <v>0</v>
      </c>
      <c r="Q35" s="11">
        <v>0</v>
      </c>
      <c r="R35" s="10">
        <f>IF(COUNTIF($J$2:J35,J35)=1,SUMIFS($O:$O,$J:$J,J35)+SUMIFS($P:$P,$J:$J,J35)+SUMIFS($Q:$Q,$J:$J,J35),"")</f>
        <v>733.31999999999994</v>
      </c>
      <c r="S35" s="10">
        <v>733.32</v>
      </c>
      <c r="T35" s="11" t="str">
        <f>IFERROR(INDEX(AD:AD,MATCH(J35,J:J,0)),"")</f>
        <v>Ok</v>
      </c>
      <c r="U35" s="12">
        <v>46015</v>
      </c>
      <c r="V35" s="10">
        <v>733.32</v>
      </c>
      <c r="W35" s="10" t="str">
        <f t="shared" si="7"/>
        <v>Not Paid</v>
      </c>
      <c r="X35" t="s">
        <v>197</v>
      </c>
      <c r="Y35" t="s">
        <v>27</v>
      </c>
      <c r="Z35">
        <v>100201</v>
      </c>
      <c r="AA35" t="s">
        <v>618</v>
      </c>
      <c r="AB35" t="s">
        <v>249</v>
      </c>
      <c r="AC35" s="9">
        <f>COUNTIF(J:J,J35)</f>
        <v>1</v>
      </c>
      <c r="AD35" s="9" t="str">
        <f t="shared" si="8"/>
        <v>Ok</v>
      </c>
      <c r="AE35" s="11">
        <f t="shared" si="9"/>
        <v>0</v>
      </c>
    </row>
    <row r="36" spans="1:31" x14ac:dyDescent="0.3">
      <c r="A36">
        <v>157</v>
      </c>
      <c r="B36">
        <v>4414503</v>
      </c>
      <c r="C36" t="s">
        <v>91</v>
      </c>
      <c r="D36">
        <v>1963277</v>
      </c>
      <c r="E36" t="s">
        <v>107</v>
      </c>
      <c r="F36" t="s">
        <v>18</v>
      </c>
      <c r="G36" t="s">
        <v>429</v>
      </c>
      <c r="H36" t="s">
        <v>430</v>
      </c>
      <c r="I36" s="9" t="s">
        <v>849</v>
      </c>
      <c r="J36" s="9">
        <v>51160268220</v>
      </c>
      <c r="K36" s="14" t="s">
        <v>880</v>
      </c>
      <c r="L36" s="13" t="s">
        <v>879</v>
      </c>
      <c r="M36" s="14">
        <v>50</v>
      </c>
      <c r="N36" s="14">
        <v>185.24</v>
      </c>
      <c r="O36" s="10">
        <f t="shared" si="6"/>
        <v>9262</v>
      </c>
      <c r="P36" s="11">
        <v>0</v>
      </c>
      <c r="Q36" s="11">
        <v>0</v>
      </c>
      <c r="R36" s="10">
        <f>IF(COUNTIF($J$2:J36,J36)=1,SUMIFS($O:$O,$J:$J,J36)+SUMIFS($P:$P,$J:$J,J36)+SUMIFS($Q:$Q,$J:$J,J36),"")</f>
        <v>9262</v>
      </c>
      <c r="S36" s="10">
        <v>9262</v>
      </c>
      <c r="T36" s="11" t="str">
        <f>IFERROR(INDEX(AD:AD,MATCH(J36,J:J,0)),"")</f>
        <v>Ok</v>
      </c>
      <c r="U36" s="12">
        <v>45931</v>
      </c>
      <c r="V36" s="10">
        <v>1692.5</v>
      </c>
      <c r="W36" s="10" t="str">
        <f t="shared" si="7"/>
        <v>Short Paid</v>
      </c>
      <c r="X36" t="s">
        <v>220</v>
      </c>
      <c r="Y36" t="s">
        <v>27</v>
      </c>
      <c r="Z36">
        <v>100239</v>
      </c>
      <c r="AA36" t="s">
        <v>226</v>
      </c>
      <c r="AB36" t="s">
        <v>251</v>
      </c>
      <c r="AC36" s="9">
        <f>COUNTIF(J:J,J36)</f>
        <v>1</v>
      </c>
      <c r="AD36" s="9" t="str">
        <f t="shared" si="8"/>
        <v>Ok</v>
      </c>
      <c r="AE36" s="11">
        <f t="shared" si="9"/>
        <v>0</v>
      </c>
    </row>
    <row r="37" spans="1:31" x14ac:dyDescent="0.3">
      <c r="A37">
        <v>157</v>
      </c>
      <c r="B37">
        <v>4414393</v>
      </c>
      <c r="C37" t="s">
        <v>91</v>
      </c>
      <c r="D37">
        <v>1963277</v>
      </c>
      <c r="E37" t="s">
        <v>107</v>
      </c>
      <c r="F37" t="s">
        <v>18</v>
      </c>
      <c r="G37" t="s">
        <v>431</v>
      </c>
      <c r="H37" t="s">
        <v>432</v>
      </c>
      <c r="I37" s="9" t="s">
        <v>694</v>
      </c>
      <c r="J37" s="9">
        <v>50117919839</v>
      </c>
      <c r="K37" s="14" t="s">
        <v>728</v>
      </c>
      <c r="L37" s="13" t="s">
        <v>727</v>
      </c>
      <c r="M37" s="14">
        <v>50</v>
      </c>
      <c r="N37" s="14">
        <v>318.16390000000001</v>
      </c>
      <c r="O37" s="10">
        <f t="shared" si="6"/>
        <v>15908.195</v>
      </c>
      <c r="P37" s="11">
        <v>0</v>
      </c>
      <c r="Q37" s="11">
        <v>0</v>
      </c>
      <c r="R37" s="10">
        <f>IF(COUNTIF($J$2:J37,J37)=1,SUMIFS($O:$O,$J:$J,J37)+SUMIFS($P:$P,$J:$J,J37)+SUMIFS($Q:$Q,$J:$J,J37),"")</f>
        <v>15908.195</v>
      </c>
      <c r="S37" s="10">
        <v>31816.400000000001</v>
      </c>
      <c r="T37" s="11" t="str">
        <f>IFERROR(INDEX(AD:AD,MATCH(J37,J:J,0)),"")</f>
        <v>Check</v>
      </c>
      <c r="U37" s="12">
        <v>45931</v>
      </c>
      <c r="V37" s="10">
        <v>721.4</v>
      </c>
      <c r="W37" s="10" t="str">
        <f t="shared" si="7"/>
        <v>Short Paid</v>
      </c>
      <c r="X37" t="s">
        <v>220</v>
      </c>
      <c r="Y37" t="s">
        <v>27</v>
      </c>
      <c r="Z37">
        <v>100249</v>
      </c>
      <c r="AA37" t="s">
        <v>228</v>
      </c>
      <c r="AB37" t="s">
        <v>251</v>
      </c>
      <c r="AC37" s="9">
        <f>COUNTIF(J:J,J37)</f>
        <v>1</v>
      </c>
      <c r="AD37" s="9" t="str">
        <f t="shared" si="8"/>
        <v>Check</v>
      </c>
      <c r="AE37" s="11">
        <f t="shared" si="9"/>
        <v>-15908.205000000002</v>
      </c>
    </row>
    <row r="38" spans="1:31" x14ac:dyDescent="0.3">
      <c r="A38">
        <v>156</v>
      </c>
      <c r="B38">
        <v>4414583</v>
      </c>
      <c r="C38" t="s">
        <v>91</v>
      </c>
      <c r="D38">
        <v>1241713</v>
      </c>
      <c r="E38" t="s">
        <v>269</v>
      </c>
      <c r="F38" t="s">
        <v>20</v>
      </c>
      <c r="G38" t="s">
        <v>433</v>
      </c>
      <c r="H38" t="s">
        <v>434</v>
      </c>
      <c r="I38" s="9" t="s">
        <v>741</v>
      </c>
      <c r="J38" s="9">
        <v>51160092337</v>
      </c>
      <c r="K38" s="14" t="s">
        <v>687</v>
      </c>
      <c r="L38" s="13" t="s">
        <v>878</v>
      </c>
      <c r="M38" s="14">
        <v>5000</v>
      </c>
      <c r="N38" s="14">
        <v>1.69</v>
      </c>
      <c r="O38" s="10">
        <f t="shared" si="6"/>
        <v>8450</v>
      </c>
      <c r="P38" s="11">
        <v>0</v>
      </c>
      <c r="Q38" s="11">
        <v>0</v>
      </c>
      <c r="R38" s="10">
        <f>IF(COUNTIF($J$2:J38,J38)=1,SUMIFS($O:$O,$J:$J,J38)+SUMIFS($P:$P,$J:$J,J38)+SUMIFS($Q:$Q,$J:$J,J38),"")</f>
        <v>8450</v>
      </c>
      <c r="S38" s="10">
        <v>8450</v>
      </c>
      <c r="T38" s="11" t="str">
        <f>IFERROR(INDEX(AD:AD,MATCH(J38,J:J,0)),"")</f>
        <v>Ok</v>
      </c>
      <c r="U38" s="12">
        <v>45947</v>
      </c>
      <c r="V38" s="10">
        <v>4484.5</v>
      </c>
      <c r="W38" s="10" t="str">
        <f t="shared" si="7"/>
        <v>Short Paid</v>
      </c>
      <c r="X38" t="s">
        <v>209</v>
      </c>
      <c r="Y38" t="s">
        <v>27</v>
      </c>
      <c r="Z38">
        <v>100280</v>
      </c>
      <c r="AA38" t="s">
        <v>213</v>
      </c>
      <c r="AB38" t="s">
        <v>249</v>
      </c>
      <c r="AC38" s="9">
        <f>COUNTIF(J:J,J38)</f>
        <v>1</v>
      </c>
      <c r="AD38" s="9" t="str">
        <f t="shared" si="8"/>
        <v>Ok</v>
      </c>
      <c r="AE38" s="11">
        <f t="shared" si="9"/>
        <v>0</v>
      </c>
    </row>
    <row r="39" spans="1:31" x14ac:dyDescent="0.3">
      <c r="A39">
        <v>155</v>
      </c>
      <c r="B39">
        <v>4414413</v>
      </c>
      <c r="C39" t="s">
        <v>91</v>
      </c>
      <c r="D39">
        <v>1470631</v>
      </c>
      <c r="E39" t="s">
        <v>100</v>
      </c>
      <c r="F39" t="s">
        <v>19</v>
      </c>
      <c r="G39" t="s">
        <v>435</v>
      </c>
      <c r="H39" t="s">
        <v>436</v>
      </c>
      <c r="I39" s="9" t="s">
        <v>724</v>
      </c>
      <c r="J39" s="9">
        <v>50117919833</v>
      </c>
      <c r="K39" s="14" t="s">
        <v>726</v>
      </c>
      <c r="L39" s="13" t="s">
        <v>725</v>
      </c>
      <c r="M39" s="14">
        <v>141</v>
      </c>
      <c r="N39" s="14">
        <v>4.8</v>
      </c>
      <c r="O39" s="10">
        <f t="shared" si="6"/>
        <v>676.8</v>
      </c>
      <c r="P39" s="11">
        <v>0</v>
      </c>
      <c r="Q39" s="11">
        <v>289.67</v>
      </c>
      <c r="R39" s="10">
        <f>IF(COUNTIF($J$2:J39,J39)=1,SUMIFS($O:$O,$J:$J,J39)+SUMIFS($P:$P,$J:$J,J39)+SUMIFS($Q:$Q,$J:$J,J39),"")</f>
        <v>966.47</v>
      </c>
      <c r="S39" s="10">
        <v>966.47</v>
      </c>
      <c r="T39" s="11" t="str">
        <f>IFERROR(INDEX(AD:AD,MATCH(J39,J:J,0)),"")</f>
        <v>Ok</v>
      </c>
      <c r="U39" s="12">
        <v>45797</v>
      </c>
      <c r="V39" s="10">
        <v>134.01</v>
      </c>
      <c r="W39" s="10" t="str">
        <f t="shared" si="7"/>
        <v>Short Paid</v>
      </c>
      <c r="X39" t="s">
        <v>204</v>
      </c>
      <c r="Y39" t="s">
        <v>27</v>
      </c>
      <c r="Z39">
        <v>100167</v>
      </c>
      <c r="AA39" t="s">
        <v>239</v>
      </c>
      <c r="AB39" t="s">
        <v>252</v>
      </c>
      <c r="AC39" s="9">
        <f>COUNTIF(J:J,J39)</f>
        <v>1</v>
      </c>
      <c r="AD39" s="9" t="str">
        <f t="shared" si="8"/>
        <v>Ok</v>
      </c>
      <c r="AE39" s="11">
        <f t="shared" si="9"/>
        <v>0</v>
      </c>
    </row>
    <row r="40" spans="1:31" x14ac:dyDescent="0.3">
      <c r="A40">
        <v>153</v>
      </c>
      <c r="B40">
        <v>4416053</v>
      </c>
      <c r="C40" t="s">
        <v>91</v>
      </c>
      <c r="D40">
        <v>1648570</v>
      </c>
      <c r="E40" t="s">
        <v>99</v>
      </c>
      <c r="F40" t="s">
        <v>18</v>
      </c>
      <c r="G40" t="s">
        <v>437</v>
      </c>
      <c r="H40" t="s">
        <v>438</v>
      </c>
      <c r="I40" s="9" t="s">
        <v>720</v>
      </c>
      <c r="J40" s="9">
        <v>50117909557</v>
      </c>
      <c r="K40" s="14" t="s">
        <v>697</v>
      </c>
      <c r="L40" s="13" t="s">
        <v>721</v>
      </c>
      <c r="M40" s="14">
        <v>250</v>
      </c>
      <c r="N40" s="14">
        <v>36.92</v>
      </c>
      <c r="O40" s="10">
        <f t="shared" si="6"/>
        <v>9230</v>
      </c>
      <c r="P40" s="11">
        <v>0</v>
      </c>
      <c r="Q40" s="11">
        <v>0</v>
      </c>
      <c r="R40" s="10">
        <f>IF(COUNTIF($J$2:J40,J40)=1,SUMIFS($O:$O,$J:$J,J40)+SUMIFS($P:$P,$J:$J,J40)+SUMIFS($Q:$Q,$J:$J,J40),"")</f>
        <v>9230</v>
      </c>
      <c r="S40" s="10">
        <v>9230</v>
      </c>
      <c r="T40" s="11" t="str">
        <f>IFERROR(INDEX(AD:AD,MATCH(J40,J:J,0)),"")</f>
        <v>Ok</v>
      </c>
      <c r="U40" s="12">
        <v>45926</v>
      </c>
      <c r="V40" s="10">
        <v>250</v>
      </c>
      <c r="W40" s="10" t="str">
        <f t="shared" si="7"/>
        <v>Short Paid</v>
      </c>
      <c r="X40" t="s">
        <v>207</v>
      </c>
      <c r="Y40" t="s">
        <v>27</v>
      </c>
      <c r="Z40">
        <v>100284</v>
      </c>
      <c r="AA40" t="s">
        <v>616</v>
      </c>
      <c r="AB40" t="s">
        <v>251</v>
      </c>
      <c r="AC40" s="9">
        <f>COUNTIF(J:J,J40)</f>
        <v>1</v>
      </c>
      <c r="AD40" s="9" t="str">
        <f t="shared" si="8"/>
        <v>Ok</v>
      </c>
      <c r="AE40" s="11">
        <f t="shared" si="9"/>
        <v>0</v>
      </c>
    </row>
    <row r="41" spans="1:31" x14ac:dyDescent="0.3">
      <c r="A41">
        <v>143</v>
      </c>
      <c r="B41">
        <v>4418013</v>
      </c>
      <c r="C41" t="s">
        <v>91</v>
      </c>
      <c r="D41">
        <v>1241713</v>
      </c>
      <c r="E41" t="s">
        <v>269</v>
      </c>
      <c r="F41" t="s">
        <v>21</v>
      </c>
      <c r="G41" t="s">
        <v>439</v>
      </c>
      <c r="H41" t="s">
        <v>440</v>
      </c>
      <c r="I41" s="9" t="s">
        <v>807</v>
      </c>
      <c r="J41" s="9">
        <v>51163600133</v>
      </c>
      <c r="K41" s="14" t="s">
        <v>657</v>
      </c>
      <c r="L41" s="13" t="s">
        <v>923</v>
      </c>
      <c r="M41" s="14">
        <v>19380</v>
      </c>
      <c r="N41" s="14">
        <v>42.43</v>
      </c>
      <c r="O41" s="10">
        <f t="shared" si="6"/>
        <v>822293.4</v>
      </c>
      <c r="P41" s="11">
        <v>0</v>
      </c>
      <c r="Q41" s="11">
        <v>0</v>
      </c>
      <c r="R41" s="10">
        <f>IF(COUNTIF($J$2:J41,J41)=1,SUMIFS($O:$O,$J:$J,J41)+SUMIFS($P:$P,$J:$J,J41)+SUMIFS($Q:$Q,$J:$J,J41),"")</f>
        <v>822293.4</v>
      </c>
      <c r="S41" s="10">
        <v>822293.4</v>
      </c>
      <c r="T41" s="11" t="str">
        <f>IFERROR(INDEX(AD:AD,MATCH(J41,J:J,0)),"")</f>
        <v>Ok</v>
      </c>
      <c r="U41" s="12">
        <v>46022</v>
      </c>
      <c r="V41" s="10">
        <v>8222.93</v>
      </c>
      <c r="W41" s="10" t="str">
        <f t="shared" si="7"/>
        <v>Short Paid</v>
      </c>
      <c r="X41" t="s">
        <v>209</v>
      </c>
      <c r="Y41" t="s">
        <v>37</v>
      </c>
      <c r="Z41">
        <v>100140</v>
      </c>
      <c r="AA41" t="s">
        <v>611</v>
      </c>
      <c r="AB41" t="s">
        <v>602</v>
      </c>
      <c r="AC41" s="9">
        <f>COUNTIF(J:J,J41)</f>
        <v>1</v>
      </c>
      <c r="AD41" s="9" t="str">
        <f t="shared" si="8"/>
        <v>Ok</v>
      </c>
      <c r="AE41" s="11">
        <f t="shared" ref="AE41:AE45" si="10">R41-S41</f>
        <v>0</v>
      </c>
    </row>
    <row r="42" spans="1:31" x14ac:dyDescent="0.3">
      <c r="A42">
        <v>142</v>
      </c>
      <c r="B42">
        <v>4418063</v>
      </c>
      <c r="C42" t="s">
        <v>91</v>
      </c>
      <c r="D42">
        <v>1223769</v>
      </c>
      <c r="E42" t="s">
        <v>275</v>
      </c>
      <c r="F42" t="s">
        <v>42</v>
      </c>
      <c r="G42" t="s">
        <v>441</v>
      </c>
      <c r="H42" t="s">
        <v>442</v>
      </c>
      <c r="I42" s="9" t="s">
        <v>672</v>
      </c>
      <c r="J42" s="9">
        <v>51163600060</v>
      </c>
      <c r="K42" s="14" t="s">
        <v>723</v>
      </c>
      <c r="L42" s="13" t="s">
        <v>921</v>
      </c>
      <c r="M42" s="14">
        <v>6</v>
      </c>
      <c r="N42" s="14">
        <v>104.72620000000001</v>
      </c>
      <c r="O42" s="10">
        <f t="shared" si="6"/>
        <v>628.35720000000003</v>
      </c>
      <c r="P42" s="11">
        <v>0</v>
      </c>
      <c r="Q42" s="11">
        <v>328.63</v>
      </c>
      <c r="R42" s="10">
        <f>IF(COUNTIF($J$2:J42,J42)=1,SUMIFS($O:$O,$J:$J,J42)+SUMIFS($P:$P,$J:$J,J42)+SUMIFS($Q:$Q,$J:$J,J42),"")</f>
        <v>956.98720000000003</v>
      </c>
      <c r="S42" s="10">
        <v>956.99</v>
      </c>
      <c r="T42" s="11" t="str">
        <f>IFERROR(INDEX(AD:AD,MATCH(J42,J:J,0)),"")</f>
        <v>Check</v>
      </c>
      <c r="U42" s="12">
        <v>45975</v>
      </c>
      <c r="V42" s="10">
        <v>328.63</v>
      </c>
      <c r="W42" s="10" t="str">
        <f t="shared" si="7"/>
        <v>Short Paid</v>
      </c>
      <c r="X42" t="s">
        <v>217</v>
      </c>
      <c r="Y42" t="s">
        <v>27</v>
      </c>
      <c r="Z42">
        <v>100238</v>
      </c>
      <c r="AA42" t="s">
        <v>625</v>
      </c>
      <c r="AB42" t="s">
        <v>604</v>
      </c>
      <c r="AC42" s="9">
        <f>COUNTIF(J:J,J42)</f>
        <v>1</v>
      </c>
      <c r="AD42" s="9" t="str">
        <f t="shared" si="8"/>
        <v>Check</v>
      </c>
      <c r="AE42" s="11">
        <f t="shared" si="10"/>
        <v>-2.7999999999792635E-3</v>
      </c>
    </row>
    <row r="43" spans="1:31" x14ac:dyDescent="0.3">
      <c r="A43">
        <v>142</v>
      </c>
      <c r="B43">
        <v>4417703</v>
      </c>
      <c r="C43" t="s">
        <v>91</v>
      </c>
      <c r="D43">
        <v>1223769</v>
      </c>
      <c r="E43" t="s">
        <v>275</v>
      </c>
      <c r="F43" t="s">
        <v>42</v>
      </c>
      <c r="G43" t="s">
        <v>443</v>
      </c>
      <c r="H43" t="s">
        <v>444</v>
      </c>
      <c r="I43" s="9" t="s">
        <v>710</v>
      </c>
      <c r="J43" s="9">
        <v>51163600089</v>
      </c>
      <c r="K43" s="14" t="s">
        <v>699</v>
      </c>
      <c r="L43" s="13" t="s">
        <v>922</v>
      </c>
      <c r="M43" s="14">
        <v>4000</v>
      </c>
      <c r="N43" s="14">
        <v>5.3299999999999997E-3</v>
      </c>
      <c r="O43" s="10">
        <f t="shared" si="6"/>
        <v>21.32</v>
      </c>
      <c r="P43" s="11">
        <v>0</v>
      </c>
      <c r="Q43" s="11">
        <v>11.15</v>
      </c>
      <c r="R43" s="10">
        <f>IF(COUNTIF($J$2:J43,J43)=1,SUMIFS($O:$O,$J:$J,J43)+SUMIFS($P:$P,$J:$J,J43)+SUMIFS($Q:$Q,$J:$J,J43),"")</f>
        <v>32.47</v>
      </c>
      <c r="S43" s="10">
        <v>32.47</v>
      </c>
      <c r="T43" s="11" t="str">
        <f>IFERROR(INDEX(AD:AD,MATCH(J43,J:J,0)),"")</f>
        <v>Ok</v>
      </c>
      <c r="U43" s="12">
        <v>45980</v>
      </c>
      <c r="V43" s="10">
        <v>11.15</v>
      </c>
      <c r="W43" s="10" t="str">
        <f t="shared" si="7"/>
        <v>Short Paid</v>
      </c>
      <c r="X43" t="s">
        <v>217</v>
      </c>
      <c r="Y43" t="s">
        <v>27</v>
      </c>
      <c r="Z43">
        <v>100248</v>
      </c>
      <c r="AA43" t="s">
        <v>643</v>
      </c>
      <c r="AB43" t="s">
        <v>604</v>
      </c>
      <c r="AC43" s="9">
        <f>COUNTIF(J:J,J43)</f>
        <v>1</v>
      </c>
      <c r="AD43" s="9" t="str">
        <f t="shared" si="8"/>
        <v>Ok</v>
      </c>
      <c r="AE43" s="11">
        <f t="shared" si="10"/>
        <v>0</v>
      </c>
    </row>
    <row r="44" spans="1:31" x14ac:dyDescent="0.3">
      <c r="A44">
        <v>142</v>
      </c>
      <c r="B44">
        <v>4418053</v>
      </c>
      <c r="C44" t="s">
        <v>91</v>
      </c>
      <c r="D44">
        <v>1223769</v>
      </c>
      <c r="E44" t="s">
        <v>275</v>
      </c>
      <c r="F44" t="s">
        <v>42</v>
      </c>
      <c r="G44" t="s">
        <v>445</v>
      </c>
      <c r="H44" t="s">
        <v>446</v>
      </c>
      <c r="I44" s="9" t="s">
        <v>766</v>
      </c>
      <c r="J44" s="9">
        <v>51163600158</v>
      </c>
      <c r="K44" s="14" t="s">
        <v>699</v>
      </c>
      <c r="L44" s="13" t="s">
        <v>922</v>
      </c>
      <c r="M44" s="14">
        <v>4000</v>
      </c>
      <c r="N44" s="14">
        <v>5.3299999999999997E-3</v>
      </c>
      <c r="O44" s="10">
        <f t="shared" si="6"/>
        <v>21.32</v>
      </c>
      <c r="P44" s="11">
        <v>0</v>
      </c>
      <c r="Q44" s="11">
        <v>11.15</v>
      </c>
      <c r="R44" s="10">
        <f>IF(COUNTIF($J$2:J44,J44)=1,SUMIFS($O:$O,$J:$J,J44)+SUMIFS($P:$P,$J:$J,J44)+SUMIFS($Q:$Q,$J:$J,J44),"")</f>
        <v>32.47</v>
      </c>
      <c r="S44" s="10">
        <v>32.47</v>
      </c>
      <c r="T44" s="11" t="str">
        <f>IFERROR(INDEX(AD:AD,MATCH(J44,J:J,0)),"")</f>
        <v>Ok</v>
      </c>
      <c r="U44" s="12">
        <v>46021</v>
      </c>
      <c r="V44" s="10">
        <v>11.15</v>
      </c>
      <c r="W44" s="10" t="str">
        <f t="shared" si="7"/>
        <v>Short Paid</v>
      </c>
      <c r="X44" t="s">
        <v>217</v>
      </c>
      <c r="Y44" t="s">
        <v>27</v>
      </c>
      <c r="Z44">
        <v>100278</v>
      </c>
      <c r="AA44" t="s">
        <v>641</v>
      </c>
      <c r="AB44" t="s">
        <v>604</v>
      </c>
      <c r="AC44" s="9">
        <f>COUNTIF(J:J,J44)</f>
        <v>1</v>
      </c>
      <c r="AD44" s="9" t="str">
        <f t="shared" si="8"/>
        <v>Ok</v>
      </c>
      <c r="AE44" s="11">
        <f t="shared" si="10"/>
        <v>0</v>
      </c>
    </row>
    <row r="45" spans="1:31" x14ac:dyDescent="0.3">
      <c r="A45">
        <v>142</v>
      </c>
      <c r="B45">
        <v>4418033</v>
      </c>
      <c r="C45" t="s">
        <v>91</v>
      </c>
      <c r="D45">
        <v>1830445</v>
      </c>
      <c r="E45" t="s">
        <v>64</v>
      </c>
      <c r="F45" t="s">
        <v>19</v>
      </c>
      <c r="G45" t="s">
        <v>447</v>
      </c>
      <c r="H45" t="s">
        <v>448</v>
      </c>
      <c r="I45" s="9" t="s">
        <v>807</v>
      </c>
      <c r="J45" s="9">
        <v>51163452297</v>
      </c>
      <c r="K45" s="14" t="s">
        <v>918</v>
      </c>
      <c r="L45" s="13" t="s">
        <v>917</v>
      </c>
      <c r="M45" s="14">
        <v>247</v>
      </c>
      <c r="N45" s="14">
        <v>1099.4709</v>
      </c>
      <c r="O45" s="10">
        <f t="shared" si="6"/>
        <v>271569.31229999999</v>
      </c>
      <c r="P45" s="11">
        <v>0</v>
      </c>
      <c r="Q45" s="11">
        <v>0</v>
      </c>
      <c r="R45" s="10">
        <f>IF(COUNTIF($J$2:J45,J45)=1,SUMIFS($O:$O,$J:$J,J45)+SUMIFS($P:$P,$J:$J,J45)+SUMIFS($Q:$Q,$J:$J,J45),"")</f>
        <v>271569.31229999999</v>
      </c>
      <c r="S45" s="10">
        <v>271569.31</v>
      </c>
      <c r="T45" s="11" t="str">
        <f>IFERROR(INDEX(AD:AD,MATCH(J45,J:J,0)),"")</f>
        <v>Check</v>
      </c>
      <c r="U45" s="12">
        <v>46006</v>
      </c>
      <c r="V45" s="10">
        <v>500</v>
      </c>
      <c r="W45" s="10" t="str">
        <f t="shared" si="7"/>
        <v>Short Paid</v>
      </c>
      <c r="X45" t="s">
        <v>204</v>
      </c>
      <c r="Y45" t="s">
        <v>27</v>
      </c>
      <c r="Z45">
        <v>100287</v>
      </c>
      <c r="AA45" t="s">
        <v>242</v>
      </c>
      <c r="AB45" t="s">
        <v>252</v>
      </c>
      <c r="AC45" s="9">
        <f>COUNTIF(J:J,J45)</f>
        <v>1</v>
      </c>
      <c r="AD45" s="9" t="str">
        <f t="shared" si="8"/>
        <v>Check</v>
      </c>
      <c r="AE45" s="11">
        <f t="shared" si="10"/>
        <v>2.2999999928288162E-3</v>
      </c>
    </row>
    <row r="46" spans="1:31" x14ac:dyDescent="0.3">
      <c r="A46">
        <v>141</v>
      </c>
      <c r="B46">
        <v>4419663</v>
      </c>
      <c r="C46" t="s">
        <v>91</v>
      </c>
      <c r="D46">
        <v>1648570</v>
      </c>
      <c r="E46" t="s">
        <v>99</v>
      </c>
      <c r="F46" t="s">
        <v>18</v>
      </c>
      <c r="G46" t="s">
        <v>449</v>
      </c>
      <c r="H46" t="s">
        <v>450</v>
      </c>
      <c r="I46" s="9" t="s">
        <v>840</v>
      </c>
      <c r="J46" s="9">
        <v>55113529487</v>
      </c>
      <c r="K46" s="14" t="s">
        <v>752</v>
      </c>
      <c r="L46" s="13" t="s">
        <v>937</v>
      </c>
      <c r="M46" s="14">
        <v>6000</v>
      </c>
      <c r="N46" s="14">
        <v>0.65</v>
      </c>
      <c r="O46" s="10">
        <f t="shared" ref="O46:O56" si="11">M46*N46</f>
        <v>3900</v>
      </c>
      <c r="P46" s="11">
        <v>0</v>
      </c>
      <c r="Q46" s="11">
        <v>0</v>
      </c>
      <c r="R46" s="10">
        <f>IF(COUNTIF($J$2:J46,J46)=1,SUMIFS($O:$O,$J:$J,J46)+SUMIFS($P:$P,$J:$J,J46)+SUMIFS($Q:$Q,$J:$J,J46),"")</f>
        <v>3900</v>
      </c>
      <c r="S46" s="10">
        <v>3900</v>
      </c>
      <c r="T46" s="11" t="str">
        <f>IFERROR(INDEX(AD:AD,MATCH(J46,J:J,0)),"")</f>
        <v>Ok</v>
      </c>
      <c r="U46" s="12">
        <v>45945</v>
      </c>
      <c r="V46" s="10">
        <v>1800</v>
      </c>
      <c r="W46" s="10" t="str">
        <f t="shared" ref="W46:W56" si="12">IF(OR(S46="",V46=""),"N/A",IF(S46&lt;&gt;V46,"Short Paid","Not Paid"))</f>
        <v>Short Paid</v>
      </c>
      <c r="X46" t="s">
        <v>207</v>
      </c>
      <c r="Y46" t="s">
        <v>27</v>
      </c>
      <c r="Z46">
        <v>100284</v>
      </c>
      <c r="AA46" t="s">
        <v>616</v>
      </c>
      <c r="AB46" t="s">
        <v>251</v>
      </c>
      <c r="AC46" s="9">
        <f>COUNTIF(J:J,J46)</f>
        <v>1</v>
      </c>
      <c r="AD46" s="9" t="str">
        <f t="shared" ref="AD46:AD56" si="13">IF(AND(R46="",S46=""),"N/A",IF(R46=S46,"Ok","Check"))</f>
        <v>Ok</v>
      </c>
      <c r="AE46" s="11">
        <f t="shared" ref="AE46:AE51" si="14">R46-S46</f>
        <v>0</v>
      </c>
    </row>
    <row r="47" spans="1:31" x14ac:dyDescent="0.3">
      <c r="A47">
        <v>141</v>
      </c>
      <c r="B47">
        <v>4419323</v>
      </c>
      <c r="C47" t="s">
        <v>91</v>
      </c>
      <c r="D47">
        <v>1139721</v>
      </c>
      <c r="E47" t="s">
        <v>259</v>
      </c>
      <c r="F47" t="s">
        <v>18</v>
      </c>
      <c r="G47" t="s">
        <v>451</v>
      </c>
      <c r="H47" t="s">
        <v>452</v>
      </c>
      <c r="I47" s="9" t="s">
        <v>805</v>
      </c>
      <c r="J47" s="9">
        <v>55113529476</v>
      </c>
      <c r="K47" s="14" t="s">
        <v>660</v>
      </c>
      <c r="L47" s="13" t="s">
        <v>743</v>
      </c>
      <c r="M47" s="14">
        <v>95</v>
      </c>
      <c r="N47" s="14">
        <v>156.86000000000001</v>
      </c>
      <c r="O47" s="10">
        <f t="shared" si="11"/>
        <v>14901.7</v>
      </c>
      <c r="P47" s="11">
        <v>0</v>
      </c>
      <c r="Q47" s="11">
        <v>0</v>
      </c>
      <c r="R47" s="10">
        <f>IF(COUNTIF($J$2:J47,J47)=1,SUMIFS($O:$O,$J:$J,J47)+SUMIFS($P:$P,$J:$J,J47)+SUMIFS($Q:$Q,$J:$J,J47),"")</f>
        <v>14901.7</v>
      </c>
      <c r="S47" s="10">
        <v>14901.7</v>
      </c>
      <c r="T47" s="11" t="str">
        <f>IFERROR(INDEX(AD:AD,MATCH(J47,J:J,0)),"")</f>
        <v>Ok</v>
      </c>
      <c r="U47" s="12">
        <v>45974</v>
      </c>
      <c r="V47" s="10">
        <v>323.33</v>
      </c>
      <c r="W47" s="10" t="str">
        <f t="shared" si="12"/>
        <v>Short Paid</v>
      </c>
      <c r="X47" t="s">
        <v>209</v>
      </c>
      <c r="Y47" t="s">
        <v>27</v>
      </c>
      <c r="Z47">
        <v>100110</v>
      </c>
      <c r="AA47" t="s">
        <v>246</v>
      </c>
      <c r="AB47" t="s">
        <v>251</v>
      </c>
      <c r="AC47" s="9">
        <f>COUNTIF(J:J,J47)</f>
        <v>1</v>
      </c>
      <c r="AD47" s="9" t="str">
        <f t="shared" si="13"/>
        <v>Ok</v>
      </c>
      <c r="AE47" s="11">
        <f t="shared" si="14"/>
        <v>0</v>
      </c>
    </row>
    <row r="48" spans="1:31" x14ac:dyDescent="0.3">
      <c r="A48">
        <v>137</v>
      </c>
      <c r="B48">
        <v>4422372</v>
      </c>
      <c r="C48" t="s">
        <v>91</v>
      </c>
      <c r="D48">
        <v>1422097</v>
      </c>
      <c r="E48" t="s">
        <v>184</v>
      </c>
      <c r="F48" t="s">
        <v>19</v>
      </c>
      <c r="G48" t="s">
        <v>453</v>
      </c>
      <c r="H48" t="s">
        <v>454</v>
      </c>
      <c r="I48" s="9" t="s">
        <v>736</v>
      </c>
      <c r="J48" s="9">
        <v>50117995492</v>
      </c>
      <c r="K48" s="14" t="s">
        <v>665</v>
      </c>
      <c r="L48" s="13" t="s">
        <v>737</v>
      </c>
      <c r="M48" s="14">
        <v>3000</v>
      </c>
      <c r="N48" s="14">
        <v>0.03</v>
      </c>
      <c r="O48" s="10">
        <f t="shared" si="11"/>
        <v>90</v>
      </c>
      <c r="P48" s="11">
        <v>0</v>
      </c>
      <c r="Q48" s="11">
        <v>8.5500000000000007</v>
      </c>
      <c r="R48" s="10">
        <f>IF(COUNTIF($J$2:J48,J48)=1,SUMIFS($O:$O,$J:$J,J48)+SUMIFS($P:$P,$J:$J,J48)+SUMIFS($Q:$Q,$J:$J,J48),"")</f>
        <v>98.55</v>
      </c>
      <c r="S48" s="10">
        <v>98.55</v>
      </c>
      <c r="T48" s="11" t="str">
        <f>IFERROR(INDEX(AD:AD,MATCH(J48,J:J,0)),"")</f>
        <v>Ok</v>
      </c>
      <c r="U48" s="12">
        <v>45973</v>
      </c>
      <c r="V48" s="10">
        <v>8.5500000000000007</v>
      </c>
      <c r="W48" s="10" t="str">
        <f t="shared" si="12"/>
        <v>Short Paid</v>
      </c>
      <c r="X48" t="s">
        <v>207</v>
      </c>
      <c r="Y48" t="s">
        <v>27</v>
      </c>
      <c r="Z48">
        <v>100194</v>
      </c>
      <c r="AA48" t="s">
        <v>231</v>
      </c>
      <c r="AB48" t="s">
        <v>252</v>
      </c>
      <c r="AC48" s="9">
        <f>COUNTIF(J:J,J48)</f>
        <v>1</v>
      </c>
      <c r="AD48" s="9" t="str">
        <f t="shared" si="13"/>
        <v>Ok</v>
      </c>
      <c r="AE48" s="11">
        <f t="shared" si="14"/>
        <v>0</v>
      </c>
    </row>
    <row r="49" spans="1:31" x14ac:dyDescent="0.3">
      <c r="A49">
        <v>136</v>
      </c>
      <c r="B49">
        <v>4425932</v>
      </c>
      <c r="C49" t="s">
        <v>91</v>
      </c>
      <c r="D49">
        <v>1241713</v>
      </c>
      <c r="E49" t="s">
        <v>269</v>
      </c>
      <c r="F49" t="s">
        <v>20</v>
      </c>
      <c r="G49" t="s">
        <v>455</v>
      </c>
      <c r="H49" t="s">
        <v>456</v>
      </c>
      <c r="I49" s="9" t="s">
        <v>684</v>
      </c>
      <c r="J49" s="9">
        <v>51163792575</v>
      </c>
      <c r="K49" s="14" t="s">
        <v>757</v>
      </c>
      <c r="L49" s="13" t="s">
        <v>928</v>
      </c>
      <c r="M49" s="14">
        <v>1</v>
      </c>
      <c r="N49" s="14">
        <v>601.6</v>
      </c>
      <c r="O49" s="10">
        <f t="shared" si="11"/>
        <v>601.6</v>
      </c>
      <c r="P49" s="11">
        <v>0</v>
      </c>
      <c r="Q49" s="11">
        <v>0</v>
      </c>
      <c r="R49" s="10">
        <f>IF(COUNTIF($J$2:J49,J49)=1,SUMIFS($O:$O,$J:$J,J49)+SUMIFS($P:$P,$J:$J,J49)+SUMIFS($Q:$Q,$J:$J,J49),"")</f>
        <v>601.6</v>
      </c>
      <c r="S49" s="10">
        <v>601.6</v>
      </c>
      <c r="T49" s="11" t="str">
        <f>IFERROR(INDEX(AD:AD,MATCH(J49,J:J,0)),"")</f>
        <v>Ok</v>
      </c>
      <c r="U49" s="12">
        <v>45943</v>
      </c>
      <c r="V49" s="10">
        <v>601.6</v>
      </c>
      <c r="W49" s="10" t="str">
        <f t="shared" si="12"/>
        <v>Not Paid</v>
      </c>
      <c r="X49" t="s">
        <v>209</v>
      </c>
      <c r="Y49" t="s">
        <v>27</v>
      </c>
      <c r="Z49">
        <v>100120</v>
      </c>
      <c r="AA49" t="s">
        <v>211</v>
      </c>
      <c r="AB49" t="s">
        <v>249</v>
      </c>
      <c r="AC49" s="9">
        <f>COUNTIF(J:J,J49)</f>
        <v>1</v>
      </c>
      <c r="AD49" s="9" t="str">
        <f t="shared" si="13"/>
        <v>Ok</v>
      </c>
      <c r="AE49" s="11">
        <f t="shared" si="14"/>
        <v>0</v>
      </c>
    </row>
    <row r="50" spans="1:31" x14ac:dyDescent="0.3">
      <c r="A50">
        <v>135</v>
      </c>
      <c r="B50">
        <v>4426122</v>
      </c>
      <c r="C50" t="s">
        <v>91</v>
      </c>
      <c r="D50">
        <v>1531094</v>
      </c>
      <c r="E50" t="s">
        <v>263</v>
      </c>
      <c r="F50" t="s">
        <v>44</v>
      </c>
      <c r="G50" t="s">
        <v>457</v>
      </c>
      <c r="H50" t="s">
        <v>458</v>
      </c>
      <c r="I50" s="9" t="s">
        <v>732</v>
      </c>
      <c r="J50" s="9">
        <v>50117980174</v>
      </c>
      <c r="K50" s="14" t="s">
        <v>665</v>
      </c>
      <c r="L50" s="13" t="s">
        <v>733</v>
      </c>
      <c r="M50" s="14">
        <v>500</v>
      </c>
      <c r="N50" s="14">
        <v>0.26629999999999998</v>
      </c>
      <c r="O50" s="10">
        <f t="shared" si="11"/>
        <v>133.14999999999998</v>
      </c>
      <c r="P50" s="11">
        <v>11.2</v>
      </c>
      <c r="Q50" s="11">
        <v>0</v>
      </c>
      <c r="R50" s="10">
        <f>IF(COUNTIF($J$2:J50,J50)=1,SUMIFS($O:$O,$J:$J,J50)+SUMIFS($P:$P,$J:$J,J50)+SUMIFS($Q:$Q,$J:$J,J50),"")</f>
        <v>144.34999999999997</v>
      </c>
      <c r="S50" s="10">
        <v>144.35</v>
      </c>
      <c r="T50" s="11" t="str">
        <f>IFERROR(INDEX(AD:AD,MATCH(J50,J:J,0)),"")</f>
        <v>Ok</v>
      </c>
      <c r="U50" s="12">
        <v>45979</v>
      </c>
      <c r="V50" s="10">
        <v>11.2</v>
      </c>
      <c r="W50" s="10" t="str">
        <f t="shared" si="12"/>
        <v>Short Paid</v>
      </c>
      <c r="X50" t="s">
        <v>223</v>
      </c>
      <c r="Y50" t="s">
        <v>28</v>
      </c>
      <c r="Z50">
        <v>100292</v>
      </c>
      <c r="AA50" t="s">
        <v>645</v>
      </c>
      <c r="AB50" t="s">
        <v>606</v>
      </c>
      <c r="AC50" s="9">
        <f>COUNTIF(J:J,J50)</f>
        <v>1</v>
      </c>
      <c r="AD50" s="9" t="str">
        <f t="shared" si="13"/>
        <v>Ok</v>
      </c>
      <c r="AE50" s="11">
        <f t="shared" si="14"/>
        <v>0</v>
      </c>
    </row>
    <row r="51" spans="1:31" x14ac:dyDescent="0.3">
      <c r="A51">
        <v>135</v>
      </c>
      <c r="B51">
        <v>4428012</v>
      </c>
      <c r="C51" t="s">
        <v>91</v>
      </c>
      <c r="D51">
        <v>1963277</v>
      </c>
      <c r="E51" t="s">
        <v>107</v>
      </c>
      <c r="F51" t="s">
        <v>18</v>
      </c>
      <c r="G51" t="s">
        <v>459</v>
      </c>
      <c r="H51" t="s">
        <v>460</v>
      </c>
      <c r="I51" s="9" t="s">
        <v>844</v>
      </c>
      <c r="J51" s="9">
        <v>51163754553</v>
      </c>
      <c r="K51" s="14" t="s">
        <v>752</v>
      </c>
      <c r="L51" s="13" t="s">
        <v>926</v>
      </c>
      <c r="M51" s="14">
        <v>25</v>
      </c>
      <c r="N51" s="14">
        <v>27.33</v>
      </c>
      <c r="O51" s="10">
        <f t="shared" si="11"/>
        <v>683.25</v>
      </c>
      <c r="P51" s="11">
        <v>0</v>
      </c>
      <c r="Q51" s="11">
        <v>0</v>
      </c>
      <c r="R51" s="10">
        <f>IF(COUNTIF($J$2:J51,J51)=1,SUMIFS($O:$O,$J:$J,J51)+SUMIFS($P:$P,$J:$J,J51)+SUMIFS($Q:$Q,$J:$J,J51),"")</f>
        <v>683.25</v>
      </c>
      <c r="S51" s="10">
        <v>683.25</v>
      </c>
      <c r="T51" s="11" t="str">
        <f>IFERROR(INDEX(AD:AD,MATCH(J51,J:J,0)),"")</f>
        <v>Ok</v>
      </c>
      <c r="U51" s="12">
        <v>45954</v>
      </c>
      <c r="V51" s="10">
        <v>169.89</v>
      </c>
      <c r="W51" s="10" t="str">
        <f t="shared" si="12"/>
        <v>Short Paid</v>
      </c>
      <c r="X51" t="s">
        <v>220</v>
      </c>
      <c r="Y51" t="s">
        <v>27</v>
      </c>
      <c r="Z51">
        <v>100169</v>
      </c>
      <c r="AA51" t="s">
        <v>233</v>
      </c>
      <c r="AB51" t="s">
        <v>251</v>
      </c>
      <c r="AC51" s="9">
        <f>COUNTIF(J:J,J51)</f>
        <v>1</v>
      </c>
      <c r="AD51" s="9" t="str">
        <f t="shared" si="13"/>
        <v>Ok</v>
      </c>
      <c r="AE51" s="11">
        <f t="shared" si="14"/>
        <v>0</v>
      </c>
    </row>
    <row r="52" spans="1:31" x14ac:dyDescent="0.3">
      <c r="A52">
        <v>133</v>
      </c>
      <c r="B52">
        <v>4429632</v>
      </c>
      <c r="C52" t="s">
        <v>91</v>
      </c>
      <c r="D52">
        <v>1139721</v>
      </c>
      <c r="E52" t="s">
        <v>259</v>
      </c>
      <c r="F52" t="s">
        <v>18</v>
      </c>
      <c r="G52" t="s">
        <v>461</v>
      </c>
      <c r="H52" t="s">
        <v>462</v>
      </c>
      <c r="I52" s="9" t="s">
        <v>742</v>
      </c>
      <c r="J52" s="9">
        <v>50118001458</v>
      </c>
      <c r="K52" s="14" t="s">
        <v>660</v>
      </c>
      <c r="L52" s="13" t="s">
        <v>743</v>
      </c>
      <c r="M52" s="14">
        <v>700</v>
      </c>
      <c r="N52" s="14">
        <v>156.86000000000001</v>
      </c>
      <c r="O52" s="10">
        <f t="shared" si="11"/>
        <v>109802.00000000001</v>
      </c>
      <c r="P52" s="11">
        <v>0</v>
      </c>
      <c r="Q52" s="11">
        <v>0</v>
      </c>
      <c r="R52" s="10">
        <f>IF(COUNTIF($J$2:J52,J52)=1,SUMIFS($O:$O,$J:$J,J52)+SUMIFS($P:$P,$J:$J,J52)+SUMIFS($Q:$Q,$J:$J,J52),"")</f>
        <v>109802.00000000001</v>
      </c>
      <c r="S52" s="10">
        <v>109802</v>
      </c>
      <c r="T52" s="11" t="str">
        <f>IFERROR(INDEX(AD:AD,MATCH(J52,J:J,0)),"")</f>
        <v>Ok</v>
      </c>
      <c r="U52" s="12">
        <v>45952</v>
      </c>
      <c r="V52" s="10">
        <v>442.45</v>
      </c>
      <c r="W52" s="10" t="str">
        <f t="shared" si="12"/>
        <v>Short Paid</v>
      </c>
      <c r="X52" t="s">
        <v>209</v>
      </c>
      <c r="Y52" t="s">
        <v>27</v>
      </c>
      <c r="Z52">
        <v>100270</v>
      </c>
      <c r="AA52" t="s">
        <v>212</v>
      </c>
      <c r="AB52" t="s">
        <v>251</v>
      </c>
      <c r="AC52" s="9">
        <f>COUNTIF(J:J,J52)</f>
        <v>1</v>
      </c>
      <c r="AD52" s="9" t="str">
        <f t="shared" si="13"/>
        <v>Ok</v>
      </c>
      <c r="AE52" s="11">
        <f t="shared" ref="AE52:AE55" si="15">R52-S52</f>
        <v>0</v>
      </c>
    </row>
    <row r="53" spans="1:31" x14ac:dyDescent="0.3">
      <c r="A53">
        <v>129</v>
      </c>
      <c r="B53">
        <v>4430132</v>
      </c>
      <c r="C53" t="s">
        <v>91</v>
      </c>
      <c r="D53">
        <v>1830445</v>
      </c>
      <c r="E53" t="s">
        <v>64</v>
      </c>
      <c r="F53" t="s">
        <v>19</v>
      </c>
      <c r="G53" t="s">
        <v>463</v>
      </c>
      <c r="H53" t="s">
        <v>464</v>
      </c>
      <c r="I53" s="9" t="s">
        <v>732</v>
      </c>
      <c r="J53" s="9">
        <v>51161321275</v>
      </c>
      <c r="K53" s="14" t="s">
        <v>697</v>
      </c>
      <c r="L53" s="13" t="s">
        <v>891</v>
      </c>
      <c r="M53" s="14">
        <v>3</v>
      </c>
      <c r="N53" s="14">
        <v>1142.46</v>
      </c>
      <c r="O53" s="10">
        <f t="shared" si="11"/>
        <v>3427.38</v>
      </c>
      <c r="P53" s="11">
        <v>0</v>
      </c>
      <c r="Q53" s="11">
        <v>0</v>
      </c>
      <c r="R53" s="10">
        <f>IF(COUNTIF($J$2:J53,J53)=1,SUMIFS($O:$O,$J:$J,J53)+SUMIFS($P:$P,$J:$J,J53)+SUMIFS($Q:$Q,$J:$J,J53),"")</f>
        <v>3427.38</v>
      </c>
      <c r="S53" s="10">
        <v>3427.38</v>
      </c>
      <c r="T53" s="11" t="str">
        <f>IFERROR(INDEX(AD:AD,MATCH(J53,J:J,0)),"")</f>
        <v>Ok</v>
      </c>
      <c r="U53" s="12">
        <v>45898</v>
      </c>
      <c r="V53" s="10">
        <v>3427.38</v>
      </c>
      <c r="W53" s="10" t="str">
        <f t="shared" si="12"/>
        <v>Not Paid</v>
      </c>
      <c r="X53" t="s">
        <v>204</v>
      </c>
      <c r="Y53" t="s">
        <v>27</v>
      </c>
      <c r="Z53">
        <v>100127</v>
      </c>
      <c r="AA53" t="s">
        <v>631</v>
      </c>
      <c r="AB53" t="s">
        <v>252</v>
      </c>
      <c r="AC53" s="9">
        <f>COUNTIF(J:J,J53)</f>
        <v>1</v>
      </c>
      <c r="AD53" s="9" t="str">
        <f t="shared" si="13"/>
        <v>Ok</v>
      </c>
      <c r="AE53" s="11">
        <f t="shared" si="15"/>
        <v>0</v>
      </c>
    </row>
    <row r="54" spans="1:31" x14ac:dyDescent="0.3">
      <c r="A54">
        <v>128</v>
      </c>
      <c r="B54">
        <v>4431881</v>
      </c>
      <c r="C54" t="s">
        <v>91</v>
      </c>
      <c r="D54">
        <v>1262308</v>
      </c>
      <c r="E54" t="s">
        <v>268</v>
      </c>
      <c r="F54" t="s">
        <v>18</v>
      </c>
      <c r="G54" t="s">
        <v>465</v>
      </c>
      <c r="H54" t="s">
        <v>466</v>
      </c>
      <c r="I54" s="9" t="s">
        <v>816</v>
      </c>
      <c r="J54" s="9">
        <v>51161512381</v>
      </c>
      <c r="K54" s="14" t="s">
        <v>888</v>
      </c>
      <c r="L54" s="13" t="s">
        <v>895</v>
      </c>
      <c r="M54" s="14">
        <v>200</v>
      </c>
      <c r="N54" s="14">
        <v>24.36</v>
      </c>
      <c r="O54" s="10">
        <f t="shared" si="11"/>
        <v>4872</v>
      </c>
      <c r="P54" s="11">
        <v>0</v>
      </c>
      <c r="Q54" s="11">
        <v>0</v>
      </c>
      <c r="R54" s="10">
        <f>IF(COUNTIF($J$2:J54,J54)=1,SUMIFS($O:$O,$J:$J,J54)+SUMIFS($P:$P,$J:$J,J54)+SUMIFS($Q:$Q,$J:$J,J54),"")</f>
        <v>4872</v>
      </c>
      <c r="S54" s="10">
        <v>4872</v>
      </c>
      <c r="T54" s="11" t="str">
        <f>IFERROR(INDEX(AD:AD,MATCH(J54,J:J,0)),"")</f>
        <v>Ok</v>
      </c>
      <c r="U54" s="12">
        <v>45960</v>
      </c>
      <c r="V54" s="10">
        <v>632</v>
      </c>
      <c r="W54" s="10" t="str">
        <f t="shared" si="12"/>
        <v>Short Paid</v>
      </c>
      <c r="X54" t="s">
        <v>207</v>
      </c>
      <c r="Y54" t="s">
        <v>27</v>
      </c>
      <c r="Z54">
        <v>100204</v>
      </c>
      <c r="AA54" t="s">
        <v>240</v>
      </c>
      <c r="AB54" t="s">
        <v>251</v>
      </c>
      <c r="AC54" s="9">
        <f>COUNTIF(J:J,J54)</f>
        <v>1</v>
      </c>
      <c r="AD54" s="9" t="str">
        <f t="shared" si="13"/>
        <v>Ok</v>
      </c>
      <c r="AE54" s="11">
        <f t="shared" si="15"/>
        <v>0</v>
      </c>
    </row>
    <row r="55" spans="1:31" x14ac:dyDescent="0.3">
      <c r="A55">
        <v>127</v>
      </c>
      <c r="B55">
        <v>4433001</v>
      </c>
      <c r="C55" t="s">
        <v>91</v>
      </c>
      <c r="D55">
        <v>1139721</v>
      </c>
      <c r="E55" t="s">
        <v>259</v>
      </c>
      <c r="F55" t="s">
        <v>18</v>
      </c>
      <c r="G55" t="s">
        <v>467</v>
      </c>
      <c r="H55" t="s">
        <v>468</v>
      </c>
      <c r="I55" s="9" t="s">
        <v>694</v>
      </c>
      <c r="J55" s="9">
        <v>51163795035</v>
      </c>
      <c r="K55" s="14" t="s">
        <v>660</v>
      </c>
      <c r="L55" s="13" t="s">
        <v>743</v>
      </c>
      <c r="M55" s="14">
        <v>50</v>
      </c>
      <c r="N55" s="14">
        <v>156.86000000000001</v>
      </c>
      <c r="O55" s="10">
        <f t="shared" si="11"/>
        <v>7843.0000000000009</v>
      </c>
      <c r="P55" s="11">
        <v>0</v>
      </c>
      <c r="Q55" s="11">
        <v>0</v>
      </c>
      <c r="R55" s="10">
        <f>IF(COUNTIF($J$2:J55,J55)=1,SUMIFS($O:$O,$J:$J,J55)+SUMIFS($P:$P,$J:$J,J55)+SUMIFS($Q:$Q,$J:$J,J55),"")</f>
        <v>7843.0000000000009</v>
      </c>
      <c r="S55" s="10">
        <v>7843</v>
      </c>
      <c r="T55" s="11" t="str">
        <f>IFERROR(INDEX(AD:AD,MATCH(J55,J:J,0)),"")</f>
        <v>Ok</v>
      </c>
      <c r="U55" s="12">
        <v>45962</v>
      </c>
      <c r="V55" s="10">
        <v>170.17</v>
      </c>
      <c r="W55" s="10" t="str">
        <f t="shared" si="12"/>
        <v>Short Paid</v>
      </c>
      <c r="X55" t="s">
        <v>209</v>
      </c>
      <c r="Y55" t="s">
        <v>27</v>
      </c>
      <c r="Z55">
        <v>100120</v>
      </c>
      <c r="AA55" t="s">
        <v>211</v>
      </c>
      <c r="AB55" t="s">
        <v>251</v>
      </c>
      <c r="AC55" s="9">
        <f>COUNTIF(J:J,J55)</f>
        <v>1</v>
      </c>
      <c r="AD55" s="9" t="str">
        <f t="shared" si="13"/>
        <v>Ok</v>
      </c>
      <c r="AE55" s="11">
        <f t="shared" si="15"/>
        <v>0</v>
      </c>
    </row>
    <row r="56" spans="1:31" x14ac:dyDescent="0.3">
      <c r="A56">
        <v>126</v>
      </c>
      <c r="B56">
        <v>4432781</v>
      </c>
      <c r="C56" t="s">
        <v>91</v>
      </c>
      <c r="D56">
        <v>1443616</v>
      </c>
      <c r="E56" t="s">
        <v>113</v>
      </c>
      <c r="F56" t="s">
        <v>20</v>
      </c>
      <c r="G56" t="s">
        <v>469</v>
      </c>
      <c r="H56" t="s">
        <v>470</v>
      </c>
      <c r="I56" s="9" t="s">
        <v>807</v>
      </c>
      <c r="J56" s="9">
        <v>51152435099</v>
      </c>
      <c r="K56" s="14" t="s">
        <v>657</v>
      </c>
      <c r="L56" s="13" t="s">
        <v>729</v>
      </c>
      <c r="M56" s="14">
        <v>6000</v>
      </c>
      <c r="N56" s="14">
        <v>4.5809999999999997E-2</v>
      </c>
      <c r="O56" s="10">
        <f t="shared" si="11"/>
        <v>274.85999999999996</v>
      </c>
      <c r="P56" s="11">
        <v>0</v>
      </c>
      <c r="Q56" s="11">
        <v>0</v>
      </c>
      <c r="R56" s="10">
        <f>IF(COUNTIF($J$2:J56,J56)=1,SUMIFS($O:$O,$J:$J,J56)+SUMIFS($P:$P,$J:$J,J56)+SUMIFS($Q:$Q,$J:$J,J56),"")</f>
        <v>274.85999999999996</v>
      </c>
      <c r="S56" s="10">
        <v>274.86</v>
      </c>
      <c r="T56" s="11" t="str">
        <f>IFERROR(INDEX(AD:AD,MATCH(J56,J:J,0)),"")</f>
        <v>Ok</v>
      </c>
      <c r="U56" s="12">
        <v>46035</v>
      </c>
      <c r="V56" s="10">
        <v>274.86</v>
      </c>
      <c r="W56" s="10" t="str">
        <f t="shared" si="12"/>
        <v>Not Paid</v>
      </c>
      <c r="X56" t="s">
        <v>197</v>
      </c>
      <c r="Y56" t="s">
        <v>27</v>
      </c>
      <c r="Z56">
        <v>100121</v>
      </c>
      <c r="AA56" t="s">
        <v>613</v>
      </c>
      <c r="AB56" t="s">
        <v>249</v>
      </c>
      <c r="AC56" s="9">
        <f>COUNTIF(J:J,J56)</f>
        <v>1</v>
      </c>
      <c r="AD56" s="9" t="str">
        <f t="shared" si="13"/>
        <v>Ok</v>
      </c>
      <c r="AE56" s="11">
        <f t="shared" ref="AE56:AE67" si="16">R56-S56</f>
        <v>0</v>
      </c>
    </row>
    <row r="57" spans="1:31" x14ac:dyDescent="0.3">
      <c r="A57">
        <v>125</v>
      </c>
      <c r="B57">
        <v>4433011</v>
      </c>
      <c r="C57" t="s">
        <v>91</v>
      </c>
      <c r="D57">
        <v>1469829</v>
      </c>
      <c r="E57" t="s">
        <v>101</v>
      </c>
      <c r="F57" t="s">
        <v>20</v>
      </c>
      <c r="G57" t="s">
        <v>471</v>
      </c>
      <c r="H57" t="s">
        <v>472</v>
      </c>
      <c r="I57" s="9" t="s">
        <v>713</v>
      </c>
      <c r="J57" s="9">
        <v>51164218757</v>
      </c>
      <c r="K57" s="14" t="s">
        <v>665</v>
      </c>
      <c r="L57" s="13" t="s">
        <v>930</v>
      </c>
      <c r="M57" s="14">
        <v>4000</v>
      </c>
      <c r="N57" s="14">
        <v>3.7999999999999999E-2</v>
      </c>
      <c r="O57" s="10">
        <f t="shared" ref="O57:O77" si="17">M57*N57</f>
        <v>152</v>
      </c>
      <c r="P57" s="11">
        <v>0</v>
      </c>
      <c r="Q57" s="11">
        <v>0</v>
      </c>
      <c r="R57" s="10">
        <f>IF(COUNTIF($J$2:J57,J57)=1,SUMIFS($O:$O,$J:$J,J57)+SUMIFS($P:$P,$J:$J,J57)+SUMIFS($Q:$Q,$J:$J,J57),"")</f>
        <v>152</v>
      </c>
      <c r="S57" s="10">
        <v>152</v>
      </c>
      <c r="T57" s="11" t="str">
        <f>IFERROR(INDEX(AD:AD,MATCH(J57,J:J,0)),"")</f>
        <v>Ok</v>
      </c>
      <c r="U57" s="12">
        <v>46008</v>
      </c>
      <c r="V57" s="10">
        <v>128</v>
      </c>
      <c r="W57" s="10" t="str">
        <f t="shared" ref="W57:W77" si="18">IF(OR(S57="",V57=""),"N/A",IF(S57&lt;&gt;V57,"Short Paid","Not Paid"))</f>
        <v>Short Paid</v>
      </c>
      <c r="X57" t="s">
        <v>217</v>
      </c>
      <c r="Y57" t="s">
        <v>27</v>
      </c>
      <c r="Z57">
        <v>100288</v>
      </c>
      <c r="AA57" t="s">
        <v>218</v>
      </c>
      <c r="AB57" t="s">
        <v>249</v>
      </c>
      <c r="AC57" s="9">
        <f>COUNTIF(J:J,J57)</f>
        <v>1</v>
      </c>
      <c r="AD57" s="9" t="str">
        <f t="shared" ref="AD57:AD77" si="19">IF(AND(R57="",S57=""),"N/A",IF(R57=S57,"Ok","Check"))</f>
        <v>Ok</v>
      </c>
      <c r="AE57" s="11">
        <f t="shared" si="16"/>
        <v>0</v>
      </c>
    </row>
    <row r="58" spans="1:31" x14ac:dyDescent="0.3">
      <c r="A58">
        <v>121</v>
      </c>
      <c r="B58">
        <v>4433491</v>
      </c>
      <c r="C58" t="s">
        <v>91</v>
      </c>
      <c r="D58">
        <v>1262308</v>
      </c>
      <c r="E58" t="s">
        <v>268</v>
      </c>
      <c r="F58" t="s">
        <v>20</v>
      </c>
      <c r="G58" t="s">
        <v>473</v>
      </c>
      <c r="H58" t="s">
        <v>474</v>
      </c>
      <c r="I58" s="9" t="s">
        <v>670</v>
      </c>
      <c r="J58" s="9">
        <v>50117997711</v>
      </c>
      <c r="K58" s="14" t="s">
        <v>740</v>
      </c>
      <c r="L58" s="13" t="s">
        <v>739</v>
      </c>
      <c r="M58" s="14">
        <v>6000</v>
      </c>
      <c r="N58" s="14">
        <v>3.34</v>
      </c>
      <c r="O58" s="10">
        <f t="shared" si="17"/>
        <v>20040</v>
      </c>
      <c r="P58" s="11">
        <v>0</v>
      </c>
      <c r="Q58" s="11">
        <v>10480.92</v>
      </c>
      <c r="R58" s="10">
        <f>IF(COUNTIF($J$2:J58,J58)=1,SUMIFS($O:$O,$J:$J,J58)+SUMIFS($P:$P,$J:$J,J58)+SUMIFS($Q:$Q,$J:$J,J58),"")</f>
        <v>30520.92</v>
      </c>
      <c r="S58" s="10">
        <v>30520.92</v>
      </c>
      <c r="T58" s="11" t="str">
        <f>IFERROR(INDEX(AD:AD,MATCH(J58,J:J,0)),"")</f>
        <v>Ok</v>
      </c>
      <c r="U58" s="12">
        <v>45975</v>
      </c>
      <c r="V58" s="10">
        <v>10480.92</v>
      </c>
      <c r="W58" s="10" t="str">
        <f t="shared" si="18"/>
        <v>Short Paid</v>
      </c>
      <c r="X58" t="s">
        <v>207</v>
      </c>
      <c r="Y58" t="s">
        <v>27</v>
      </c>
      <c r="Z58">
        <v>100204</v>
      </c>
      <c r="AA58" t="s">
        <v>240</v>
      </c>
      <c r="AB58" t="s">
        <v>249</v>
      </c>
      <c r="AC58" s="9">
        <f>COUNTIF(J:J,J58)</f>
        <v>1</v>
      </c>
      <c r="AD58" s="9" t="str">
        <f t="shared" si="19"/>
        <v>Ok</v>
      </c>
      <c r="AE58" s="11">
        <f t="shared" si="16"/>
        <v>0</v>
      </c>
    </row>
    <row r="59" spans="1:31" x14ac:dyDescent="0.3">
      <c r="A59">
        <v>121</v>
      </c>
      <c r="B59">
        <v>4433501</v>
      </c>
      <c r="C59" t="s">
        <v>91</v>
      </c>
      <c r="D59">
        <v>1507694</v>
      </c>
      <c r="E59" t="s">
        <v>165</v>
      </c>
      <c r="F59" t="s">
        <v>18</v>
      </c>
      <c r="G59" t="s">
        <v>475</v>
      </c>
      <c r="H59" t="s">
        <v>476</v>
      </c>
      <c r="I59" s="9" t="s">
        <v>714</v>
      </c>
      <c r="J59" s="9">
        <v>50117997710</v>
      </c>
      <c r="K59" s="14" t="s">
        <v>687</v>
      </c>
      <c r="L59" s="13" t="s">
        <v>738</v>
      </c>
      <c r="M59" s="14">
        <v>30000</v>
      </c>
      <c r="N59" s="14">
        <v>1.2800000000000001E-2</v>
      </c>
      <c r="O59" s="10">
        <f t="shared" si="17"/>
        <v>384</v>
      </c>
      <c r="P59" s="11">
        <v>0</v>
      </c>
      <c r="Q59" s="11">
        <v>54.91</v>
      </c>
      <c r="R59" s="10">
        <f>IF(COUNTIF($J$2:J59,J59)=1,SUMIFS($O:$O,$J:$J,J59)+SUMIFS($P:$P,$J:$J,J59)+SUMIFS($Q:$Q,$J:$J,J59),"")</f>
        <v>438.90999999999997</v>
      </c>
      <c r="S59" s="10">
        <v>438.91</v>
      </c>
      <c r="T59" s="11" t="str">
        <f>IFERROR(INDEX(AD:AD,MATCH(J59,J:J,0)),"")</f>
        <v>Ok</v>
      </c>
      <c r="U59" s="12">
        <v>46048</v>
      </c>
      <c r="V59" s="10">
        <v>400.51</v>
      </c>
      <c r="W59" s="10" t="str">
        <f t="shared" si="18"/>
        <v>Short Paid</v>
      </c>
      <c r="X59" t="s">
        <v>200</v>
      </c>
      <c r="Y59" t="s">
        <v>27</v>
      </c>
      <c r="Z59">
        <v>100233</v>
      </c>
      <c r="AA59" t="s">
        <v>202</v>
      </c>
      <c r="AB59" t="s">
        <v>251</v>
      </c>
      <c r="AC59" s="9">
        <f>COUNTIF(J:J,J59)</f>
        <v>1</v>
      </c>
      <c r="AD59" s="9" t="str">
        <f t="shared" si="19"/>
        <v>Ok</v>
      </c>
      <c r="AE59" s="11">
        <f t="shared" si="16"/>
        <v>0</v>
      </c>
    </row>
    <row r="60" spans="1:31" x14ac:dyDescent="0.3">
      <c r="A60">
        <v>120</v>
      </c>
      <c r="B60">
        <v>4433201</v>
      </c>
      <c r="C60" t="s">
        <v>91</v>
      </c>
      <c r="D60">
        <v>1262308</v>
      </c>
      <c r="E60" t="s">
        <v>268</v>
      </c>
      <c r="F60" t="s">
        <v>20</v>
      </c>
      <c r="G60" t="s">
        <v>479</v>
      </c>
      <c r="H60" t="s">
        <v>480</v>
      </c>
      <c r="I60" s="9" t="s">
        <v>841</v>
      </c>
      <c r="J60" s="9">
        <v>51163610674</v>
      </c>
      <c r="K60" s="14" t="s">
        <v>740</v>
      </c>
      <c r="L60" s="13" t="s">
        <v>924</v>
      </c>
      <c r="M60" s="14">
        <v>4000</v>
      </c>
      <c r="N60" s="14">
        <v>0.14729999999999999</v>
      </c>
      <c r="O60" s="10">
        <f t="shared" si="17"/>
        <v>589.19999999999993</v>
      </c>
      <c r="P60" s="11">
        <v>0</v>
      </c>
      <c r="Q60" s="11">
        <v>111.95</v>
      </c>
      <c r="R60" s="10">
        <f>IF(COUNTIF($J$2:J60,J60)=1,SUMIFS($O:$O,$J:$J,J60)+SUMIFS($P:$P,$J:$J,J60)+SUMIFS($Q:$Q,$J:$J,J60),"")</f>
        <v>701.15</v>
      </c>
      <c r="S60" s="10">
        <v>701.15</v>
      </c>
      <c r="T60" s="11" t="str">
        <f>IFERROR(INDEX(AD:AD,MATCH(J60,J:J,0)),"")</f>
        <v>Ok</v>
      </c>
      <c r="U60" s="12">
        <v>45946</v>
      </c>
      <c r="V60" s="10">
        <v>701.15</v>
      </c>
      <c r="W60" s="10" t="str">
        <f t="shared" si="18"/>
        <v>Not Paid</v>
      </c>
      <c r="X60" t="s">
        <v>207</v>
      </c>
      <c r="Y60" t="s">
        <v>27</v>
      </c>
      <c r="Z60">
        <v>100154</v>
      </c>
      <c r="AA60" t="s">
        <v>224</v>
      </c>
      <c r="AB60" t="s">
        <v>249</v>
      </c>
      <c r="AC60" s="9">
        <f>COUNTIF(J:J,J60)</f>
        <v>1</v>
      </c>
      <c r="AD60" s="9" t="str">
        <f t="shared" si="19"/>
        <v>Ok</v>
      </c>
      <c r="AE60" s="11">
        <f t="shared" si="16"/>
        <v>0</v>
      </c>
    </row>
    <row r="61" spans="1:31" x14ac:dyDescent="0.3">
      <c r="A61">
        <v>120</v>
      </c>
      <c r="B61">
        <v>4434151</v>
      </c>
      <c r="C61" t="s">
        <v>91</v>
      </c>
      <c r="D61">
        <v>1648570</v>
      </c>
      <c r="E61" t="s">
        <v>99</v>
      </c>
      <c r="F61" t="s">
        <v>18</v>
      </c>
      <c r="G61" t="s">
        <v>481</v>
      </c>
      <c r="H61" t="s">
        <v>482</v>
      </c>
      <c r="I61" s="9" t="s">
        <v>746</v>
      </c>
      <c r="J61" s="9">
        <v>50118053582</v>
      </c>
      <c r="K61" s="14" t="s">
        <v>657</v>
      </c>
      <c r="L61" s="13" t="s">
        <v>747</v>
      </c>
      <c r="M61" s="14">
        <v>75000</v>
      </c>
      <c r="N61" s="14">
        <v>1.2189999999999999E-2</v>
      </c>
      <c r="O61" s="10">
        <f t="shared" si="17"/>
        <v>914.25</v>
      </c>
      <c r="P61" s="11">
        <v>0</v>
      </c>
      <c r="Q61" s="11">
        <v>0</v>
      </c>
      <c r="R61" s="10">
        <f>IF(COUNTIF($J$2:J61,J61)=1,SUMIFS($O:$O,$J:$J,J61)+SUMIFS($P:$P,$J:$J,J61)+SUMIFS($Q:$Q,$J:$J,J61),"")</f>
        <v>914.25</v>
      </c>
      <c r="S61" s="10">
        <v>914.25</v>
      </c>
      <c r="T61" s="11" t="str">
        <f>IFERROR(INDEX(AD:AD,MATCH(J61,J:J,0)),"")</f>
        <v>Ok</v>
      </c>
      <c r="U61" s="12">
        <v>45965</v>
      </c>
      <c r="V61" s="10">
        <v>291.75</v>
      </c>
      <c r="W61" s="10" t="str">
        <f t="shared" si="18"/>
        <v>Short Paid</v>
      </c>
      <c r="X61" t="s">
        <v>207</v>
      </c>
      <c r="Y61" t="s">
        <v>27</v>
      </c>
      <c r="Z61">
        <v>100194</v>
      </c>
      <c r="AA61" t="s">
        <v>231</v>
      </c>
      <c r="AB61" t="s">
        <v>251</v>
      </c>
      <c r="AC61" s="9">
        <f>COUNTIF(J:J,J61)</f>
        <v>1</v>
      </c>
      <c r="AD61" s="9" t="str">
        <f t="shared" si="19"/>
        <v>Ok</v>
      </c>
      <c r="AE61" s="11">
        <f t="shared" si="16"/>
        <v>0</v>
      </c>
    </row>
    <row r="62" spans="1:31" x14ac:dyDescent="0.3">
      <c r="A62">
        <v>120</v>
      </c>
      <c r="B62">
        <v>4435021</v>
      </c>
      <c r="C62" t="s">
        <v>91</v>
      </c>
      <c r="D62">
        <v>1560151</v>
      </c>
      <c r="E62" t="s">
        <v>104</v>
      </c>
      <c r="F62" t="s">
        <v>20</v>
      </c>
      <c r="G62" t="s">
        <v>483</v>
      </c>
      <c r="H62" t="s">
        <v>484</v>
      </c>
      <c r="I62" s="9" t="s">
        <v>784</v>
      </c>
      <c r="J62" s="9">
        <v>51161853070</v>
      </c>
      <c r="K62" s="14" t="s">
        <v>902</v>
      </c>
      <c r="L62" s="13" t="s">
        <v>901</v>
      </c>
      <c r="M62" s="14">
        <v>1</v>
      </c>
      <c r="N62" s="14">
        <v>4400</v>
      </c>
      <c r="O62" s="10">
        <f t="shared" si="17"/>
        <v>4400</v>
      </c>
      <c r="P62" s="11">
        <v>0</v>
      </c>
      <c r="Q62" s="11">
        <v>0</v>
      </c>
      <c r="R62" s="10">
        <f>IF(COUNTIF($J$2:J62,J62)=1,SUMIFS($O:$O,$J:$J,J62)+SUMIFS($P:$P,$J:$J,J62)+SUMIFS($Q:$Q,$J:$J,J62),"")</f>
        <v>4400</v>
      </c>
      <c r="S62" s="10">
        <v>4400</v>
      </c>
      <c r="T62" s="11" t="str">
        <f>IFERROR(INDEX(AD:AD,MATCH(J62,J:J,0)),"")</f>
        <v>Ok</v>
      </c>
      <c r="U62" s="12">
        <v>45717</v>
      </c>
      <c r="V62" s="10">
        <v>4400</v>
      </c>
      <c r="W62" s="10" t="str">
        <f t="shared" si="18"/>
        <v>Not Paid</v>
      </c>
      <c r="X62" t="s">
        <v>223</v>
      </c>
      <c r="Y62" t="s">
        <v>27</v>
      </c>
      <c r="Z62">
        <v>100232</v>
      </c>
      <c r="AA62" t="s">
        <v>638</v>
      </c>
      <c r="AB62" t="s">
        <v>249</v>
      </c>
      <c r="AC62" s="9">
        <f>COUNTIF(J:J,J62)</f>
        <v>1</v>
      </c>
      <c r="AD62" s="9" t="str">
        <f t="shared" si="19"/>
        <v>Ok</v>
      </c>
      <c r="AE62" s="11">
        <f t="shared" si="16"/>
        <v>0</v>
      </c>
    </row>
    <row r="63" spans="1:31" x14ac:dyDescent="0.3">
      <c r="A63">
        <v>120</v>
      </c>
      <c r="B63">
        <v>4435331</v>
      </c>
      <c r="C63" t="s">
        <v>91</v>
      </c>
      <c r="D63">
        <v>1560151</v>
      </c>
      <c r="E63" t="s">
        <v>104</v>
      </c>
      <c r="F63" t="s">
        <v>20</v>
      </c>
      <c r="G63" t="s">
        <v>485</v>
      </c>
      <c r="H63" t="s">
        <v>486</v>
      </c>
      <c r="I63" s="9" t="s">
        <v>849</v>
      </c>
      <c r="J63" s="9">
        <v>51163082358</v>
      </c>
      <c r="K63" s="14" t="s">
        <v>902</v>
      </c>
      <c r="L63" s="13" t="s">
        <v>915</v>
      </c>
      <c r="M63" s="14">
        <v>1</v>
      </c>
      <c r="N63" s="14">
        <v>350</v>
      </c>
      <c r="O63" s="10">
        <f t="shared" si="17"/>
        <v>350</v>
      </c>
      <c r="P63" s="11">
        <v>0</v>
      </c>
      <c r="Q63" s="11">
        <v>0</v>
      </c>
      <c r="R63" s="10">
        <f>IF(COUNTIF($J$2:J63,J63)=1,SUMIFS($O:$O,$J:$J,J63)+SUMIFS($P:$P,$J:$J,J63)+SUMIFS($Q:$Q,$J:$J,J63),"")</f>
        <v>350</v>
      </c>
      <c r="S63" s="10">
        <v>350</v>
      </c>
      <c r="T63" s="11" t="str">
        <f>IFERROR(INDEX(AD:AD,MATCH(J63,J:J,0)),"")</f>
        <v>Ok</v>
      </c>
      <c r="U63" s="12">
        <v>45805</v>
      </c>
      <c r="V63" s="10">
        <v>350</v>
      </c>
      <c r="W63" s="10" t="str">
        <f t="shared" si="18"/>
        <v>Not Paid</v>
      </c>
      <c r="X63" t="s">
        <v>223</v>
      </c>
      <c r="Y63" t="s">
        <v>27</v>
      </c>
      <c r="Z63">
        <v>100272</v>
      </c>
      <c r="AA63" t="s">
        <v>628</v>
      </c>
      <c r="AB63" t="s">
        <v>249</v>
      </c>
      <c r="AC63" s="9">
        <f>COUNTIF(J:J,J63)</f>
        <v>1</v>
      </c>
      <c r="AD63" s="9" t="str">
        <f t="shared" si="19"/>
        <v>Ok</v>
      </c>
      <c r="AE63" s="11">
        <f t="shared" si="16"/>
        <v>0</v>
      </c>
    </row>
    <row r="64" spans="1:31" x14ac:dyDescent="0.3">
      <c r="A64">
        <v>119</v>
      </c>
      <c r="B64">
        <v>4436311</v>
      </c>
      <c r="C64" t="s">
        <v>91</v>
      </c>
      <c r="D64">
        <v>1469829</v>
      </c>
      <c r="E64" t="s">
        <v>101</v>
      </c>
      <c r="F64" t="s">
        <v>20</v>
      </c>
      <c r="G64" t="s">
        <v>487</v>
      </c>
      <c r="H64" t="s">
        <v>488</v>
      </c>
      <c r="I64" s="9" t="s">
        <v>691</v>
      </c>
      <c r="J64" s="9">
        <v>51164563045</v>
      </c>
      <c r="K64" s="14" t="s">
        <v>687</v>
      </c>
      <c r="L64" s="13" t="s">
        <v>931</v>
      </c>
      <c r="M64" s="14">
        <v>500</v>
      </c>
      <c r="N64" s="14">
        <v>2.15</v>
      </c>
      <c r="O64" s="10">
        <f t="shared" si="17"/>
        <v>1075</v>
      </c>
      <c r="P64" s="11">
        <v>0</v>
      </c>
      <c r="Q64" s="11">
        <v>255.85</v>
      </c>
      <c r="R64" s="10">
        <f>IF(COUNTIF($J$2:J64,J64)=1,SUMIFS($O:$O,$J:$J,J64)+SUMIFS($P:$P,$J:$J,J64)+SUMIFS($Q:$Q,$J:$J,J64),"")</f>
        <v>1330.85</v>
      </c>
      <c r="S64" s="10">
        <v>1330.85</v>
      </c>
      <c r="T64" s="11" t="str">
        <f>IFERROR(INDEX(AD:AD,MATCH(J64,J:J,0)),"")</f>
        <v>Ok</v>
      </c>
      <c r="U64" s="12">
        <v>45995</v>
      </c>
      <c r="V64" s="10">
        <v>1075</v>
      </c>
      <c r="W64" s="10" t="str">
        <f t="shared" si="18"/>
        <v>Short Paid</v>
      </c>
      <c r="X64" t="s">
        <v>217</v>
      </c>
      <c r="Y64" t="s">
        <v>27</v>
      </c>
      <c r="Z64">
        <v>100128</v>
      </c>
      <c r="AA64" t="s">
        <v>244</v>
      </c>
      <c r="AB64" t="s">
        <v>249</v>
      </c>
      <c r="AC64" s="9">
        <f>COUNTIF(J:J,J64)</f>
        <v>1</v>
      </c>
      <c r="AD64" s="9" t="str">
        <f t="shared" si="19"/>
        <v>Ok</v>
      </c>
      <c r="AE64" s="11">
        <f t="shared" si="16"/>
        <v>0</v>
      </c>
    </row>
    <row r="65" spans="1:31" x14ac:dyDescent="0.3">
      <c r="A65">
        <v>119</v>
      </c>
      <c r="B65">
        <v>4437051</v>
      </c>
      <c r="C65" t="s">
        <v>91</v>
      </c>
      <c r="D65">
        <v>1963277</v>
      </c>
      <c r="E65" t="s">
        <v>107</v>
      </c>
      <c r="F65" t="s">
        <v>18</v>
      </c>
      <c r="G65" t="s">
        <v>489</v>
      </c>
      <c r="H65" t="s">
        <v>490</v>
      </c>
      <c r="I65" s="9" t="s">
        <v>799</v>
      </c>
      <c r="J65" s="9">
        <v>51162262591</v>
      </c>
      <c r="K65" s="14" t="s">
        <v>752</v>
      </c>
      <c r="L65" s="13" t="s">
        <v>751</v>
      </c>
      <c r="M65" s="14">
        <v>50</v>
      </c>
      <c r="N65" s="14">
        <v>44.44</v>
      </c>
      <c r="O65" s="10">
        <f t="shared" si="17"/>
        <v>2222</v>
      </c>
      <c r="P65" s="11">
        <v>0</v>
      </c>
      <c r="Q65" s="11">
        <v>0</v>
      </c>
      <c r="R65" s="10">
        <f>IF(COUNTIF($J$2:J65,J65)=1,SUMIFS($O:$O,$J:$J,J65)+SUMIFS($P:$P,$J:$J,J65)+SUMIFS($Q:$Q,$J:$J,J65),"")</f>
        <v>2222</v>
      </c>
      <c r="S65" s="10">
        <v>2222</v>
      </c>
      <c r="T65" s="11" t="str">
        <f>IFERROR(INDEX(AD:AD,MATCH(J65,J:J,0)),"")</f>
        <v>Ok</v>
      </c>
      <c r="U65" s="12">
        <v>45971</v>
      </c>
      <c r="V65" s="10">
        <v>394.29</v>
      </c>
      <c r="W65" s="10" t="str">
        <f t="shared" si="18"/>
        <v>Short Paid</v>
      </c>
      <c r="X65" t="s">
        <v>220</v>
      </c>
      <c r="Y65" t="s">
        <v>27</v>
      </c>
      <c r="Z65">
        <v>100209</v>
      </c>
      <c r="AA65" t="s">
        <v>227</v>
      </c>
      <c r="AB65" t="s">
        <v>251</v>
      </c>
      <c r="AC65" s="9">
        <f>COUNTIF(J:J,J65)</f>
        <v>1</v>
      </c>
      <c r="AD65" s="9" t="str">
        <f t="shared" si="19"/>
        <v>Ok</v>
      </c>
      <c r="AE65" s="11">
        <f t="shared" si="16"/>
        <v>0</v>
      </c>
    </row>
    <row r="66" spans="1:31" x14ac:dyDescent="0.3">
      <c r="A66">
        <v>119</v>
      </c>
      <c r="B66">
        <v>4437041</v>
      </c>
      <c r="C66" t="s">
        <v>91</v>
      </c>
      <c r="D66">
        <v>1963277</v>
      </c>
      <c r="E66" t="s">
        <v>107</v>
      </c>
      <c r="F66" t="s">
        <v>18</v>
      </c>
      <c r="G66" t="s">
        <v>491</v>
      </c>
      <c r="H66" t="s">
        <v>492</v>
      </c>
      <c r="I66" s="9" t="s">
        <v>693</v>
      </c>
      <c r="J66" s="9">
        <v>51162276020</v>
      </c>
      <c r="K66" s="14" t="s">
        <v>752</v>
      </c>
      <c r="L66" s="13" t="s">
        <v>751</v>
      </c>
      <c r="M66" s="14">
        <v>50</v>
      </c>
      <c r="N66" s="14">
        <v>44.44</v>
      </c>
      <c r="O66" s="10">
        <f t="shared" si="17"/>
        <v>2222</v>
      </c>
      <c r="P66" s="11">
        <v>0</v>
      </c>
      <c r="Q66" s="11">
        <v>0</v>
      </c>
      <c r="R66" s="10">
        <f>IF(COUNTIF($J$2:J66,J66)=1,SUMIFS($O:$O,$J:$J,J66)+SUMIFS($P:$P,$J:$J,J66)+SUMIFS($Q:$Q,$J:$J,J66),"")</f>
        <v>2222</v>
      </c>
      <c r="S66" s="10">
        <v>2222</v>
      </c>
      <c r="T66" s="11" t="str">
        <f>IFERROR(INDEX(AD:AD,MATCH(J66,J:J,0)),"")</f>
        <v>Ok</v>
      </c>
      <c r="U66" s="12">
        <v>45971</v>
      </c>
      <c r="V66" s="10">
        <v>394.29</v>
      </c>
      <c r="W66" s="10" t="str">
        <f t="shared" si="18"/>
        <v>Short Paid</v>
      </c>
      <c r="X66" t="s">
        <v>220</v>
      </c>
      <c r="Y66" t="s">
        <v>27</v>
      </c>
      <c r="Z66">
        <v>100239</v>
      </c>
      <c r="AA66" t="s">
        <v>226</v>
      </c>
      <c r="AB66" t="s">
        <v>251</v>
      </c>
      <c r="AC66" s="9">
        <f>COUNTIF(J:J,J66)</f>
        <v>1</v>
      </c>
      <c r="AD66" s="9" t="str">
        <f t="shared" si="19"/>
        <v>Ok</v>
      </c>
      <c r="AE66" s="11">
        <f t="shared" si="16"/>
        <v>0</v>
      </c>
    </row>
    <row r="67" spans="1:31" x14ac:dyDescent="0.3">
      <c r="A67">
        <v>118</v>
      </c>
      <c r="B67">
        <v>4437031</v>
      </c>
      <c r="C67" t="s">
        <v>91</v>
      </c>
      <c r="D67">
        <v>1470631</v>
      </c>
      <c r="E67" t="s">
        <v>100</v>
      </c>
      <c r="F67" t="s">
        <v>18</v>
      </c>
      <c r="G67" t="s">
        <v>493</v>
      </c>
      <c r="H67" t="s">
        <v>494</v>
      </c>
      <c r="I67" s="9" t="s">
        <v>666</v>
      </c>
      <c r="J67" s="9">
        <v>51162295789</v>
      </c>
      <c r="K67" s="14" t="s">
        <v>845</v>
      </c>
      <c r="L67" s="13" t="s">
        <v>908</v>
      </c>
      <c r="M67" s="14">
        <v>3000</v>
      </c>
      <c r="N67" s="14">
        <v>0.89390000000000003</v>
      </c>
      <c r="O67" s="10">
        <f t="shared" si="17"/>
        <v>2681.7000000000003</v>
      </c>
      <c r="P67" s="11">
        <v>0</v>
      </c>
      <c r="Q67" s="11">
        <v>1783.33</v>
      </c>
      <c r="R67" s="10">
        <f>IF(COUNTIF($J$2:J67,J67)=1,SUMIFS($O:$O,$J:$J,J67)+SUMIFS($P:$P,$J:$J,J67)+SUMIFS($Q:$Q,$J:$J,J67),"")</f>
        <v>4465.0300000000007</v>
      </c>
      <c r="S67" s="10">
        <v>4465.03</v>
      </c>
      <c r="T67" s="11" t="str">
        <f>IFERROR(INDEX(AD:AD,MATCH(J67,J:J,0)),"")</f>
        <v>Ok</v>
      </c>
      <c r="U67" s="12">
        <v>45968</v>
      </c>
      <c r="V67" s="10">
        <v>127.5</v>
      </c>
      <c r="W67" s="10" t="str">
        <f t="shared" si="18"/>
        <v>Short Paid</v>
      </c>
      <c r="X67" t="s">
        <v>204</v>
      </c>
      <c r="Y67" t="s">
        <v>27</v>
      </c>
      <c r="Z67">
        <v>100247</v>
      </c>
      <c r="AA67" t="s">
        <v>206</v>
      </c>
      <c r="AB67" t="s">
        <v>251</v>
      </c>
      <c r="AC67" s="9">
        <f>COUNTIF(J:J,J67)</f>
        <v>1</v>
      </c>
      <c r="AD67" s="9" t="str">
        <f t="shared" si="19"/>
        <v>Ok</v>
      </c>
      <c r="AE67" s="11">
        <f t="shared" si="16"/>
        <v>0</v>
      </c>
    </row>
    <row r="68" spans="1:31" x14ac:dyDescent="0.3">
      <c r="A68">
        <v>114</v>
      </c>
      <c r="B68">
        <v>4435551</v>
      </c>
      <c r="C68" t="s">
        <v>91</v>
      </c>
      <c r="D68">
        <v>1023247</v>
      </c>
      <c r="E68" t="s">
        <v>272</v>
      </c>
      <c r="F68" t="s">
        <v>19</v>
      </c>
      <c r="G68" t="s">
        <v>495</v>
      </c>
      <c r="H68" t="s">
        <v>496</v>
      </c>
      <c r="I68" s="9" t="s">
        <v>814</v>
      </c>
      <c r="J68" s="9">
        <v>51164901197</v>
      </c>
      <c r="K68" s="14" t="s">
        <v>674</v>
      </c>
      <c r="L68" s="13" t="s">
        <v>932</v>
      </c>
      <c r="M68" s="14">
        <v>32</v>
      </c>
      <c r="N68" s="14">
        <v>9.75</v>
      </c>
      <c r="O68" s="10">
        <f t="shared" si="17"/>
        <v>312</v>
      </c>
      <c r="P68" s="11">
        <v>0</v>
      </c>
      <c r="Q68" s="11">
        <v>0</v>
      </c>
      <c r="R68" s="10">
        <f>IF(COUNTIF($J$2:J68,J68)=1,SUMIFS($O:$O,$J:$J,J68)+SUMIFS($P:$P,$J:$J,J68)+SUMIFS($Q:$Q,$J:$J,J68),"")</f>
        <v>312</v>
      </c>
      <c r="S68" s="10">
        <v>312</v>
      </c>
      <c r="T68" s="11" t="str">
        <f>IFERROR(INDEX(AD:AD,MATCH(J68,J:J,0)),"")</f>
        <v>Ok</v>
      </c>
      <c r="U68" s="12">
        <v>46021</v>
      </c>
      <c r="V68" s="10">
        <v>312</v>
      </c>
      <c r="W68" s="10" t="str">
        <f t="shared" si="18"/>
        <v>Not Paid</v>
      </c>
      <c r="X68" t="s">
        <v>197</v>
      </c>
      <c r="Y68" t="s">
        <v>27</v>
      </c>
      <c r="Z68">
        <v>100161</v>
      </c>
      <c r="AA68" t="s">
        <v>620</v>
      </c>
      <c r="AB68" t="s">
        <v>252</v>
      </c>
      <c r="AC68" s="9">
        <f>COUNTIF(J:J,J68)</f>
        <v>1</v>
      </c>
      <c r="AD68" s="9" t="str">
        <f t="shared" si="19"/>
        <v>Ok</v>
      </c>
      <c r="AE68" s="11">
        <f t="shared" ref="AE68:AE73" si="20">R68-S68</f>
        <v>0</v>
      </c>
    </row>
    <row r="69" spans="1:31" x14ac:dyDescent="0.3">
      <c r="A69">
        <v>112</v>
      </c>
      <c r="B69">
        <v>4438481</v>
      </c>
      <c r="C69" t="s">
        <v>91</v>
      </c>
      <c r="D69">
        <v>1469829</v>
      </c>
      <c r="E69" t="s">
        <v>101</v>
      </c>
      <c r="F69" t="s">
        <v>20</v>
      </c>
      <c r="G69" t="s">
        <v>497</v>
      </c>
      <c r="H69" t="s">
        <v>498</v>
      </c>
      <c r="I69" s="9" t="s">
        <v>820</v>
      </c>
      <c r="J69" s="9">
        <v>51162165432</v>
      </c>
      <c r="K69" s="14" t="s">
        <v>687</v>
      </c>
      <c r="L69" s="13" t="s">
        <v>906</v>
      </c>
      <c r="M69" s="14">
        <v>500</v>
      </c>
      <c r="N69" s="14">
        <v>1.62</v>
      </c>
      <c r="O69" s="10">
        <f t="shared" si="17"/>
        <v>810</v>
      </c>
      <c r="P69" s="11">
        <v>0</v>
      </c>
      <c r="Q69" s="11">
        <v>115.83</v>
      </c>
      <c r="R69" s="10">
        <f>IF(COUNTIF($J$2:J69,J69)=1,SUMIFS($O:$O,$J:$J,J69)+SUMIFS($P:$P,$J:$J,J69)+SUMIFS($Q:$Q,$J:$J,J69),"")</f>
        <v>925.83</v>
      </c>
      <c r="S69" s="10">
        <v>925.83</v>
      </c>
      <c r="T69" s="11" t="str">
        <f>IFERROR(INDEX(AD:AD,MATCH(J69,J:J,0)),"")</f>
        <v>Ok</v>
      </c>
      <c r="U69" s="12">
        <v>46008</v>
      </c>
      <c r="V69" s="10">
        <v>810</v>
      </c>
      <c r="W69" s="10" t="str">
        <f t="shared" si="18"/>
        <v>Short Paid</v>
      </c>
      <c r="X69" t="s">
        <v>217</v>
      </c>
      <c r="Y69" t="s">
        <v>27</v>
      </c>
      <c r="Z69">
        <v>100198</v>
      </c>
      <c r="AA69" t="s">
        <v>219</v>
      </c>
      <c r="AB69" t="s">
        <v>249</v>
      </c>
      <c r="AC69" s="9">
        <f>COUNTIF(J:J,J69)</f>
        <v>1</v>
      </c>
      <c r="AD69" s="9" t="str">
        <f t="shared" si="19"/>
        <v>Ok</v>
      </c>
      <c r="AE69" s="11">
        <f t="shared" si="20"/>
        <v>0</v>
      </c>
    </row>
    <row r="70" spans="1:31" x14ac:dyDescent="0.3">
      <c r="A70">
        <v>112</v>
      </c>
      <c r="B70">
        <v>4438491</v>
      </c>
      <c r="C70" t="s">
        <v>91</v>
      </c>
      <c r="D70">
        <v>1443616</v>
      </c>
      <c r="E70" t="s">
        <v>113</v>
      </c>
      <c r="F70" t="s">
        <v>45</v>
      </c>
      <c r="G70" t="s">
        <v>499</v>
      </c>
      <c r="H70" t="s">
        <v>500</v>
      </c>
      <c r="I70" s="9" t="s">
        <v>653</v>
      </c>
      <c r="J70" s="9">
        <v>51162165401</v>
      </c>
      <c r="K70" s="14" t="s">
        <v>875</v>
      </c>
      <c r="L70" s="13" t="s">
        <v>905</v>
      </c>
      <c r="M70" s="14">
        <v>365000</v>
      </c>
      <c r="N70" s="14">
        <v>4.53E-2</v>
      </c>
      <c r="O70" s="10">
        <f t="shared" si="17"/>
        <v>16534.5</v>
      </c>
      <c r="P70" s="11">
        <v>0</v>
      </c>
      <c r="Q70" s="11">
        <v>0</v>
      </c>
      <c r="R70" s="10">
        <f>IF(COUNTIF($J$2:J70,J70)=1,SUMIFS($O:$O,$J:$J,J70)+SUMIFS($P:$P,$J:$J,J70)+SUMIFS($Q:$Q,$J:$J,J70),"")</f>
        <v>16534.5</v>
      </c>
      <c r="S70" s="10">
        <v>16875.28</v>
      </c>
      <c r="T70" s="11" t="str">
        <f>IFERROR(INDEX(AD:AD,MATCH(J70,J:J,0)),"")</f>
        <v>Check</v>
      </c>
      <c r="U70" s="12">
        <v>46049</v>
      </c>
      <c r="V70" s="10">
        <v>16875.28</v>
      </c>
      <c r="W70" s="10" t="str">
        <f t="shared" si="18"/>
        <v>Not Paid</v>
      </c>
      <c r="X70" t="s">
        <v>197</v>
      </c>
      <c r="Y70" t="s">
        <v>198</v>
      </c>
      <c r="Z70">
        <v>100251</v>
      </c>
      <c r="AA70" t="s">
        <v>646</v>
      </c>
      <c r="AB70" t="s">
        <v>607</v>
      </c>
      <c r="AC70" s="9">
        <f>COUNTIF(J:J,J70)</f>
        <v>1</v>
      </c>
      <c r="AD70" s="9" t="str">
        <f t="shared" si="19"/>
        <v>Check</v>
      </c>
      <c r="AE70" s="11">
        <f t="shared" si="20"/>
        <v>-340.77999999999884</v>
      </c>
    </row>
    <row r="71" spans="1:31" x14ac:dyDescent="0.3">
      <c r="A71">
        <v>112</v>
      </c>
      <c r="B71">
        <v>4438451</v>
      </c>
      <c r="C71" t="s">
        <v>91</v>
      </c>
      <c r="D71">
        <v>1443616</v>
      </c>
      <c r="E71" t="s">
        <v>113</v>
      </c>
      <c r="F71" t="s">
        <v>19</v>
      </c>
      <c r="G71" t="s">
        <v>501</v>
      </c>
      <c r="H71" t="s">
        <v>502</v>
      </c>
      <c r="I71" s="9" t="s">
        <v>806</v>
      </c>
      <c r="J71" s="9">
        <v>51161269619</v>
      </c>
      <c r="K71" s="14" t="s">
        <v>875</v>
      </c>
      <c r="L71" s="13" t="s">
        <v>890</v>
      </c>
      <c r="M71" s="14">
        <v>50000</v>
      </c>
      <c r="N71" s="14">
        <v>0.69499999999999995</v>
      </c>
      <c r="O71" s="10">
        <f t="shared" si="17"/>
        <v>34750</v>
      </c>
      <c r="P71" s="11">
        <v>0</v>
      </c>
      <c r="Q71" s="11">
        <v>19807.5</v>
      </c>
      <c r="R71" s="10">
        <f>IF(COUNTIF($J$2:J71,J71)=1,SUMIFS($O:$O,$J:$J,J71)+SUMIFS($P:$P,$J:$J,J71)+SUMIFS($Q:$Q,$J:$J,J71),"")</f>
        <v>54557.5</v>
      </c>
      <c r="S71" s="10">
        <v>54557.5</v>
      </c>
      <c r="T71" s="11" t="str">
        <f>IFERROR(INDEX(AD:AD,MATCH(J71,J:J,0)),"")</f>
        <v>Ok</v>
      </c>
      <c r="U71" s="12">
        <v>46058</v>
      </c>
      <c r="V71" s="10">
        <v>54557.5</v>
      </c>
      <c r="W71" s="10" t="str">
        <f t="shared" si="18"/>
        <v>Not Paid</v>
      </c>
      <c r="X71" t="s">
        <v>197</v>
      </c>
      <c r="Y71" t="s">
        <v>27</v>
      </c>
      <c r="Z71">
        <v>100201</v>
      </c>
      <c r="AA71" t="s">
        <v>618</v>
      </c>
      <c r="AB71" t="s">
        <v>252</v>
      </c>
      <c r="AC71" s="9">
        <f>COUNTIF(J:J,J71)</f>
        <v>1</v>
      </c>
      <c r="AD71" s="9" t="str">
        <f t="shared" si="19"/>
        <v>Ok</v>
      </c>
      <c r="AE71" s="11">
        <f t="shared" si="20"/>
        <v>0</v>
      </c>
    </row>
    <row r="72" spans="1:31" x14ac:dyDescent="0.3">
      <c r="A72">
        <v>112</v>
      </c>
      <c r="B72">
        <v>4438121</v>
      </c>
      <c r="C72" t="s">
        <v>91</v>
      </c>
      <c r="D72">
        <v>1443616</v>
      </c>
      <c r="E72" t="s">
        <v>113</v>
      </c>
      <c r="F72" t="s">
        <v>45</v>
      </c>
      <c r="G72" t="s">
        <v>503</v>
      </c>
      <c r="H72" t="s">
        <v>504</v>
      </c>
      <c r="I72" s="9" t="s">
        <v>689</v>
      </c>
      <c r="J72" s="9">
        <v>51163792498</v>
      </c>
      <c r="K72" s="14" t="s">
        <v>875</v>
      </c>
      <c r="L72" s="13" t="s">
        <v>905</v>
      </c>
      <c r="M72" s="14">
        <v>535000</v>
      </c>
      <c r="N72" s="14">
        <v>4.53E-2</v>
      </c>
      <c r="O72" s="10">
        <f t="shared" si="17"/>
        <v>24235.5</v>
      </c>
      <c r="P72" s="11">
        <v>0</v>
      </c>
      <c r="Q72" s="11">
        <v>0</v>
      </c>
      <c r="R72" s="10">
        <f>IF(COUNTIF($J$2:J72,J72)=1,SUMIFS($O:$O,$J:$J,J72)+SUMIFS($P:$P,$J:$J,J72)+SUMIFS($Q:$Q,$J:$J,J72),"")</f>
        <v>24235.5</v>
      </c>
      <c r="S72" s="10">
        <v>24576.959999999999</v>
      </c>
      <c r="T72" s="11" t="str">
        <f>IFERROR(INDEX(AD:AD,MATCH(J72,J:J,0)),"")</f>
        <v>Check</v>
      </c>
      <c r="U72" s="12">
        <v>46056</v>
      </c>
      <c r="V72" s="10">
        <v>341.46</v>
      </c>
      <c r="W72" s="10" t="str">
        <f t="shared" si="18"/>
        <v>Short Paid</v>
      </c>
      <c r="X72" t="s">
        <v>197</v>
      </c>
      <c r="Y72" t="s">
        <v>198</v>
      </c>
      <c r="Z72">
        <v>100131</v>
      </c>
      <c r="AA72" t="s">
        <v>609</v>
      </c>
      <c r="AB72" t="s">
        <v>607</v>
      </c>
      <c r="AC72" s="9">
        <f>COUNTIF(J:J,J72)</f>
        <v>1</v>
      </c>
      <c r="AD72" s="9" t="str">
        <f t="shared" si="19"/>
        <v>Check</v>
      </c>
      <c r="AE72" s="11">
        <f t="shared" si="20"/>
        <v>-341.45999999999913</v>
      </c>
    </row>
    <row r="73" spans="1:31" x14ac:dyDescent="0.3">
      <c r="A73">
        <v>107</v>
      </c>
      <c r="B73">
        <v>4438421</v>
      </c>
      <c r="C73" t="s">
        <v>91</v>
      </c>
      <c r="D73">
        <v>1360053</v>
      </c>
      <c r="E73" t="s">
        <v>280</v>
      </c>
      <c r="F73" t="s">
        <v>41</v>
      </c>
      <c r="G73" t="s">
        <v>505</v>
      </c>
      <c r="H73" t="s">
        <v>506</v>
      </c>
      <c r="I73" s="9" t="s">
        <v>774</v>
      </c>
      <c r="J73" s="9">
        <v>51161011766</v>
      </c>
      <c r="K73" s="14" t="s">
        <v>715</v>
      </c>
      <c r="L73" s="13" t="s">
        <v>884</v>
      </c>
      <c r="M73" s="14">
        <v>48</v>
      </c>
      <c r="N73" s="14">
        <v>882.81</v>
      </c>
      <c r="O73" s="10">
        <f t="shared" si="17"/>
        <v>42374.879999999997</v>
      </c>
      <c r="P73" s="11">
        <v>0</v>
      </c>
      <c r="Q73" s="11">
        <v>10085.219999999999</v>
      </c>
      <c r="R73" s="10">
        <f>IF(COUNTIF($J$2:J73,J73)=1,SUMIFS($O:$O,$J:$J,J73)+SUMIFS($P:$P,$J:$J,J73)+SUMIFS($Q:$Q,$J:$J,J73),"")</f>
        <v>52460.1</v>
      </c>
      <c r="S73" s="10">
        <v>52468.1</v>
      </c>
      <c r="T73" s="11" t="str">
        <f>IFERROR(INDEX(AD:AD,MATCH(J73,J:J,0)),"")</f>
        <v>Check</v>
      </c>
      <c r="U73" s="12">
        <v>46013</v>
      </c>
      <c r="V73" s="10">
        <v>52468.1</v>
      </c>
      <c r="W73" s="10" t="str">
        <f t="shared" si="18"/>
        <v>Not Paid</v>
      </c>
      <c r="X73" t="s">
        <v>204</v>
      </c>
      <c r="Y73" t="s">
        <v>198</v>
      </c>
      <c r="Z73">
        <v>100257</v>
      </c>
      <c r="AA73" t="s">
        <v>647</v>
      </c>
      <c r="AB73" t="s">
        <v>603</v>
      </c>
      <c r="AC73" s="9">
        <f>COUNTIF(J:J,J73)</f>
        <v>1</v>
      </c>
      <c r="AD73" s="9" t="str">
        <f t="shared" si="19"/>
        <v>Check</v>
      </c>
      <c r="AE73" s="11">
        <f t="shared" si="20"/>
        <v>-8</v>
      </c>
    </row>
    <row r="74" spans="1:31" x14ac:dyDescent="0.3">
      <c r="A74">
        <v>106</v>
      </c>
      <c r="B74">
        <v>4439069</v>
      </c>
      <c r="C74" t="s">
        <v>91</v>
      </c>
      <c r="D74">
        <v>1469829</v>
      </c>
      <c r="E74" t="s">
        <v>101</v>
      </c>
      <c r="F74" t="s">
        <v>20</v>
      </c>
      <c r="G74" t="s">
        <v>507</v>
      </c>
      <c r="H74" t="s">
        <v>508</v>
      </c>
      <c r="I74" s="9" t="s">
        <v>673</v>
      </c>
      <c r="J74" s="9">
        <v>51162152169</v>
      </c>
      <c r="K74" s="14" t="s">
        <v>687</v>
      </c>
      <c r="L74" s="13" t="s">
        <v>904</v>
      </c>
      <c r="M74" s="14">
        <v>10000</v>
      </c>
      <c r="N74" s="14">
        <v>1.541E-2</v>
      </c>
      <c r="O74" s="10">
        <f t="shared" si="17"/>
        <v>154.1</v>
      </c>
      <c r="P74" s="11">
        <v>0</v>
      </c>
      <c r="Q74" s="11">
        <v>22.04</v>
      </c>
      <c r="R74" s="10">
        <f>IF(COUNTIF($J$2:J74,J74)=1,SUMIFS($O:$O,$J:$J,J74)+SUMIFS($P:$P,$J:$J,J74)+SUMIFS($Q:$Q,$J:$J,J74),"")</f>
        <v>176.14</v>
      </c>
      <c r="S74" s="10">
        <v>176.14</v>
      </c>
      <c r="T74" s="11" t="str">
        <f>IFERROR(INDEX(AD:AD,MATCH(J74,J:J,0)),"")</f>
        <v>Ok</v>
      </c>
      <c r="U74" s="12">
        <v>46055</v>
      </c>
      <c r="V74" s="10">
        <v>154.1</v>
      </c>
      <c r="W74" s="10" t="str">
        <f t="shared" si="18"/>
        <v>Short Paid</v>
      </c>
      <c r="X74" t="s">
        <v>217</v>
      </c>
      <c r="Y74" t="s">
        <v>27</v>
      </c>
      <c r="Z74">
        <v>100248</v>
      </c>
      <c r="AA74" t="s">
        <v>643</v>
      </c>
      <c r="AB74" t="s">
        <v>249</v>
      </c>
      <c r="AC74" s="9">
        <f>COUNTIF(J:J,J74)</f>
        <v>1</v>
      </c>
      <c r="AD74" s="9" t="str">
        <f t="shared" si="19"/>
        <v>Ok</v>
      </c>
      <c r="AE74" s="11">
        <f t="shared" ref="AE74:AE82" si="21">R74-S74</f>
        <v>0</v>
      </c>
    </row>
    <row r="75" spans="1:31" x14ac:dyDescent="0.3">
      <c r="A75">
        <v>105</v>
      </c>
      <c r="B75">
        <v>4438919</v>
      </c>
      <c r="C75" t="s">
        <v>91</v>
      </c>
      <c r="D75">
        <v>1380317</v>
      </c>
      <c r="E75" t="s">
        <v>281</v>
      </c>
      <c r="F75" t="s">
        <v>19</v>
      </c>
      <c r="G75" t="s">
        <v>509</v>
      </c>
      <c r="H75" t="s">
        <v>510</v>
      </c>
      <c r="I75" s="9" t="s">
        <v>688</v>
      </c>
      <c r="J75" s="9">
        <v>51163724466</v>
      </c>
      <c r="K75" s="14" t="s">
        <v>665</v>
      </c>
      <c r="L75" s="13" t="s">
        <v>925</v>
      </c>
      <c r="M75" s="14">
        <v>5</v>
      </c>
      <c r="N75" s="14">
        <v>68.91</v>
      </c>
      <c r="O75" s="10">
        <f t="shared" si="17"/>
        <v>344.54999999999995</v>
      </c>
      <c r="P75" s="11">
        <v>0</v>
      </c>
      <c r="Q75" s="11">
        <v>0</v>
      </c>
      <c r="R75" s="10">
        <f>IF(COUNTIF($J$2:J75,J75)=1,SUMIFS($O:$O,$J:$J,J75)+SUMIFS($P:$P,$J:$J,J75)+SUMIFS($Q:$Q,$J:$J,J75),"")</f>
        <v>344.54999999999995</v>
      </c>
      <c r="S75" s="10">
        <v>344.55</v>
      </c>
      <c r="T75" s="11" t="str">
        <f>IFERROR(INDEX(AD:AD,MATCH(J75,J:J,0)),"")</f>
        <v>Ok</v>
      </c>
      <c r="U75" s="12">
        <v>45927</v>
      </c>
      <c r="V75" s="10">
        <v>344.55</v>
      </c>
      <c r="W75" s="10" t="str">
        <f t="shared" si="18"/>
        <v>Not Paid</v>
      </c>
      <c r="X75" t="s">
        <v>209</v>
      </c>
      <c r="Y75" t="s">
        <v>27</v>
      </c>
      <c r="Z75">
        <v>100110</v>
      </c>
      <c r="AA75" t="s">
        <v>246</v>
      </c>
      <c r="AB75" t="s">
        <v>252</v>
      </c>
      <c r="AC75" s="9">
        <f>COUNTIF(J:J,J75)</f>
        <v>1</v>
      </c>
      <c r="AD75" s="9" t="str">
        <f t="shared" si="19"/>
        <v>Ok</v>
      </c>
      <c r="AE75" s="11">
        <f t="shared" si="21"/>
        <v>0</v>
      </c>
    </row>
    <row r="76" spans="1:31" x14ac:dyDescent="0.3">
      <c r="A76">
        <v>105</v>
      </c>
      <c r="B76">
        <v>4438869</v>
      </c>
      <c r="C76" t="s">
        <v>91</v>
      </c>
      <c r="D76">
        <v>1443616</v>
      </c>
      <c r="E76" t="s">
        <v>113</v>
      </c>
      <c r="F76" t="s">
        <v>20</v>
      </c>
      <c r="G76" t="s">
        <v>511</v>
      </c>
      <c r="H76" t="s">
        <v>512</v>
      </c>
      <c r="I76" s="9" t="s">
        <v>666</v>
      </c>
      <c r="J76" s="9">
        <v>51163768145</v>
      </c>
      <c r="K76" s="14" t="s">
        <v>831</v>
      </c>
      <c r="L76" s="13" t="s">
        <v>927</v>
      </c>
      <c r="M76" s="14">
        <v>1</v>
      </c>
      <c r="N76" s="14">
        <v>21053</v>
      </c>
      <c r="O76" s="10">
        <f t="shared" si="17"/>
        <v>21053</v>
      </c>
      <c r="P76" s="11">
        <v>0</v>
      </c>
      <c r="Q76" s="11">
        <v>0</v>
      </c>
      <c r="R76" s="10">
        <f>IF(COUNTIF($J$2:J76,J76)=1,SUMIFS($O:$O,$J:$J,J76)+SUMIFS($P:$P,$J:$J,J76)+SUMIFS($Q:$Q,$J:$J,J76),"")</f>
        <v>21053</v>
      </c>
      <c r="S76" s="10">
        <v>21053</v>
      </c>
      <c r="T76" s="11" t="str">
        <f>IFERROR(INDEX(AD:AD,MATCH(J76,J:J,0)),"")</f>
        <v>Ok</v>
      </c>
      <c r="U76" s="12">
        <v>46062</v>
      </c>
      <c r="V76" s="10">
        <v>21053</v>
      </c>
      <c r="W76" s="10" t="str">
        <f t="shared" si="18"/>
        <v>Not Paid</v>
      </c>
      <c r="X76" t="s">
        <v>197</v>
      </c>
      <c r="Y76" t="s">
        <v>27</v>
      </c>
      <c r="Z76">
        <v>100271</v>
      </c>
      <c r="AA76" t="s">
        <v>621</v>
      </c>
      <c r="AB76" t="s">
        <v>249</v>
      </c>
      <c r="AC76" s="9">
        <f>COUNTIF(J:J,J76)</f>
        <v>1</v>
      </c>
      <c r="AD76" s="9" t="str">
        <f t="shared" si="19"/>
        <v>Ok</v>
      </c>
      <c r="AE76" s="11">
        <f t="shared" si="21"/>
        <v>0</v>
      </c>
    </row>
    <row r="77" spans="1:31" x14ac:dyDescent="0.3">
      <c r="A77">
        <v>105</v>
      </c>
      <c r="B77">
        <v>4438737</v>
      </c>
      <c r="C77" t="s">
        <v>91</v>
      </c>
      <c r="D77">
        <v>1443616</v>
      </c>
      <c r="E77" t="s">
        <v>113</v>
      </c>
      <c r="F77" t="s">
        <v>18</v>
      </c>
      <c r="G77" t="s">
        <v>513</v>
      </c>
      <c r="H77" t="s">
        <v>514</v>
      </c>
      <c r="I77" s="9" t="s">
        <v>826</v>
      </c>
      <c r="J77" s="9">
        <v>51163465874</v>
      </c>
      <c r="K77" s="14" t="s">
        <v>681</v>
      </c>
      <c r="L77" s="13" t="s">
        <v>919</v>
      </c>
      <c r="M77" s="14">
        <v>14000</v>
      </c>
      <c r="N77" s="14">
        <v>52.02</v>
      </c>
      <c r="O77" s="10">
        <f t="shared" si="17"/>
        <v>728280</v>
      </c>
      <c r="P77" s="11">
        <v>0</v>
      </c>
      <c r="Q77" s="11">
        <v>0</v>
      </c>
      <c r="R77" s="10">
        <f>IF(COUNTIF($J$2:J77,J77)=1,SUMIFS($O:$O,$J:$J,J77)+SUMIFS($P:$P,$J:$J,J77)+SUMIFS($Q:$Q,$J:$J,J77),"")</f>
        <v>728280</v>
      </c>
      <c r="S77" s="10">
        <v>2184840</v>
      </c>
      <c r="T77" s="11" t="str">
        <f>IFERROR(INDEX(AD:AD,MATCH(J77,J:J,0)),"")</f>
        <v>Check</v>
      </c>
      <c r="U77" s="12">
        <v>46064</v>
      </c>
      <c r="V77" s="10">
        <v>214620</v>
      </c>
      <c r="W77" s="10" t="str">
        <f t="shared" si="18"/>
        <v>Short Paid</v>
      </c>
      <c r="X77" t="s">
        <v>197</v>
      </c>
      <c r="Y77" t="s">
        <v>27</v>
      </c>
      <c r="Z77">
        <v>100281</v>
      </c>
      <c r="AA77" t="s">
        <v>622</v>
      </c>
      <c r="AB77" t="s">
        <v>251</v>
      </c>
      <c r="AC77" s="9">
        <f>COUNTIF(J:J,J77)</f>
        <v>1</v>
      </c>
      <c r="AD77" s="9" t="str">
        <f t="shared" si="19"/>
        <v>Check</v>
      </c>
      <c r="AE77" s="11">
        <f t="shared" si="21"/>
        <v>-1456560</v>
      </c>
    </row>
    <row r="78" spans="1:31" x14ac:dyDescent="0.3">
      <c r="A78">
        <v>102</v>
      </c>
      <c r="B78">
        <v>4441665</v>
      </c>
      <c r="C78" t="s">
        <v>91</v>
      </c>
      <c r="D78">
        <v>1413236</v>
      </c>
      <c r="E78" t="s">
        <v>282</v>
      </c>
      <c r="F78" t="s">
        <v>17</v>
      </c>
      <c r="G78" t="s">
        <v>515</v>
      </c>
      <c r="H78" t="s">
        <v>516</v>
      </c>
      <c r="I78" s="9" t="s">
        <v>675</v>
      </c>
      <c r="J78" s="9">
        <v>51161027994</v>
      </c>
      <c r="K78" s="14" t="s">
        <v>782</v>
      </c>
      <c r="L78" s="13" t="s">
        <v>885</v>
      </c>
      <c r="M78" s="14">
        <v>300000</v>
      </c>
      <c r="N78" s="14">
        <v>1E-3</v>
      </c>
      <c r="O78" s="10">
        <f t="shared" ref="O78:O93" si="22">M78*N78</f>
        <v>300</v>
      </c>
      <c r="P78" s="11">
        <v>0</v>
      </c>
      <c r="Q78" s="11">
        <v>0</v>
      </c>
      <c r="R78" s="10">
        <f>IF(COUNTIF($J$2:J78,J78)=1,SUMIFS($O:$O,$J:$J,J78)+SUMIFS($P:$P,$J:$J,J78)+SUMIFS($Q:$Q,$J:$J,J78),"")</f>
        <v>300</v>
      </c>
      <c r="S78" s="10">
        <v>300</v>
      </c>
      <c r="T78" s="11" t="str">
        <f>IFERROR(INDEX(AD:AD,MATCH(J78,J:J,0)),"")</f>
        <v>Ok</v>
      </c>
      <c r="U78" s="12">
        <v>45764</v>
      </c>
      <c r="V78" s="10">
        <v>300</v>
      </c>
      <c r="W78" s="10" t="str">
        <f t="shared" ref="W78:W93" si="23">IF(OR(S78="",V78=""),"N/A",IF(S78&lt;&gt;V78,"Short Paid","Not Paid"))</f>
        <v>Not Paid</v>
      </c>
      <c r="X78" t="s">
        <v>200</v>
      </c>
      <c r="Y78" t="s">
        <v>198</v>
      </c>
      <c r="Z78">
        <v>100133</v>
      </c>
      <c r="AA78" t="s">
        <v>629</v>
      </c>
      <c r="AB78" t="s">
        <v>254</v>
      </c>
      <c r="AC78" s="9">
        <f>COUNTIF(J:J,J78)</f>
        <v>1</v>
      </c>
      <c r="AD78" s="9" t="str">
        <f t="shared" ref="AD78:AD93" si="24">IF(AND(R78="",S78=""),"N/A",IF(R78=S78,"Ok","Check"))</f>
        <v>Ok</v>
      </c>
      <c r="AE78" s="11">
        <f t="shared" si="21"/>
        <v>0</v>
      </c>
    </row>
    <row r="79" spans="1:31" x14ac:dyDescent="0.3">
      <c r="A79">
        <v>101</v>
      </c>
      <c r="B79">
        <v>4441785</v>
      </c>
      <c r="C79" t="s">
        <v>91</v>
      </c>
      <c r="D79">
        <v>1358046</v>
      </c>
      <c r="E79" t="s">
        <v>278</v>
      </c>
      <c r="F79" t="s">
        <v>20</v>
      </c>
      <c r="G79" t="s">
        <v>517</v>
      </c>
      <c r="H79" t="s">
        <v>518</v>
      </c>
      <c r="I79" s="9" t="s">
        <v>847</v>
      </c>
      <c r="J79" s="9">
        <v>51162223719</v>
      </c>
      <c r="K79" s="14" t="s">
        <v>792</v>
      </c>
      <c r="L79" s="13" t="s">
        <v>907</v>
      </c>
      <c r="M79" s="14">
        <v>2500</v>
      </c>
      <c r="N79" s="14">
        <v>6.5850000000000006E-2</v>
      </c>
      <c r="O79" s="10">
        <f t="shared" si="22"/>
        <v>164.62500000000003</v>
      </c>
      <c r="P79" s="11">
        <v>21.4</v>
      </c>
      <c r="Q79" s="11">
        <v>0</v>
      </c>
      <c r="R79" s="10">
        <f>IF(COUNTIF($J$2:J79,J79)=1,SUMIFS($O:$O,$J:$J,J79)+SUMIFS($P:$P,$J:$J,J79)+SUMIFS($Q:$Q,$J:$J,J79),"")</f>
        <v>186.02500000000003</v>
      </c>
      <c r="S79" s="10">
        <v>186.03</v>
      </c>
      <c r="T79" s="11" t="str">
        <f>IFERROR(INDEX(AD:AD,MATCH(J79,J:J,0)),"")</f>
        <v>Check</v>
      </c>
      <c r="U79" s="12">
        <v>45204</v>
      </c>
      <c r="V79" s="10">
        <v>186.03</v>
      </c>
      <c r="W79" s="10" t="str">
        <f t="shared" si="23"/>
        <v>Not Paid</v>
      </c>
      <c r="X79" t="s">
        <v>223</v>
      </c>
      <c r="Y79" t="s">
        <v>27</v>
      </c>
      <c r="Z79">
        <v>100242</v>
      </c>
      <c r="AA79" t="s">
        <v>634</v>
      </c>
      <c r="AB79" t="s">
        <v>249</v>
      </c>
      <c r="AC79" s="9">
        <f>COUNTIF(J:J,J79)</f>
        <v>1</v>
      </c>
      <c r="AD79" s="9" t="str">
        <f t="shared" si="24"/>
        <v>Check</v>
      </c>
      <c r="AE79" s="11">
        <f t="shared" si="21"/>
        <v>-4.9999999999670308E-3</v>
      </c>
    </row>
    <row r="80" spans="1:31" x14ac:dyDescent="0.3">
      <c r="A80">
        <v>101</v>
      </c>
      <c r="B80">
        <v>4442325</v>
      </c>
      <c r="C80" t="s">
        <v>91</v>
      </c>
      <c r="D80">
        <v>1358046</v>
      </c>
      <c r="E80" t="s">
        <v>278</v>
      </c>
      <c r="F80" t="s">
        <v>20</v>
      </c>
      <c r="G80" t="s">
        <v>519</v>
      </c>
      <c r="H80" t="s">
        <v>520</v>
      </c>
      <c r="I80" s="9" t="s">
        <v>664</v>
      </c>
      <c r="J80" s="9">
        <v>51163505108</v>
      </c>
      <c r="K80" s="14" t="s">
        <v>711</v>
      </c>
      <c r="L80" s="13" t="s">
        <v>920</v>
      </c>
      <c r="M80" s="14">
        <v>500</v>
      </c>
      <c r="N80" s="14">
        <v>0.15590000000000001</v>
      </c>
      <c r="O80" s="10">
        <f t="shared" si="22"/>
        <v>77.95</v>
      </c>
      <c r="P80" s="11">
        <v>10.130000000000001</v>
      </c>
      <c r="Q80" s="11">
        <v>0</v>
      </c>
      <c r="R80" s="10">
        <f>IF(COUNTIF($J$2:J80,J80)=1,SUMIFS($O:$O,$J:$J,J80)+SUMIFS($P:$P,$J:$J,J80)+SUMIFS($Q:$Q,$J:$J,J80),"")</f>
        <v>88.08</v>
      </c>
      <c r="S80" s="10">
        <v>88.08</v>
      </c>
      <c r="T80" s="11" t="str">
        <f>IFERROR(INDEX(AD:AD,MATCH(J80,J:J,0)),"")</f>
        <v>Ok</v>
      </c>
      <c r="U80" s="12">
        <v>45204</v>
      </c>
      <c r="V80" s="10">
        <v>88.08</v>
      </c>
      <c r="W80" s="10" t="str">
        <f t="shared" si="23"/>
        <v>Not Paid</v>
      </c>
      <c r="X80" t="s">
        <v>223</v>
      </c>
      <c r="Y80" t="s">
        <v>27</v>
      </c>
      <c r="Z80">
        <v>100272</v>
      </c>
      <c r="AA80" t="s">
        <v>628</v>
      </c>
      <c r="AB80" t="s">
        <v>249</v>
      </c>
      <c r="AC80" s="9">
        <f>COUNTIF(J:J,J80)</f>
        <v>1</v>
      </c>
      <c r="AD80" s="9" t="str">
        <f t="shared" si="24"/>
        <v>Ok</v>
      </c>
      <c r="AE80" s="11">
        <f t="shared" si="21"/>
        <v>0</v>
      </c>
    </row>
    <row r="81" spans="1:31" x14ac:dyDescent="0.3">
      <c r="A81">
        <v>101</v>
      </c>
      <c r="B81">
        <v>4441825</v>
      </c>
      <c r="C81" t="s">
        <v>91</v>
      </c>
      <c r="D81">
        <v>1358046</v>
      </c>
      <c r="E81" t="s">
        <v>278</v>
      </c>
      <c r="F81" t="s">
        <v>20</v>
      </c>
      <c r="G81" t="s">
        <v>521</v>
      </c>
      <c r="H81" t="s">
        <v>522</v>
      </c>
      <c r="I81" s="9" t="s">
        <v>765</v>
      </c>
      <c r="J81" s="9">
        <v>51162604017</v>
      </c>
      <c r="K81" s="14" t="s">
        <v>792</v>
      </c>
      <c r="L81" s="13" t="s">
        <v>911</v>
      </c>
      <c r="M81" s="14">
        <v>6000</v>
      </c>
      <c r="N81" s="14">
        <v>2.1100000000000001E-2</v>
      </c>
      <c r="O81" s="10">
        <f t="shared" si="22"/>
        <v>126.60000000000001</v>
      </c>
      <c r="P81" s="11">
        <v>16.46</v>
      </c>
      <c r="Q81" s="11">
        <v>0</v>
      </c>
      <c r="R81" s="10">
        <f>IF(COUNTIF($J$2:J81,J81)=1,SUMIFS($O:$O,$J:$J,J81)+SUMIFS($P:$P,$J:$J,J81)+SUMIFS($Q:$Q,$J:$J,J81),"")</f>
        <v>143.06</v>
      </c>
      <c r="S81" s="10">
        <v>143.06</v>
      </c>
      <c r="T81" s="11" t="str">
        <f>IFERROR(INDEX(AD:AD,MATCH(J81,J:J,0)),"")</f>
        <v>Ok</v>
      </c>
      <c r="U81" s="12">
        <v>45204</v>
      </c>
      <c r="V81" s="10">
        <v>143.06</v>
      </c>
      <c r="W81" s="10" t="str">
        <f t="shared" si="23"/>
        <v>Not Paid</v>
      </c>
      <c r="X81" t="s">
        <v>223</v>
      </c>
      <c r="Y81" t="s">
        <v>27</v>
      </c>
      <c r="Z81">
        <v>100282</v>
      </c>
      <c r="AA81" t="s">
        <v>630</v>
      </c>
      <c r="AB81" t="s">
        <v>249</v>
      </c>
      <c r="AC81" s="9">
        <f>COUNTIF(J:J,J81)</f>
        <v>1</v>
      </c>
      <c r="AD81" s="9" t="str">
        <f t="shared" si="24"/>
        <v>Ok</v>
      </c>
      <c r="AE81" s="11">
        <f t="shared" si="21"/>
        <v>0</v>
      </c>
    </row>
    <row r="82" spans="1:31" x14ac:dyDescent="0.3">
      <c r="A82">
        <v>101</v>
      </c>
      <c r="B82">
        <v>4443094</v>
      </c>
      <c r="C82" t="s">
        <v>91</v>
      </c>
      <c r="D82">
        <v>1418961</v>
      </c>
      <c r="E82" t="s">
        <v>283</v>
      </c>
      <c r="F82" t="s">
        <v>18</v>
      </c>
      <c r="G82" t="s">
        <v>523</v>
      </c>
      <c r="H82" t="s">
        <v>524</v>
      </c>
      <c r="I82" s="9" t="s">
        <v>820</v>
      </c>
      <c r="J82" s="9">
        <v>51161657147</v>
      </c>
      <c r="K82" s="14" t="s">
        <v>665</v>
      </c>
      <c r="L82" s="13" t="s">
        <v>898</v>
      </c>
      <c r="M82" s="14">
        <v>40000</v>
      </c>
      <c r="N82" s="14">
        <v>0.12</v>
      </c>
      <c r="O82" s="10">
        <f t="shared" si="22"/>
        <v>4800</v>
      </c>
      <c r="P82" s="11">
        <v>0</v>
      </c>
      <c r="Q82" s="11">
        <v>868.8</v>
      </c>
      <c r="R82" s="10">
        <f>IF(COUNTIF($J$2:J82,J82)=1,SUMIFS($O:$O,$J:$J,J82)+SUMIFS($P:$P,$J:$J,J82)+SUMIFS($Q:$Q,$J:$J,J82),"")</f>
        <v>5668.8</v>
      </c>
      <c r="S82" s="10">
        <v>5668.8</v>
      </c>
      <c r="T82" s="11" t="str">
        <f>IFERROR(INDEX(AD:AD,MATCH(J82,J:J,0)),"")</f>
        <v>Ok</v>
      </c>
      <c r="U82" s="12">
        <v>46044</v>
      </c>
      <c r="V82" s="10">
        <v>159.97999999999999</v>
      </c>
      <c r="W82" s="10" t="str">
        <f t="shared" si="23"/>
        <v>Short Paid</v>
      </c>
      <c r="X82" t="s">
        <v>207</v>
      </c>
      <c r="Y82" t="s">
        <v>27</v>
      </c>
      <c r="Z82">
        <v>100284</v>
      </c>
      <c r="AA82" t="s">
        <v>616</v>
      </c>
      <c r="AB82" t="s">
        <v>251</v>
      </c>
      <c r="AC82" s="9">
        <f>COUNTIF(J:J,J82)</f>
        <v>1</v>
      </c>
      <c r="AD82" s="9" t="str">
        <f t="shared" si="24"/>
        <v>Ok</v>
      </c>
      <c r="AE82" s="11">
        <f t="shared" si="21"/>
        <v>0</v>
      </c>
    </row>
    <row r="83" spans="1:31" x14ac:dyDescent="0.3">
      <c r="A83">
        <v>99</v>
      </c>
      <c r="B83">
        <v>4443124</v>
      </c>
      <c r="C83" t="s">
        <v>91</v>
      </c>
      <c r="D83">
        <v>1435625</v>
      </c>
      <c r="E83" t="s">
        <v>284</v>
      </c>
      <c r="F83" t="s">
        <v>44</v>
      </c>
      <c r="G83" t="s">
        <v>525</v>
      </c>
      <c r="H83" t="s">
        <v>526</v>
      </c>
      <c r="I83" s="9" t="s">
        <v>855</v>
      </c>
      <c r="J83" s="9">
        <v>51161740319</v>
      </c>
      <c r="K83" s="14" t="s">
        <v>768</v>
      </c>
      <c r="L83" s="13" t="s">
        <v>900</v>
      </c>
      <c r="M83" s="14">
        <v>160</v>
      </c>
      <c r="N83" s="14">
        <v>19.059999999999999</v>
      </c>
      <c r="O83" s="10">
        <f t="shared" si="22"/>
        <v>3049.6</v>
      </c>
      <c r="P83" s="11">
        <v>183.47</v>
      </c>
      <c r="Q83" s="11">
        <v>0</v>
      </c>
      <c r="R83" s="10">
        <f>IF(COUNTIF($J$2:J83,J83)=1,SUMIFS($O:$O,$J:$J,J83)+SUMIFS($P:$P,$J:$J,J83)+SUMIFS($Q:$Q,$J:$J,J83),"")</f>
        <v>3233.0699999999997</v>
      </c>
      <c r="S83" s="10">
        <v>3241.34</v>
      </c>
      <c r="T83" s="11" t="str">
        <f>IFERROR(INDEX(AD:AD,MATCH(J83,J:J,0)),"")</f>
        <v>Check</v>
      </c>
      <c r="U83" s="12">
        <v>46034</v>
      </c>
      <c r="V83" s="10">
        <v>183.47</v>
      </c>
      <c r="W83" s="10" t="str">
        <f t="shared" si="23"/>
        <v>Short Paid</v>
      </c>
      <c r="X83" t="s">
        <v>215</v>
      </c>
      <c r="Y83" t="s">
        <v>28</v>
      </c>
      <c r="Z83">
        <v>100296</v>
      </c>
      <c r="AA83" t="s">
        <v>648</v>
      </c>
      <c r="AB83" t="s">
        <v>606</v>
      </c>
      <c r="AC83" s="9">
        <f>COUNTIF(J:J,J83)</f>
        <v>1</v>
      </c>
      <c r="AD83" s="9" t="str">
        <f t="shared" si="24"/>
        <v>Check</v>
      </c>
      <c r="AE83" s="11">
        <f t="shared" ref="AE83:AE93" si="25">R83-S83</f>
        <v>-8.2700000000004366</v>
      </c>
    </row>
    <row r="84" spans="1:31" x14ac:dyDescent="0.3">
      <c r="A84">
        <v>99</v>
      </c>
      <c r="B84">
        <v>4443044</v>
      </c>
      <c r="C84" t="s">
        <v>91</v>
      </c>
      <c r="D84">
        <v>1963277</v>
      </c>
      <c r="E84" t="s">
        <v>107</v>
      </c>
      <c r="F84" t="s">
        <v>18</v>
      </c>
      <c r="G84" t="s">
        <v>527</v>
      </c>
      <c r="H84" t="s">
        <v>528</v>
      </c>
      <c r="I84" s="9" t="s">
        <v>795</v>
      </c>
      <c r="J84" s="9">
        <v>51161721838</v>
      </c>
      <c r="K84" s="14" t="s">
        <v>660</v>
      </c>
      <c r="L84" s="13" t="s">
        <v>899</v>
      </c>
      <c r="M84" s="14">
        <v>1000</v>
      </c>
      <c r="N84" s="14">
        <v>74.790000000000006</v>
      </c>
      <c r="O84" s="10">
        <f t="shared" si="22"/>
        <v>74790</v>
      </c>
      <c r="P84" s="11">
        <v>0</v>
      </c>
      <c r="Q84" s="11">
        <v>0</v>
      </c>
      <c r="R84" s="10">
        <f>IF(COUNTIF($J$2:J84,J84)=1,SUMIFS($O:$O,$J:$J,J84)+SUMIFS($P:$P,$J:$J,J84)+SUMIFS($Q:$Q,$J:$J,J84),"")</f>
        <v>74790</v>
      </c>
      <c r="S84" s="10">
        <v>74790</v>
      </c>
      <c r="T84" s="11" t="str">
        <f>IFERROR(INDEX(AD:AD,MATCH(J84,J:J,0)),"")</f>
        <v>Ok</v>
      </c>
      <c r="U84" s="12">
        <v>45980</v>
      </c>
      <c r="V84" s="10">
        <v>2751.6</v>
      </c>
      <c r="W84" s="10" t="str">
        <f t="shared" si="23"/>
        <v>Short Paid</v>
      </c>
      <c r="X84" t="s">
        <v>220</v>
      </c>
      <c r="Y84" t="s">
        <v>27</v>
      </c>
      <c r="Z84">
        <v>100279</v>
      </c>
      <c r="AA84" t="s">
        <v>229</v>
      </c>
      <c r="AB84" t="s">
        <v>251</v>
      </c>
      <c r="AC84" s="9">
        <f>COUNTIF(J:J,J84)</f>
        <v>1</v>
      </c>
      <c r="AD84" s="9" t="str">
        <f t="shared" si="24"/>
        <v>Ok</v>
      </c>
      <c r="AE84" s="11">
        <f t="shared" si="25"/>
        <v>0</v>
      </c>
    </row>
    <row r="85" spans="1:31" x14ac:dyDescent="0.3">
      <c r="A85">
        <v>98</v>
      </c>
      <c r="B85">
        <v>4441344</v>
      </c>
      <c r="C85" t="s">
        <v>91</v>
      </c>
      <c r="D85">
        <v>1830445</v>
      </c>
      <c r="E85" t="s">
        <v>64</v>
      </c>
      <c r="F85" t="s">
        <v>44</v>
      </c>
      <c r="G85" t="s">
        <v>529</v>
      </c>
      <c r="H85" t="s">
        <v>530</v>
      </c>
      <c r="I85" s="9" t="s">
        <v>795</v>
      </c>
      <c r="J85" s="9">
        <v>51160526425</v>
      </c>
      <c r="K85" s="14" t="s">
        <v>697</v>
      </c>
      <c r="L85" s="13" t="s">
        <v>882</v>
      </c>
      <c r="M85" s="14">
        <v>2</v>
      </c>
      <c r="N85" s="14">
        <v>15312</v>
      </c>
      <c r="O85" s="10">
        <f t="shared" si="22"/>
        <v>30624</v>
      </c>
      <c r="P85" s="11">
        <v>2679.6</v>
      </c>
      <c r="Q85" s="11">
        <v>0</v>
      </c>
      <c r="R85" s="10">
        <f>IF(COUNTIF($J$2:J85,J85)=1,SUMIFS($O:$O,$J:$J,J85)+SUMIFS($P:$P,$J:$J,J85)+SUMIFS($Q:$Q,$J:$J,J85),"")</f>
        <v>33303.599999999999</v>
      </c>
      <c r="S85" s="10">
        <v>33303.599999999999</v>
      </c>
      <c r="T85" s="11" t="str">
        <f>IFERROR(INDEX(AD:AD,MATCH(J85,J:J,0)),"")</f>
        <v>Ok</v>
      </c>
      <c r="U85" s="12">
        <v>45981</v>
      </c>
      <c r="V85" s="10">
        <v>2679.6</v>
      </c>
      <c r="W85" s="10" t="str">
        <f t="shared" si="23"/>
        <v>Short Paid</v>
      </c>
      <c r="X85" t="s">
        <v>204</v>
      </c>
      <c r="Y85" t="s">
        <v>28</v>
      </c>
      <c r="Z85">
        <v>100297</v>
      </c>
      <c r="AA85" t="s">
        <v>644</v>
      </c>
      <c r="AB85" t="s">
        <v>606</v>
      </c>
      <c r="AC85" s="9">
        <f>COUNTIF(J:J,J85)</f>
        <v>1</v>
      </c>
      <c r="AD85" s="9" t="str">
        <f t="shared" si="24"/>
        <v>Ok</v>
      </c>
      <c r="AE85" s="11">
        <f t="shared" si="25"/>
        <v>0</v>
      </c>
    </row>
    <row r="86" spans="1:31" x14ac:dyDescent="0.3">
      <c r="A86">
        <v>98</v>
      </c>
      <c r="B86">
        <v>4441444</v>
      </c>
      <c r="C86" t="s">
        <v>91</v>
      </c>
      <c r="D86">
        <v>1451086</v>
      </c>
      <c r="E86" t="s">
        <v>262</v>
      </c>
      <c r="F86" t="s">
        <v>18</v>
      </c>
      <c r="G86" t="s">
        <v>531</v>
      </c>
      <c r="H86" t="s">
        <v>532</v>
      </c>
      <c r="I86" s="9" t="s">
        <v>849</v>
      </c>
      <c r="J86" s="9">
        <v>51162435824</v>
      </c>
      <c r="K86" s="14" t="s">
        <v>773</v>
      </c>
      <c r="L86" s="13" t="s">
        <v>909</v>
      </c>
      <c r="M86" s="14">
        <v>2500</v>
      </c>
      <c r="N86" s="14">
        <v>0.53300000000000003</v>
      </c>
      <c r="O86" s="10">
        <f t="shared" si="22"/>
        <v>1332.5</v>
      </c>
      <c r="P86" s="11">
        <v>0</v>
      </c>
      <c r="Q86" s="11">
        <v>0</v>
      </c>
      <c r="R86" s="10">
        <f>IF(COUNTIF($J$2:J86,J86)=1,SUMIFS($O:$O,$J:$J,J86)+SUMIFS($P:$P,$J:$J,J86)+SUMIFS($Q:$Q,$J:$J,J86),"")</f>
        <v>1332.5</v>
      </c>
      <c r="S86" s="10">
        <v>1332.5</v>
      </c>
      <c r="T86" s="11" t="str">
        <f>IFERROR(INDEX(AD:AD,MATCH(J86,J:J,0)),"")</f>
        <v>Ok</v>
      </c>
      <c r="U86" s="12">
        <v>45950</v>
      </c>
      <c r="V86" s="10">
        <v>246</v>
      </c>
      <c r="W86" s="10" t="str">
        <f t="shared" si="23"/>
        <v>Short Paid</v>
      </c>
      <c r="X86" t="s">
        <v>217</v>
      </c>
      <c r="Y86" t="s">
        <v>27</v>
      </c>
      <c r="Z86">
        <v>100158</v>
      </c>
      <c r="AA86" t="s">
        <v>245</v>
      </c>
      <c r="AB86" t="s">
        <v>251</v>
      </c>
      <c r="AC86" s="9">
        <f>COUNTIF(J:J,J86)</f>
        <v>1</v>
      </c>
      <c r="AD86" s="9" t="str">
        <f t="shared" si="24"/>
        <v>Ok</v>
      </c>
      <c r="AE86" s="11">
        <f t="shared" si="25"/>
        <v>0</v>
      </c>
    </row>
    <row r="87" spans="1:31" x14ac:dyDescent="0.3">
      <c r="A87">
        <v>98</v>
      </c>
      <c r="B87">
        <v>4444503</v>
      </c>
      <c r="C87" t="s">
        <v>91</v>
      </c>
      <c r="D87">
        <v>1451086</v>
      </c>
      <c r="E87" t="s">
        <v>262</v>
      </c>
      <c r="F87" t="s">
        <v>18</v>
      </c>
      <c r="G87" t="s">
        <v>533</v>
      </c>
      <c r="H87" t="s">
        <v>534</v>
      </c>
      <c r="I87" s="9" t="s">
        <v>672</v>
      </c>
      <c r="J87" s="9">
        <v>54108024212</v>
      </c>
      <c r="K87" s="14" t="s">
        <v>687</v>
      </c>
      <c r="L87" s="13" t="s">
        <v>933</v>
      </c>
      <c r="M87" s="14">
        <v>624</v>
      </c>
      <c r="N87" s="14">
        <v>5.4669999999999996</v>
      </c>
      <c r="O87" s="10">
        <f t="shared" si="22"/>
        <v>3411.4079999999999</v>
      </c>
      <c r="P87" s="11">
        <v>0</v>
      </c>
      <c r="Q87" s="11">
        <v>0</v>
      </c>
      <c r="R87" s="10">
        <f>IF(COUNTIF($J$2:J87,J87)=1,SUMIFS($O:$O,$J:$J,J87)+SUMIFS($P:$P,$J:$J,J87)+SUMIFS($Q:$Q,$J:$J,J87),"")</f>
        <v>3411.4079999999999</v>
      </c>
      <c r="S87" s="10">
        <v>3411.41</v>
      </c>
      <c r="T87" s="11" t="str">
        <f>IFERROR(INDEX(AD:AD,MATCH(J87,J:J,0)),"")</f>
        <v>Check</v>
      </c>
      <c r="U87" s="12">
        <v>45953</v>
      </c>
      <c r="V87" s="10">
        <v>2886.63</v>
      </c>
      <c r="W87" s="10" t="str">
        <f t="shared" si="23"/>
        <v>Short Paid</v>
      </c>
      <c r="X87" t="s">
        <v>217</v>
      </c>
      <c r="Y87" t="s">
        <v>27</v>
      </c>
      <c r="Z87">
        <v>100198</v>
      </c>
      <c r="AA87" t="s">
        <v>219</v>
      </c>
      <c r="AB87" t="s">
        <v>251</v>
      </c>
      <c r="AC87" s="9">
        <f>COUNTIF(J:J,J87)</f>
        <v>1</v>
      </c>
      <c r="AD87" s="9" t="str">
        <f t="shared" si="24"/>
        <v>Check</v>
      </c>
      <c r="AE87" s="11">
        <f t="shared" si="25"/>
        <v>-1.9999999999527063E-3</v>
      </c>
    </row>
    <row r="88" spans="1:31" x14ac:dyDescent="0.3">
      <c r="A88">
        <v>98</v>
      </c>
      <c r="B88">
        <v>4444553</v>
      </c>
      <c r="C88" t="s">
        <v>91</v>
      </c>
      <c r="D88">
        <v>1451086</v>
      </c>
      <c r="E88" t="s">
        <v>262</v>
      </c>
      <c r="F88" t="s">
        <v>18</v>
      </c>
      <c r="G88" t="s">
        <v>535</v>
      </c>
      <c r="H88" t="s">
        <v>536</v>
      </c>
      <c r="I88" s="9" t="s">
        <v>680</v>
      </c>
      <c r="J88" s="9">
        <v>51158848711</v>
      </c>
      <c r="K88" s="14" t="s">
        <v>687</v>
      </c>
      <c r="L88" s="13" t="s">
        <v>867</v>
      </c>
      <c r="M88" s="14">
        <v>300</v>
      </c>
      <c r="N88" s="14">
        <v>0.92</v>
      </c>
      <c r="O88" s="10">
        <f t="shared" si="22"/>
        <v>276</v>
      </c>
      <c r="P88" s="11">
        <v>0</v>
      </c>
      <c r="Q88" s="11">
        <v>39.47</v>
      </c>
      <c r="R88" s="10">
        <f>IF(COUNTIF($J$2:J88,J88)=1,SUMIFS($O:$O,$J:$J,J88)+SUMIFS($P:$P,$J:$J,J88)+SUMIFS($Q:$Q,$J:$J,J88),"")</f>
        <v>315.47000000000003</v>
      </c>
      <c r="S88" s="10">
        <v>315.47000000000003</v>
      </c>
      <c r="T88" s="11" t="str">
        <f>IFERROR(INDEX(AD:AD,MATCH(J88,J:J,0)),"")</f>
        <v>Ok</v>
      </c>
      <c r="U88" s="12">
        <v>45950</v>
      </c>
      <c r="V88" s="10">
        <v>187.35</v>
      </c>
      <c r="W88" s="10" t="str">
        <f t="shared" si="23"/>
        <v>Short Paid</v>
      </c>
      <c r="X88" t="s">
        <v>217</v>
      </c>
      <c r="Y88" t="s">
        <v>27</v>
      </c>
      <c r="Z88">
        <v>100208</v>
      </c>
      <c r="AA88" t="s">
        <v>636</v>
      </c>
      <c r="AB88" t="s">
        <v>251</v>
      </c>
      <c r="AC88" s="9">
        <f>COUNTIF(J:J,J88)</f>
        <v>1</v>
      </c>
      <c r="AD88" s="9" t="str">
        <f t="shared" si="24"/>
        <v>Ok</v>
      </c>
      <c r="AE88" s="11">
        <f t="shared" si="25"/>
        <v>0</v>
      </c>
    </row>
    <row r="89" spans="1:31" x14ac:dyDescent="0.3">
      <c r="A89">
        <v>95</v>
      </c>
      <c r="B89">
        <v>4444333</v>
      </c>
      <c r="C89" t="s">
        <v>91</v>
      </c>
      <c r="D89">
        <v>1443616</v>
      </c>
      <c r="E89" t="s">
        <v>113</v>
      </c>
      <c r="F89" t="s">
        <v>45</v>
      </c>
      <c r="G89" t="s">
        <v>537</v>
      </c>
      <c r="H89" t="s">
        <v>538</v>
      </c>
      <c r="I89" s="9" t="s">
        <v>745</v>
      </c>
      <c r="J89" s="9">
        <v>51162262627</v>
      </c>
      <c r="K89" s="14" t="s">
        <v>875</v>
      </c>
      <c r="L89" s="13" t="s">
        <v>905</v>
      </c>
      <c r="M89" s="14">
        <v>600000</v>
      </c>
      <c r="N89" s="14">
        <v>4.53E-2</v>
      </c>
      <c r="O89" s="10">
        <f t="shared" si="22"/>
        <v>27180</v>
      </c>
      <c r="P89" s="11">
        <v>0</v>
      </c>
      <c r="Q89" s="11">
        <v>0</v>
      </c>
      <c r="R89" s="10">
        <f>IF(COUNTIF($J$2:J89,J89)=1,SUMIFS($O:$O,$J:$J,J89)+SUMIFS($P:$P,$J:$J,J89)+SUMIFS($Q:$Q,$J:$J,J89),"")</f>
        <v>27180</v>
      </c>
      <c r="S89" s="10">
        <v>27522.81</v>
      </c>
      <c r="T89" s="11" t="str">
        <f>IFERROR(INDEX(AD:AD,MATCH(J89,J:J,0)),"")</f>
        <v>Check</v>
      </c>
      <c r="U89" s="12">
        <v>46066</v>
      </c>
      <c r="V89" s="10">
        <v>27522.81</v>
      </c>
      <c r="W89" s="10" t="str">
        <f t="shared" si="23"/>
        <v>Not Paid</v>
      </c>
      <c r="X89" t="s">
        <v>197</v>
      </c>
      <c r="Y89" t="s">
        <v>198</v>
      </c>
      <c r="Z89">
        <v>100171</v>
      </c>
      <c r="AA89" t="s">
        <v>199</v>
      </c>
      <c r="AB89" t="s">
        <v>607</v>
      </c>
      <c r="AC89" s="9">
        <f>COUNTIF(J:J,J89)</f>
        <v>1</v>
      </c>
      <c r="AD89" s="9" t="str">
        <f t="shared" si="24"/>
        <v>Check</v>
      </c>
      <c r="AE89" s="11">
        <f t="shared" si="25"/>
        <v>-342.81000000000131</v>
      </c>
    </row>
    <row r="90" spans="1:31" x14ac:dyDescent="0.3">
      <c r="A90">
        <v>95</v>
      </c>
      <c r="B90">
        <v>4444203</v>
      </c>
      <c r="C90" t="s">
        <v>91</v>
      </c>
      <c r="D90">
        <v>1443616</v>
      </c>
      <c r="E90" t="s">
        <v>113</v>
      </c>
      <c r="F90" t="s">
        <v>20</v>
      </c>
      <c r="G90" t="s">
        <v>539</v>
      </c>
      <c r="H90" t="s">
        <v>540</v>
      </c>
      <c r="I90" s="9" t="s">
        <v>675</v>
      </c>
      <c r="J90" s="9">
        <v>51162262646</v>
      </c>
      <c r="K90" s="14" t="s">
        <v>657</v>
      </c>
      <c r="L90" s="13" t="s">
        <v>729</v>
      </c>
      <c r="M90" s="14">
        <v>12000</v>
      </c>
      <c r="N90" s="14">
        <v>4.5809999999999997E-2</v>
      </c>
      <c r="O90" s="10">
        <f t="shared" si="22"/>
        <v>549.71999999999991</v>
      </c>
      <c r="P90" s="11">
        <v>0</v>
      </c>
      <c r="Q90" s="11">
        <v>0</v>
      </c>
      <c r="R90" s="10">
        <f>IF(COUNTIF($J$2:J90,J90)=1,SUMIFS($O:$O,$J:$J,J90)+SUMIFS($P:$P,$J:$J,J90)+SUMIFS($Q:$Q,$J:$J,J90),"")</f>
        <v>549.71999999999991</v>
      </c>
      <c r="S90" s="10">
        <v>549.72</v>
      </c>
      <c r="T90" s="11" t="str">
        <f>IFERROR(INDEX(AD:AD,MATCH(J90,J:J,0)),"")</f>
        <v>Ok</v>
      </c>
      <c r="U90" s="12">
        <v>46071</v>
      </c>
      <c r="V90" s="10">
        <v>549.72</v>
      </c>
      <c r="W90" s="10" t="str">
        <f t="shared" si="23"/>
        <v>Not Paid</v>
      </c>
      <c r="X90" t="s">
        <v>197</v>
      </c>
      <c r="Y90" t="s">
        <v>27</v>
      </c>
      <c r="Z90">
        <v>100121</v>
      </c>
      <c r="AA90" t="s">
        <v>613</v>
      </c>
      <c r="AB90" t="s">
        <v>249</v>
      </c>
      <c r="AC90" s="9">
        <f>COUNTIF(J:J,J90)</f>
        <v>1</v>
      </c>
      <c r="AD90" s="9" t="str">
        <f t="shared" si="24"/>
        <v>Ok</v>
      </c>
      <c r="AE90" s="11">
        <f t="shared" si="25"/>
        <v>0</v>
      </c>
    </row>
    <row r="91" spans="1:31" x14ac:dyDescent="0.3">
      <c r="A91">
        <v>95</v>
      </c>
      <c r="B91">
        <v>4444313</v>
      </c>
      <c r="C91" t="s">
        <v>91</v>
      </c>
      <c r="D91">
        <v>1443616</v>
      </c>
      <c r="E91" t="s">
        <v>113</v>
      </c>
      <c r="F91" t="s">
        <v>20</v>
      </c>
      <c r="G91" t="s">
        <v>541</v>
      </c>
      <c r="H91" t="s">
        <v>542</v>
      </c>
      <c r="I91" s="9" t="s">
        <v>688</v>
      </c>
      <c r="J91" s="9">
        <v>51162262655</v>
      </c>
      <c r="K91" s="14" t="s">
        <v>657</v>
      </c>
      <c r="L91" s="13" t="s">
        <v>874</v>
      </c>
      <c r="M91" s="14">
        <v>33000</v>
      </c>
      <c r="N91" s="14">
        <v>0.64949999999999997</v>
      </c>
      <c r="O91" s="10">
        <f t="shared" si="22"/>
        <v>21433.5</v>
      </c>
      <c r="P91" s="11">
        <v>0</v>
      </c>
      <c r="Q91" s="11">
        <v>0</v>
      </c>
      <c r="R91" s="10">
        <f>IF(COUNTIF($J$2:J91,J91)=1,SUMIFS($O:$O,$J:$J,J91)+SUMIFS($P:$P,$J:$J,J91)+SUMIFS($Q:$Q,$J:$J,J91),"")</f>
        <v>21433.5</v>
      </c>
      <c r="S91" s="10">
        <v>21433.5</v>
      </c>
      <c r="T91" s="11" t="str">
        <f>IFERROR(INDEX(AD:AD,MATCH(J91,J:J,0)),"")</f>
        <v>Ok</v>
      </c>
      <c r="U91" s="12">
        <v>46073</v>
      </c>
      <c r="V91" s="10">
        <v>21433.5</v>
      </c>
      <c r="W91" s="10" t="str">
        <f t="shared" si="23"/>
        <v>Not Paid</v>
      </c>
      <c r="X91" t="s">
        <v>197</v>
      </c>
      <c r="Y91" t="s">
        <v>27</v>
      </c>
      <c r="Z91">
        <v>100151</v>
      </c>
      <c r="AA91" t="s">
        <v>614</v>
      </c>
      <c r="AB91" t="s">
        <v>249</v>
      </c>
      <c r="AC91" s="9">
        <f>COUNTIF(J:J,J91)</f>
        <v>1</v>
      </c>
      <c r="AD91" s="9" t="str">
        <f t="shared" si="24"/>
        <v>Ok</v>
      </c>
      <c r="AE91" s="11">
        <f t="shared" si="25"/>
        <v>0</v>
      </c>
    </row>
    <row r="92" spans="1:31" x14ac:dyDescent="0.3">
      <c r="A92">
        <v>95</v>
      </c>
      <c r="B92">
        <v>4445932</v>
      </c>
      <c r="C92" t="s">
        <v>91</v>
      </c>
      <c r="D92">
        <v>1443616</v>
      </c>
      <c r="E92" t="s">
        <v>113</v>
      </c>
      <c r="F92" t="s">
        <v>45</v>
      </c>
      <c r="G92" t="s">
        <v>543</v>
      </c>
      <c r="H92" t="s">
        <v>544</v>
      </c>
      <c r="I92" s="9" t="s">
        <v>865</v>
      </c>
      <c r="J92" s="9">
        <v>55113555103</v>
      </c>
      <c r="K92" s="14" t="s">
        <v>875</v>
      </c>
      <c r="L92" s="13" t="s">
        <v>938</v>
      </c>
      <c r="M92" s="14">
        <v>134058</v>
      </c>
      <c r="N92" s="14">
        <v>0.26900000000000002</v>
      </c>
      <c r="O92" s="10">
        <f t="shared" si="22"/>
        <v>36061.601999999999</v>
      </c>
      <c r="P92" s="11">
        <v>0</v>
      </c>
      <c r="Q92" s="11">
        <v>0</v>
      </c>
      <c r="R92" s="10">
        <f>IF(COUNTIF($J$2:J92,J92)=1,SUMIFS($O:$O,$J:$J,J92)+SUMIFS($P:$P,$J:$J,J92)+SUMIFS($Q:$Q,$J:$J,J92),"")</f>
        <v>36061.601999999999</v>
      </c>
      <c r="S92" s="10">
        <v>36405.089999999997</v>
      </c>
      <c r="T92" s="11" t="str">
        <f>IFERROR(INDEX(AD:AD,MATCH(J92,J:J,0)),"")</f>
        <v>Check</v>
      </c>
      <c r="U92" s="12">
        <v>46072</v>
      </c>
      <c r="V92" s="10">
        <v>343.49</v>
      </c>
      <c r="W92" s="10" t="str">
        <f t="shared" si="23"/>
        <v>Short Paid</v>
      </c>
      <c r="X92" t="s">
        <v>197</v>
      </c>
      <c r="Y92" t="s">
        <v>198</v>
      </c>
      <c r="Z92">
        <v>100211</v>
      </c>
      <c r="AA92" t="s">
        <v>610</v>
      </c>
      <c r="AB92" t="s">
        <v>607</v>
      </c>
      <c r="AC92" s="9">
        <f>COUNTIF(J:J,J92)</f>
        <v>1</v>
      </c>
      <c r="AD92" s="9" t="str">
        <f t="shared" si="24"/>
        <v>Check</v>
      </c>
      <c r="AE92" s="11">
        <f t="shared" si="25"/>
        <v>-343.48799999999756</v>
      </c>
    </row>
    <row r="93" spans="1:31" x14ac:dyDescent="0.3">
      <c r="A93">
        <v>94</v>
      </c>
      <c r="B93">
        <v>4445922</v>
      </c>
      <c r="C93" t="s">
        <v>91</v>
      </c>
      <c r="D93">
        <v>1452935</v>
      </c>
      <c r="E93" t="s">
        <v>257</v>
      </c>
      <c r="F93" t="s">
        <v>20</v>
      </c>
      <c r="G93" t="s">
        <v>545</v>
      </c>
      <c r="H93" t="s">
        <v>546</v>
      </c>
      <c r="I93" s="9" t="s">
        <v>774</v>
      </c>
      <c r="J93" s="9">
        <v>51161171069</v>
      </c>
      <c r="K93" s="14" t="s">
        <v>665</v>
      </c>
      <c r="L93" s="13" t="s">
        <v>889</v>
      </c>
      <c r="M93" s="14">
        <v>1</v>
      </c>
      <c r="N93" s="14">
        <v>6000</v>
      </c>
      <c r="O93" s="10">
        <f t="shared" si="22"/>
        <v>6000</v>
      </c>
      <c r="P93" s="11">
        <v>0</v>
      </c>
      <c r="Q93" s="11">
        <v>1428</v>
      </c>
      <c r="R93" s="10">
        <f>IF(COUNTIF($J$2:J93,J93)=1,SUMIFS($O:$O,$J:$J,J93)+SUMIFS($P:$P,$J:$J,J93)+SUMIFS($Q:$Q,$J:$J,J93),"")</f>
        <v>7428</v>
      </c>
      <c r="S93" s="10">
        <v>7428</v>
      </c>
      <c r="T93" s="11" t="str">
        <f>IFERROR(INDEX(AD:AD,MATCH(J93,J:J,0)),"")</f>
        <v>Ok</v>
      </c>
      <c r="U93" s="12">
        <v>45983</v>
      </c>
      <c r="V93" s="10">
        <v>7428</v>
      </c>
      <c r="W93" s="10" t="str">
        <f t="shared" si="23"/>
        <v>Not Paid</v>
      </c>
      <c r="X93" t="s">
        <v>209</v>
      </c>
      <c r="Y93" t="s">
        <v>27</v>
      </c>
      <c r="Z93">
        <v>100240</v>
      </c>
      <c r="AA93" t="s">
        <v>210</v>
      </c>
      <c r="AB93" t="s">
        <v>249</v>
      </c>
      <c r="AC93" s="9">
        <f>COUNTIF(J:J,J93)</f>
        <v>1</v>
      </c>
      <c r="AD93" s="9" t="str">
        <f t="shared" si="24"/>
        <v>Ok</v>
      </c>
      <c r="AE93" s="11">
        <f t="shared" si="25"/>
        <v>0</v>
      </c>
    </row>
    <row r="94" spans="1:31" x14ac:dyDescent="0.3">
      <c r="A94">
        <v>87</v>
      </c>
      <c r="B94">
        <v>4562544</v>
      </c>
      <c r="C94" t="s">
        <v>91</v>
      </c>
      <c r="D94">
        <v>1469829</v>
      </c>
      <c r="E94" t="s">
        <v>101</v>
      </c>
      <c r="F94" t="s">
        <v>20</v>
      </c>
      <c r="G94" t="s">
        <v>551</v>
      </c>
      <c r="H94" t="s">
        <v>552</v>
      </c>
      <c r="I94" s="9" t="s">
        <v>655</v>
      </c>
      <c r="J94" s="9">
        <v>50111827683</v>
      </c>
      <c r="K94" s="14" t="s">
        <v>657</v>
      </c>
      <c r="L94" s="13" t="s">
        <v>656</v>
      </c>
      <c r="M94" s="14">
        <v>8000</v>
      </c>
      <c r="N94" s="14">
        <v>0.1094</v>
      </c>
      <c r="O94" s="10">
        <f t="shared" ref="O94:O117" si="26">M94*N94</f>
        <v>875.19999999999993</v>
      </c>
      <c r="P94" s="11">
        <v>0</v>
      </c>
      <c r="Q94" s="11">
        <v>133.47</v>
      </c>
      <c r="R94" s="10">
        <f>IF(COUNTIF($J$2:J94,J94)=1,SUMIFS($O:$O,$J:$J,J94)+SUMIFS($P:$P,$J:$J,J94)+SUMIFS($Q:$Q,$J:$J,J94),"")</f>
        <v>1008.67</v>
      </c>
      <c r="S94" s="10">
        <v>1008.67</v>
      </c>
      <c r="T94" s="11" t="str">
        <f>IFERROR(INDEX(AD:AD,MATCH(J94,J:J,0)),"")</f>
        <v>Ok</v>
      </c>
      <c r="U94" s="12">
        <v>46022</v>
      </c>
      <c r="V94" s="10">
        <v>853.47</v>
      </c>
      <c r="W94" s="10" t="str">
        <f t="shared" ref="W94:W117" si="27">IF(OR(S94="",V94=""),"N/A",IF(S94&lt;&gt;V94,"Short Paid","Not Paid"))</f>
        <v>Short Paid</v>
      </c>
      <c r="X94" t="s">
        <v>217</v>
      </c>
      <c r="Y94" t="s">
        <v>27</v>
      </c>
      <c r="Z94">
        <v>100238</v>
      </c>
      <c r="AA94" t="s">
        <v>625</v>
      </c>
      <c r="AB94" t="s">
        <v>249</v>
      </c>
      <c r="AC94" s="9">
        <f>COUNTIF(J:J,J94)</f>
        <v>1</v>
      </c>
      <c r="AD94" s="9" t="str">
        <f t="shared" ref="AD94:AD117" si="28">IF(AND(R94="",S94=""),"N/A",IF(R94=S94,"Ok","Check"))</f>
        <v>Ok</v>
      </c>
      <c r="AE94" s="11">
        <f t="shared" ref="AE94:AE98" si="29">R94-S94</f>
        <v>0</v>
      </c>
    </row>
    <row r="95" spans="1:31" x14ac:dyDescent="0.3">
      <c r="A95">
        <v>87</v>
      </c>
      <c r="B95">
        <v>4563100</v>
      </c>
      <c r="C95" t="s">
        <v>91</v>
      </c>
      <c r="D95">
        <v>1963277</v>
      </c>
      <c r="E95" t="s">
        <v>107</v>
      </c>
      <c r="F95" t="s">
        <v>18</v>
      </c>
      <c r="G95" t="s">
        <v>118</v>
      </c>
      <c r="H95" t="s">
        <v>119</v>
      </c>
      <c r="I95" s="9" t="s">
        <v>682</v>
      </c>
      <c r="J95" s="9">
        <v>51099605481</v>
      </c>
      <c r="K95" s="14" t="s">
        <v>654</v>
      </c>
      <c r="L95" s="13" t="s">
        <v>1030</v>
      </c>
      <c r="M95" s="14">
        <v>2052</v>
      </c>
      <c r="N95" s="14">
        <v>0.56000000000000005</v>
      </c>
      <c r="O95" s="10">
        <f t="shared" si="26"/>
        <v>1149.1200000000001</v>
      </c>
      <c r="P95" s="11">
        <v>0</v>
      </c>
      <c r="Q95" s="11">
        <v>0</v>
      </c>
      <c r="R95" s="10">
        <f>IF(COUNTIF($J$2:J95,J95)=1,SUMIFS($O:$O,$J:$J,J95)+SUMIFS($P:$P,$J:$J,J95)+SUMIFS($Q:$Q,$J:$J,J95),"")</f>
        <v>1149.1200000000001</v>
      </c>
      <c r="S95">
        <v>105316.12</v>
      </c>
      <c r="T95" s="11" t="str">
        <f>IFERROR(INDEX(AD:AD,MATCH(J95,J:J,0)),"")</f>
        <v>Check</v>
      </c>
      <c r="U95" s="12">
        <v>45995</v>
      </c>
      <c r="V95" s="10">
        <v>572.75</v>
      </c>
      <c r="W95" s="10" t="str">
        <f t="shared" si="27"/>
        <v>Short Paid</v>
      </c>
      <c r="X95" t="s">
        <v>220</v>
      </c>
      <c r="Y95" t="s">
        <v>27</v>
      </c>
      <c r="Z95">
        <v>100279</v>
      </c>
      <c r="AA95" t="s">
        <v>229</v>
      </c>
      <c r="AB95" t="s">
        <v>251</v>
      </c>
      <c r="AC95" s="9">
        <f>COUNTIF(J:J,J95)</f>
        <v>1</v>
      </c>
      <c r="AD95" s="9" t="str">
        <f t="shared" si="28"/>
        <v>Check</v>
      </c>
      <c r="AE95" s="11">
        <f t="shared" si="29"/>
        <v>-104167</v>
      </c>
    </row>
    <row r="96" spans="1:31" x14ac:dyDescent="0.3">
      <c r="A96">
        <v>87</v>
      </c>
      <c r="B96">
        <v>4563657</v>
      </c>
      <c r="C96" t="s">
        <v>91</v>
      </c>
      <c r="D96">
        <v>1963277</v>
      </c>
      <c r="E96" t="s">
        <v>107</v>
      </c>
      <c r="F96" t="s">
        <v>18</v>
      </c>
      <c r="G96" t="s">
        <v>553</v>
      </c>
      <c r="H96" t="s">
        <v>554</v>
      </c>
      <c r="I96" s="9" t="s">
        <v>750</v>
      </c>
      <c r="J96" s="9">
        <v>51112141849</v>
      </c>
      <c r="K96" s="14" t="s">
        <v>752</v>
      </c>
      <c r="L96" s="13" t="s">
        <v>751</v>
      </c>
      <c r="M96" s="14">
        <v>25</v>
      </c>
      <c r="N96" s="14">
        <v>44.44</v>
      </c>
      <c r="O96" s="10">
        <f t="shared" si="26"/>
        <v>1111</v>
      </c>
      <c r="P96" s="11">
        <v>0</v>
      </c>
      <c r="Q96" s="11">
        <v>0</v>
      </c>
      <c r="R96" s="10">
        <f>IF(COUNTIF($J$2:J96,J96)=1,SUMIFS($O:$O,$J:$J,J96)+SUMIFS($P:$P,$J:$J,J96)+SUMIFS($Q:$Q,$J:$J,J96),"")</f>
        <v>1111</v>
      </c>
      <c r="S96" s="10">
        <v>1111</v>
      </c>
      <c r="T96" s="11" t="str">
        <f>IFERROR(INDEX(AD:AD,MATCH(J96,J:J,0)),"")</f>
        <v>Ok</v>
      </c>
      <c r="U96" s="12">
        <v>45999</v>
      </c>
      <c r="V96" s="10">
        <v>197.15</v>
      </c>
      <c r="W96" s="10" t="str">
        <f t="shared" si="27"/>
        <v>Short Paid</v>
      </c>
      <c r="X96" t="s">
        <v>220</v>
      </c>
      <c r="Y96" t="s">
        <v>27</v>
      </c>
      <c r="Z96">
        <v>100119</v>
      </c>
      <c r="AA96" t="s">
        <v>235</v>
      </c>
      <c r="AB96" t="s">
        <v>251</v>
      </c>
      <c r="AC96" s="9">
        <f>COUNTIF(J:J,J96)</f>
        <v>1</v>
      </c>
      <c r="AD96" s="9" t="str">
        <f t="shared" si="28"/>
        <v>Ok</v>
      </c>
      <c r="AE96" s="11">
        <f t="shared" si="29"/>
        <v>0</v>
      </c>
    </row>
    <row r="97" spans="1:31" x14ac:dyDescent="0.3">
      <c r="A97">
        <v>87</v>
      </c>
      <c r="B97">
        <v>4563935</v>
      </c>
      <c r="C97" t="s">
        <v>91</v>
      </c>
      <c r="D97">
        <v>1963277</v>
      </c>
      <c r="E97" t="s">
        <v>107</v>
      </c>
      <c r="F97" t="s">
        <v>18</v>
      </c>
      <c r="G97" t="s">
        <v>116</v>
      </c>
      <c r="H97" t="s">
        <v>117</v>
      </c>
      <c r="I97" s="9" t="s">
        <v>685</v>
      </c>
      <c r="J97" s="9">
        <v>51113002478</v>
      </c>
      <c r="K97" s="14" t="s">
        <v>654</v>
      </c>
      <c r="L97" s="13" t="s">
        <v>1028</v>
      </c>
      <c r="M97" s="14">
        <v>660</v>
      </c>
      <c r="N97" s="14">
        <v>0.39</v>
      </c>
      <c r="O97" s="10">
        <f t="shared" si="26"/>
        <v>257.40000000000003</v>
      </c>
      <c r="P97" s="11">
        <v>0</v>
      </c>
      <c r="Q97" s="11">
        <v>0</v>
      </c>
      <c r="R97" s="10">
        <f>IF(COUNTIF($J$2:J97,J97)=1,SUMIFS($O:$O,$J:$J,J97)+SUMIFS($P:$P,$J:$J,J97)+SUMIFS($Q:$Q,$J:$J,J97),"")</f>
        <v>257.40000000000003</v>
      </c>
      <c r="S97">
        <v>1393.45</v>
      </c>
      <c r="T97" s="11" t="str">
        <f>IFERROR(INDEX(AD:AD,MATCH(J97,J:J,0)),"")</f>
        <v>Check</v>
      </c>
      <c r="U97" s="12">
        <v>45995</v>
      </c>
      <c r="V97" s="10">
        <v>169.89</v>
      </c>
      <c r="W97" s="10" t="str">
        <f t="shared" si="27"/>
        <v>Short Paid</v>
      </c>
      <c r="X97" t="s">
        <v>220</v>
      </c>
      <c r="Y97" t="s">
        <v>27</v>
      </c>
      <c r="Z97">
        <v>100129</v>
      </c>
      <c r="AA97" t="s">
        <v>236</v>
      </c>
      <c r="AB97" t="s">
        <v>251</v>
      </c>
      <c r="AC97" s="9">
        <f>COUNTIF(J:J,J97)</f>
        <v>1</v>
      </c>
      <c r="AD97" s="9" t="str">
        <f t="shared" si="28"/>
        <v>Check</v>
      </c>
      <c r="AE97" s="11">
        <f t="shared" si="29"/>
        <v>-1136.05</v>
      </c>
    </row>
    <row r="98" spans="1:31" x14ac:dyDescent="0.3">
      <c r="A98">
        <v>86</v>
      </c>
      <c r="B98">
        <v>4566718</v>
      </c>
      <c r="C98" t="s">
        <v>91</v>
      </c>
      <c r="D98">
        <v>1142492</v>
      </c>
      <c r="E98" t="s">
        <v>260</v>
      </c>
      <c r="F98" t="s">
        <v>20</v>
      </c>
      <c r="G98" t="s">
        <v>555</v>
      </c>
      <c r="H98" t="s">
        <v>556</v>
      </c>
      <c r="I98" s="9" t="s">
        <v>661</v>
      </c>
      <c r="J98" s="9">
        <v>50112882938</v>
      </c>
      <c r="K98" s="14" t="s">
        <v>663</v>
      </c>
      <c r="L98" s="13" t="s">
        <v>662</v>
      </c>
      <c r="M98" s="14">
        <v>50</v>
      </c>
      <c r="N98" s="14">
        <v>0.19</v>
      </c>
      <c r="O98" s="10">
        <f t="shared" si="26"/>
        <v>9.5</v>
      </c>
      <c r="P98" s="11">
        <v>0</v>
      </c>
      <c r="Q98" s="11">
        <v>0</v>
      </c>
      <c r="R98" s="10">
        <f>IF(COUNTIF($J$2:J98,J98)=1,SUMIFS($O:$O,$J:$J,J98)+SUMIFS($P:$P,$J:$J,J98)+SUMIFS($Q:$Q,$J:$J,J98),"")</f>
        <v>9.5</v>
      </c>
      <c r="S98" s="10">
        <v>9.5</v>
      </c>
      <c r="T98" s="11" t="str">
        <f>IFERROR(INDEX(AD:AD,MATCH(J98,J:J,0)),"")</f>
        <v>Ok</v>
      </c>
      <c r="U98" s="12">
        <v>46021</v>
      </c>
      <c r="V98" s="10">
        <v>9.5</v>
      </c>
      <c r="W98" s="10" t="str">
        <f t="shared" si="27"/>
        <v>Not Paid</v>
      </c>
      <c r="X98" t="s">
        <v>217</v>
      </c>
      <c r="Y98" t="s">
        <v>27</v>
      </c>
      <c r="Z98">
        <v>100128</v>
      </c>
      <c r="AA98" t="s">
        <v>244</v>
      </c>
      <c r="AB98" t="s">
        <v>249</v>
      </c>
      <c r="AC98" s="9">
        <f>COUNTIF(J:J,J98)</f>
        <v>1</v>
      </c>
      <c r="AD98" s="9" t="str">
        <f t="shared" si="28"/>
        <v>Ok</v>
      </c>
      <c r="AE98" s="11">
        <f t="shared" si="29"/>
        <v>0</v>
      </c>
    </row>
    <row r="99" spans="1:31" x14ac:dyDescent="0.3">
      <c r="A99">
        <v>85</v>
      </c>
      <c r="B99">
        <v>4580076</v>
      </c>
      <c r="C99" t="s">
        <v>91</v>
      </c>
      <c r="D99">
        <v>1470631</v>
      </c>
      <c r="E99" t="s">
        <v>100</v>
      </c>
      <c r="F99" t="s">
        <v>20</v>
      </c>
      <c r="G99" t="s">
        <v>557</v>
      </c>
      <c r="H99" t="s">
        <v>558</v>
      </c>
      <c r="I99" s="9" t="s">
        <v>776</v>
      </c>
      <c r="J99" s="9">
        <v>51133735390</v>
      </c>
      <c r="K99" s="14" t="s">
        <v>687</v>
      </c>
      <c r="L99" s="13" t="s">
        <v>777</v>
      </c>
      <c r="M99" s="14">
        <v>10000</v>
      </c>
      <c r="N99" s="14">
        <v>6.1000000000000004E-3</v>
      </c>
      <c r="O99" s="10">
        <f t="shared" si="26"/>
        <v>61.000000000000007</v>
      </c>
      <c r="P99" s="11">
        <v>0</v>
      </c>
      <c r="Q99" s="11">
        <v>0</v>
      </c>
      <c r="R99" s="10">
        <f>IF(COUNTIF($J$2:J99,J99)=1,SUMIFS($O:$O,$J:$J,J99)+SUMIFS($P:$P,$J:$J,J99)+SUMIFS($Q:$Q,$J:$J,J99),"")</f>
        <v>61.000000000000007</v>
      </c>
      <c r="S99" s="10">
        <v>61</v>
      </c>
      <c r="T99" s="11" t="str">
        <f>IFERROR(INDEX(AD:AD,MATCH(J99,J:J,0)),"")</f>
        <v>Ok</v>
      </c>
      <c r="U99" s="12">
        <v>45659</v>
      </c>
      <c r="V99" s="10">
        <v>61</v>
      </c>
      <c r="W99" s="10" t="str">
        <f t="shared" si="27"/>
        <v>Not Paid</v>
      </c>
      <c r="X99" t="s">
        <v>204</v>
      </c>
      <c r="Y99" t="s">
        <v>27</v>
      </c>
      <c r="Z99">
        <v>100287</v>
      </c>
      <c r="AA99" t="s">
        <v>242</v>
      </c>
      <c r="AB99" t="s">
        <v>249</v>
      </c>
      <c r="AC99" s="9">
        <f>COUNTIF(J:J,J99)</f>
        <v>1</v>
      </c>
      <c r="AD99" s="9" t="str">
        <f t="shared" si="28"/>
        <v>Ok</v>
      </c>
      <c r="AE99" s="11">
        <f t="shared" ref="AE99:AE100" si="30">R99-S99</f>
        <v>0</v>
      </c>
    </row>
    <row r="100" spans="1:31" x14ac:dyDescent="0.3">
      <c r="A100">
        <v>85</v>
      </c>
      <c r="B100">
        <v>4580354</v>
      </c>
      <c r="C100" t="s">
        <v>91</v>
      </c>
      <c r="D100">
        <v>1470631</v>
      </c>
      <c r="E100" t="s">
        <v>100</v>
      </c>
      <c r="F100" t="s">
        <v>20</v>
      </c>
      <c r="G100" t="s">
        <v>559</v>
      </c>
      <c r="H100" t="s">
        <v>560</v>
      </c>
      <c r="I100" s="9" t="s">
        <v>710</v>
      </c>
      <c r="J100" s="9">
        <v>51133813969</v>
      </c>
      <c r="K100" s="14" t="s">
        <v>779</v>
      </c>
      <c r="L100" s="13" t="s">
        <v>778</v>
      </c>
      <c r="M100" s="14">
        <v>12</v>
      </c>
      <c r="N100" s="14">
        <v>3.78</v>
      </c>
      <c r="O100" s="10">
        <f t="shared" si="26"/>
        <v>45.36</v>
      </c>
      <c r="P100" s="11">
        <v>0</v>
      </c>
      <c r="Q100" s="11">
        <v>0</v>
      </c>
      <c r="R100" s="10">
        <f>IF(COUNTIF($J$2:J100,J100)=1,SUMIFS($O:$O,$J:$J,J100)+SUMIFS($P:$P,$J:$J,J100)+SUMIFS($Q:$Q,$J:$J,J100),"")</f>
        <v>45.36</v>
      </c>
      <c r="S100" s="10">
        <v>90.72</v>
      </c>
      <c r="T100" s="11" t="str">
        <f>IFERROR(INDEX(AD:AD,MATCH(J100,J:J,0)),"")</f>
        <v>Check</v>
      </c>
      <c r="U100" s="12">
        <v>45659</v>
      </c>
      <c r="V100" s="10">
        <v>90.72</v>
      </c>
      <c r="W100" s="10" t="str">
        <f t="shared" si="27"/>
        <v>Not Paid</v>
      </c>
      <c r="X100" t="s">
        <v>204</v>
      </c>
      <c r="Y100" t="s">
        <v>27</v>
      </c>
      <c r="Z100">
        <v>100117</v>
      </c>
      <c r="AA100" t="s">
        <v>205</v>
      </c>
      <c r="AB100" t="s">
        <v>249</v>
      </c>
      <c r="AC100" s="9">
        <f>COUNTIF(J:J,J100)</f>
        <v>1</v>
      </c>
      <c r="AD100" s="9" t="str">
        <f t="shared" si="28"/>
        <v>Check</v>
      </c>
      <c r="AE100" s="11">
        <f t="shared" si="30"/>
        <v>-45.36</v>
      </c>
    </row>
    <row r="101" spans="1:31" x14ac:dyDescent="0.3">
      <c r="A101">
        <v>80</v>
      </c>
      <c r="B101">
        <v>4599834</v>
      </c>
      <c r="C101" t="s">
        <v>91</v>
      </c>
      <c r="D101">
        <v>1648570</v>
      </c>
      <c r="E101" t="s">
        <v>99</v>
      </c>
      <c r="F101" t="s">
        <v>19</v>
      </c>
      <c r="G101" t="s">
        <v>54</v>
      </c>
      <c r="H101" t="s">
        <v>55</v>
      </c>
      <c r="I101" s="9" t="s">
        <v>754</v>
      </c>
      <c r="J101" s="9">
        <v>51136029399</v>
      </c>
      <c r="K101" s="14" t="s">
        <v>654</v>
      </c>
      <c r="L101" s="13" t="s">
        <v>1034</v>
      </c>
      <c r="M101" s="14">
        <v>2000</v>
      </c>
      <c r="N101" s="14">
        <v>1.66</v>
      </c>
      <c r="O101" s="10">
        <f t="shared" si="26"/>
        <v>3320</v>
      </c>
      <c r="P101" s="11">
        <v>0</v>
      </c>
      <c r="Q101" s="11">
        <v>0</v>
      </c>
      <c r="R101" s="10">
        <f>IF(COUNTIF($J$2:J101,J101)=1,SUMIFS($O:$O,$J:$J,J101)+SUMIFS($P:$P,$J:$J,J101)+SUMIFS($Q:$Q,$J:$J,J101),"")</f>
        <v>3320</v>
      </c>
      <c r="S101">
        <v>4630</v>
      </c>
      <c r="T101" s="11" t="str">
        <f>IFERROR(INDEX(AD:AD,MATCH(J101,J:J,0)),"")</f>
        <v>Check</v>
      </c>
      <c r="U101" s="12">
        <v>45980</v>
      </c>
      <c r="V101" s="10">
        <v>170</v>
      </c>
      <c r="W101" s="10" t="str">
        <f t="shared" si="27"/>
        <v>Short Paid</v>
      </c>
      <c r="X101" t="s">
        <v>207</v>
      </c>
      <c r="Y101" t="s">
        <v>27</v>
      </c>
      <c r="Z101">
        <v>100114</v>
      </c>
      <c r="AA101" t="s">
        <v>238</v>
      </c>
      <c r="AB101" t="s">
        <v>252</v>
      </c>
      <c r="AC101" s="9">
        <f>COUNTIF(J:J,J101)</f>
        <v>1</v>
      </c>
      <c r="AD101" s="9" t="str">
        <f t="shared" si="28"/>
        <v>Check</v>
      </c>
      <c r="AE101" s="11">
        <f t="shared" ref="AE101:AE110" si="31">R101-S101</f>
        <v>-1310</v>
      </c>
    </row>
    <row r="102" spans="1:31" x14ac:dyDescent="0.3">
      <c r="A102">
        <v>79</v>
      </c>
      <c r="B102">
        <v>4602338</v>
      </c>
      <c r="C102" t="s">
        <v>91</v>
      </c>
      <c r="D102">
        <v>1963277</v>
      </c>
      <c r="E102" t="s">
        <v>107</v>
      </c>
      <c r="F102" t="s">
        <v>18</v>
      </c>
      <c r="G102" t="s">
        <v>122</v>
      </c>
      <c r="H102" t="s">
        <v>123</v>
      </c>
      <c r="I102" s="9" t="s">
        <v>678</v>
      </c>
      <c r="J102" s="9">
        <v>51135705510</v>
      </c>
      <c r="K102" s="14" t="s">
        <v>654</v>
      </c>
      <c r="L102" s="13" t="s">
        <v>1035</v>
      </c>
      <c r="M102" s="14">
        <v>1600</v>
      </c>
      <c r="N102" s="14">
        <v>0.5</v>
      </c>
      <c r="O102" s="10">
        <f t="shared" si="26"/>
        <v>800</v>
      </c>
      <c r="P102" s="11">
        <v>0</v>
      </c>
      <c r="Q102" s="11">
        <v>0</v>
      </c>
      <c r="R102" s="10">
        <f>IF(COUNTIF($J$2:J102,J102)=1,SUMIFS($O:$O,$J:$J,J102)+SUMIFS($P:$P,$J:$J,J102)+SUMIFS($Q:$Q,$J:$J,J102),"")</f>
        <v>800</v>
      </c>
      <c r="S102">
        <v>2374.8599999999997</v>
      </c>
      <c r="T102" s="11" t="str">
        <f>IFERROR(INDEX(AD:AD,MATCH(J102,J:J,0)),"")</f>
        <v>Check</v>
      </c>
      <c r="U102" s="12">
        <v>46000</v>
      </c>
      <c r="V102" s="10">
        <v>428.72</v>
      </c>
      <c r="W102" s="10" t="str">
        <f t="shared" si="27"/>
        <v>Short Paid</v>
      </c>
      <c r="X102" t="s">
        <v>220</v>
      </c>
      <c r="Y102" t="s">
        <v>27</v>
      </c>
      <c r="Z102">
        <v>100289</v>
      </c>
      <c r="AA102" t="s">
        <v>221</v>
      </c>
      <c r="AB102" t="s">
        <v>251</v>
      </c>
      <c r="AC102" s="9">
        <f>COUNTIF(J:J,J102)</f>
        <v>1</v>
      </c>
      <c r="AD102" s="9" t="str">
        <f t="shared" si="28"/>
        <v>Check</v>
      </c>
      <c r="AE102" s="11">
        <f t="shared" si="31"/>
        <v>-1574.8599999999997</v>
      </c>
    </row>
    <row r="103" spans="1:31" x14ac:dyDescent="0.3">
      <c r="A103">
        <v>79</v>
      </c>
      <c r="B103">
        <v>4602617</v>
      </c>
      <c r="C103" t="s">
        <v>91</v>
      </c>
      <c r="D103">
        <v>1963277</v>
      </c>
      <c r="E103" t="s">
        <v>107</v>
      </c>
      <c r="F103" t="s">
        <v>18</v>
      </c>
      <c r="G103" t="s">
        <v>120</v>
      </c>
      <c r="H103" t="s">
        <v>121</v>
      </c>
      <c r="I103" s="9" t="s">
        <v>746</v>
      </c>
      <c r="J103" s="9">
        <v>51136008189</v>
      </c>
      <c r="K103" s="14" t="s">
        <v>654</v>
      </c>
      <c r="L103" s="13" t="s">
        <v>1036</v>
      </c>
      <c r="M103" s="14">
        <v>477</v>
      </c>
      <c r="N103" s="14">
        <v>20.239999999999998</v>
      </c>
      <c r="O103" s="10">
        <f t="shared" si="26"/>
        <v>9654.48</v>
      </c>
      <c r="P103" s="11">
        <v>0</v>
      </c>
      <c r="Q103" s="11">
        <v>0</v>
      </c>
      <c r="R103" s="10">
        <f>IF(COUNTIF($J$2:J103,J103)=1,SUMIFS($O:$O,$J:$J,J103)+SUMIFS($P:$P,$J:$J,J103)+SUMIFS($Q:$Q,$J:$J,J103),"")</f>
        <v>9654.48</v>
      </c>
      <c r="S103">
        <v>14341.98</v>
      </c>
      <c r="T103" s="11" t="str">
        <f>IFERROR(INDEX(AD:AD,MATCH(J103,J:J,0)),"")</f>
        <v>Check</v>
      </c>
      <c r="U103" s="12">
        <v>46000</v>
      </c>
      <c r="V103" s="10">
        <v>152.63999999999999</v>
      </c>
      <c r="W103" s="10" t="str">
        <f t="shared" si="27"/>
        <v>Short Paid</v>
      </c>
      <c r="X103" t="s">
        <v>220</v>
      </c>
      <c r="Y103" t="s">
        <v>27</v>
      </c>
      <c r="Z103">
        <v>100119</v>
      </c>
      <c r="AA103" t="s">
        <v>235</v>
      </c>
      <c r="AB103" t="s">
        <v>251</v>
      </c>
      <c r="AC103" s="9">
        <f>COUNTIF(J:J,J103)</f>
        <v>1</v>
      </c>
      <c r="AD103" s="9" t="str">
        <f t="shared" si="28"/>
        <v>Check</v>
      </c>
      <c r="AE103" s="11">
        <f t="shared" si="31"/>
        <v>-4687.5</v>
      </c>
    </row>
    <row r="104" spans="1:31" x14ac:dyDescent="0.3">
      <c r="A104">
        <v>79</v>
      </c>
      <c r="B104">
        <v>4603452</v>
      </c>
      <c r="C104" t="s">
        <v>91</v>
      </c>
      <c r="D104">
        <v>1963277</v>
      </c>
      <c r="E104" t="s">
        <v>107</v>
      </c>
      <c r="F104" t="s">
        <v>18</v>
      </c>
      <c r="G104" t="s">
        <v>124</v>
      </c>
      <c r="H104" t="s">
        <v>125</v>
      </c>
      <c r="I104" s="9" t="s">
        <v>658</v>
      </c>
      <c r="J104" s="9">
        <v>51137375916</v>
      </c>
      <c r="K104" s="14" t="s">
        <v>654</v>
      </c>
      <c r="L104" s="13" t="s">
        <v>1038</v>
      </c>
      <c r="M104" s="14">
        <v>1000</v>
      </c>
      <c r="N104" s="14">
        <v>35.869999999999997</v>
      </c>
      <c r="O104" s="10">
        <f t="shared" si="26"/>
        <v>35870</v>
      </c>
      <c r="P104" s="11">
        <v>0</v>
      </c>
      <c r="Q104" s="11">
        <v>0</v>
      </c>
      <c r="R104" s="10">
        <f>IF(COUNTIF($J$2:J104,J104)=1,SUMIFS($O:$O,$J:$J,J104)+SUMIFS($P:$P,$J:$J,J104)+SUMIFS($Q:$Q,$J:$J,J104),"")</f>
        <v>35870</v>
      </c>
      <c r="S104">
        <v>48750</v>
      </c>
      <c r="T104" s="11" t="str">
        <f>IFERROR(INDEX(AD:AD,MATCH(J104,J:J,0)),"")</f>
        <v>Check</v>
      </c>
      <c r="U104" s="12">
        <v>46007</v>
      </c>
      <c r="V104" s="10">
        <v>2752.2</v>
      </c>
      <c r="W104" s="10" t="str">
        <f t="shared" si="27"/>
        <v>Short Paid</v>
      </c>
      <c r="X104" t="s">
        <v>220</v>
      </c>
      <c r="Y104" t="s">
        <v>27</v>
      </c>
      <c r="Z104">
        <v>100169</v>
      </c>
      <c r="AA104" t="s">
        <v>233</v>
      </c>
      <c r="AB104" t="s">
        <v>251</v>
      </c>
      <c r="AC104" s="9">
        <f>COUNTIF(J:J,J104)</f>
        <v>1</v>
      </c>
      <c r="AD104" s="9" t="str">
        <f t="shared" si="28"/>
        <v>Check</v>
      </c>
      <c r="AE104" s="11">
        <f t="shared" si="31"/>
        <v>-12880</v>
      </c>
    </row>
    <row r="105" spans="1:31" x14ac:dyDescent="0.3">
      <c r="A105">
        <v>79</v>
      </c>
      <c r="B105">
        <v>4603730</v>
      </c>
      <c r="C105" t="s">
        <v>91</v>
      </c>
      <c r="D105">
        <v>1963277</v>
      </c>
      <c r="E105" t="s">
        <v>107</v>
      </c>
      <c r="F105" t="s">
        <v>18</v>
      </c>
      <c r="G105" t="s">
        <v>561</v>
      </c>
      <c r="H105" t="s">
        <v>562</v>
      </c>
      <c r="I105" s="9" t="s">
        <v>682</v>
      </c>
      <c r="J105" s="9">
        <v>51137319015</v>
      </c>
      <c r="K105" s="14" t="s">
        <v>660</v>
      </c>
      <c r="L105" s="13" t="s">
        <v>659</v>
      </c>
      <c r="M105" s="14">
        <v>54</v>
      </c>
      <c r="N105" s="14">
        <v>20.82</v>
      </c>
      <c r="O105" s="10">
        <f t="shared" si="26"/>
        <v>1124.28</v>
      </c>
      <c r="P105" s="11">
        <v>0</v>
      </c>
      <c r="Q105" s="11">
        <v>0</v>
      </c>
      <c r="R105" s="10">
        <f>IF(COUNTIF($J$2:J105,J105)=1,SUMIFS($O:$O,$J:$J,J105)+SUMIFS($P:$P,$J:$J,J105)+SUMIFS($Q:$Q,$J:$J,J105),"")</f>
        <v>1124.28</v>
      </c>
      <c r="S105" s="10">
        <v>1124.28</v>
      </c>
      <c r="T105" s="11" t="str">
        <f>IFERROR(INDEX(AD:AD,MATCH(J105,J:J,0)),"")</f>
        <v>Ok</v>
      </c>
      <c r="U105" s="12">
        <v>46007</v>
      </c>
      <c r="V105" s="10">
        <v>133.54</v>
      </c>
      <c r="W105" s="10" t="str">
        <f t="shared" si="27"/>
        <v>Short Paid</v>
      </c>
      <c r="X105" t="s">
        <v>220</v>
      </c>
      <c r="Y105" t="s">
        <v>27</v>
      </c>
      <c r="Z105">
        <v>100199</v>
      </c>
      <c r="AA105" t="s">
        <v>225</v>
      </c>
      <c r="AB105" t="s">
        <v>251</v>
      </c>
      <c r="AC105" s="9">
        <f>COUNTIF(J:J,J105)</f>
        <v>1</v>
      </c>
      <c r="AD105" s="9" t="str">
        <f t="shared" si="28"/>
        <v>Ok</v>
      </c>
      <c r="AE105" s="11">
        <f t="shared" si="31"/>
        <v>0</v>
      </c>
    </row>
    <row r="106" spans="1:31" x14ac:dyDescent="0.3">
      <c r="A106">
        <v>79</v>
      </c>
      <c r="B106">
        <v>4604286</v>
      </c>
      <c r="C106" t="s">
        <v>91</v>
      </c>
      <c r="D106">
        <v>1963277</v>
      </c>
      <c r="E106" t="s">
        <v>107</v>
      </c>
      <c r="F106" t="s">
        <v>18</v>
      </c>
      <c r="G106" t="s">
        <v>56</v>
      </c>
      <c r="H106" t="s">
        <v>57</v>
      </c>
      <c r="I106" s="9" t="s">
        <v>828</v>
      </c>
      <c r="J106" s="9">
        <v>51137131383</v>
      </c>
      <c r="K106" s="14" t="s">
        <v>654</v>
      </c>
      <c r="L106" s="13" t="s">
        <v>1037</v>
      </c>
      <c r="M106" s="14">
        <v>3000</v>
      </c>
      <c r="N106" s="14">
        <v>1.6245000000000001</v>
      </c>
      <c r="O106" s="10">
        <f t="shared" si="26"/>
        <v>4873.5</v>
      </c>
      <c r="P106" s="11">
        <v>0</v>
      </c>
      <c r="Q106" s="11">
        <v>0</v>
      </c>
      <c r="R106" s="10">
        <f>IF(COUNTIF($J$2:J106,J106)=1,SUMIFS($O:$O,$J:$J,J106)+SUMIFS($P:$P,$J:$J,J106)+SUMIFS($Q:$Q,$J:$J,J106),"")</f>
        <v>4873.5</v>
      </c>
      <c r="S106">
        <v>5583</v>
      </c>
      <c r="T106" s="11" t="str">
        <f>IFERROR(INDEX(AD:AD,MATCH(J106,J:J,0)),"")</f>
        <v>Check</v>
      </c>
      <c r="U106" s="12">
        <v>45999</v>
      </c>
      <c r="V106" s="10">
        <v>529.5</v>
      </c>
      <c r="W106" s="10" t="str">
        <f t="shared" si="27"/>
        <v>Short Paid</v>
      </c>
      <c r="X106" t="s">
        <v>220</v>
      </c>
      <c r="Y106" t="s">
        <v>27</v>
      </c>
      <c r="Z106">
        <v>100239</v>
      </c>
      <c r="AA106" t="s">
        <v>226</v>
      </c>
      <c r="AB106" t="s">
        <v>251</v>
      </c>
      <c r="AC106" s="9">
        <f>COUNTIF(J:J,J106)</f>
        <v>1</v>
      </c>
      <c r="AD106" s="9" t="str">
        <f t="shared" si="28"/>
        <v>Check</v>
      </c>
      <c r="AE106" s="11">
        <f t="shared" si="31"/>
        <v>-709.5</v>
      </c>
    </row>
    <row r="107" spans="1:31" x14ac:dyDescent="0.3">
      <c r="A107">
        <v>78</v>
      </c>
      <c r="B107">
        <v>4607904</v>
      </c>
      <c r="C107" t="s">
        <v>91</v>
      </c>
      <c r="D107">
        <v>1963277</v>
      </c>
      <c r="E107" t="s">
        <v>107</v>
      </c>
      <c r="F107" t="s">
        <v>18</v>
      </c>
      <c r="G107" t="s">
        <v>60</v>
      </c>
      <c r="H107" t="s">
        <v>61</v>
      </c>
      <c r="I107" s="9" t="s">
        <v>678</v>
      </c>
      <c r="J107" s="9">
        <v>51137871300</v>
      </c>
      <c r="K107" s="14" t="s">
        <v>654</v>
      </c>
      <c r="L107" s="13" t="s">
        <v>1037</v>
      </c>
      <c r="M107" s="14">
        <v>1500</v>
      </c>
      <c r="N107" s="14">
        <v>1.1845000000000001</v>
      </c>
      <c r="O107" s="10">
        <f t="shared" si="26"/>
        <v>1776.7500000000002</v>
      </c>
      <c r="P107" s="11">
        <v>0</v>
      </c>
      <c r="Q107" s="11">
        <v>0</v>
      </c>
      <c r="R107" s="10">
        <f>IF(COUNTIF($J$2:J107,J107)=1,SUMIFS($O:$O,$J:$J,J107)+SUMIFS($P:$P,$J:$J,J107)+SUMIFS($Q:$Q,$J:$J,J107),"")</f>
        <v>1776.7500000000002</v>
      </c>
      <c r="S107">
        <v>4604.37</v>
      </c>
      <c r="T107" s="11" t="str">
        <f>IFERROR(INDEX(AD:AD,MATCH(J107,J:J,0)),"")</f>
        <v>Check</v>
      </c>
      <c r="U107" s="12">
        <v>46015</v>
      </c>
      <c r="V107" s="10">
        <v>1147.44</v>
      </c>
      <c r="W107" s="10" t="str">
        <f t="shared" si="27"/>
        <v>Short Paid</v>
      </c>
      <c r="X107" t="s">
        <v>220</v>
      </c>
      <c r="Y107" t="s">
        <v>27</v>
      </c>
      <c r="Z107">
        <v>100289</v>
      </c>
      <c r="AA107" t="s">
        <v>221</v>
      </c>
      <c r="AB107" t="s">
        <v>251</v>
      </c>
      <c r="AC107" s="9">
        <f>COUNTIF(J:J,J107)</f>
        <v>1</v>
      </c>
      <c r="AD107" s="9" t="str">
        <f t="shared" si="28"/>
        <v>Check</v>
      </c>
      <c r="AE107" s="11">
        <f t="shared" si="31"/>
        <v>-2827.62</v>
      </c>
    </row>
    <row r="108" spans="1:31" x14ac:dyDescent="0.3">
      <c r="A108">
        <v>78</v>
      </c>
      <c r="B108">
        <v>4608182</v>
      </c>
      <c r="C108" t="s">
        <v>91</v>
      </c>
      <c r="D108">
        <v>1963277</v>
      </c>
      <c r="E108" t="s">
        <v>107</v>
      </c>
      <c r="F108" t="s">
        <v>18</v>
      </c>
      <c r="G108" t="s">
        <v>128</v>
      </c>
      <c r="H108" t="s">
        <v>129</v>
      </c>
      <c r="I108" s="9" t="s">
        <v>819</v>
      </c>
      <c r="J108" s="9">
        <v>51137879489</v>
      </c>
      <c r="K108" s="14" t="s">
        <v>654</v>
      </c>
      <c r="L108" s="13" t="s">
        <v>1036</v>
      </c>
      <c r="M108" s="14">
        <v>314</v>
      </c>
      <c r="N108" s="14">
        <v>20.239999999999998</v>
      </c>
      <c r="O108" s="10">
        <f t="shared" si="26"/>
        <v>6355.36</v>
      </c>
      <c r="P108" s="11">
        <v>0</v>
      </c>
      <c r="Q108" s="11">
        <v>0</v>
      </c>
      <c r="R108" s="10">
        <f>IF(COUNTIF($J$2:J108,J108)=1,SUMIFS($O:$O,$J:$J,J108)+SUMIFS($P:$P,$J:$J,J108)+SUMIFS($Q:$Q,$J:$J,J108),"")</f>
        <v>6355.36</v>
      </c>
      <c r="S108">
        <v>7684.5599999999995</v>
      </c>
      <c r="T108" s="11" t="str">
        <f>IFERROR(INDEX(AD:AD,MATCH(J108,J:J,0)),"")</f>
        <v>Check</v>
      </c>
      <c r="U108" s="12">
        <v>46014</v>
      </c>
      <c r="V108" s="10">
        <v>100.48</v>
      </c>
      <c r="W108" s="10" t="str">
        <f t="shared" si="27"/>
        <v>Short Paid</v>
      </c>
      <c r="X108" t="s">
        <v>220</v>
      </c>
      <c r="Y108" t="s">
        <v>27</v>
      </c>
      <c r="Z108">
        <v>100119</v>
      </c>
      <c r="AA108" t="s">
        <v>235</v>
      </c>
      <c r="AB108" t="s">
        <v>251</v>
      </c>
      <c r="AC108" s="9">
        <f>COUNTIF(J:J,J108)</f>
        <v>1</v>
      </c>
      <c r="AD108" s="9" t="str">
        <f t="shared" si="28"/>
        <v>Check</v>
      </c>
      <c r="AE108" s="11">
        <f t="shared" si="31"/>
        <v>-1329.1999999999998</v>
      </c>
    </row>
    <row r="109" spans="1:31" x14ac:dyDescent="0.3">
      <c r="A109">
        <v>78</v>
      </c>
      <c r="B109">
        <v>4608461</v>
      </c>
      <c r="C109" t="s">
        <v>91</v>
      </c>
      <c r="D109">
        <v>1963277</v>
      </c>
      <c r="E109" t="s">
        <v>107</v>
      </c>
      <c r="F109" t="s">
        <v>18</v>
      </c>
      <c r="G109" t="s">
        <v>58</v>
      </c>
      <c r="H109" t="s">
        <v>59</v>
      </c>
      <c r="I109" s="9" t="s">
        <v>734</v>
      </c>
      <c r="J109" s="9">
        <v>51137561188</v>
      </c>
      <c r="K109" s="14" t="s">
        <v>654</v>
      </c>
      <c r="L109" s="13" t="s">
        <v>1037</v>
      </c>
      <c r="M109" s="14">
        <v>1500</v>
      </c>
      <c r="N109" s="14">
        <v>1.1845000000000001</v>
      </c>
      <c r="O109" s="10">
        <f t="shared" si="26"/>
        <v>1776.7500000000002</v>
      </c>
      <c r="P109" s="11">
        <v>0</v>
      </c>
      <c r="Q109" s="11">
        <v>0</v>
      </c>
      <c r="R109" s="10">
        <f>IF(COUNTIF($J$2:J109,J109)=1,SUMIFS($O:$O,$J:$J,J109)+SUMIFS($P:$P,$J:$J,J109)+SUMIFS($Q:$Q,$J:$J,J109),"")</f>
        <v>1776.7500000000002</v>
      </c>
      <c r="S109">
        <v>17440.53</v>
      </c>
      <c r="T109" s="11" t="str">
        <f>IFERROR(INDEX(AD:AD,MATCH(J109,J:J,0)),"")</f>
        <v>Check</v>
      </c>
      <c r="U109" s="12">
        <v>46013</v>
      </c>
      <c r="V109" s="10">
        <v>1304.6400000000001</v>
      </c>
      <c r="W109" s="10" t="str">
        <f t="shared" si="27"/>
        <v>Short Paid</v>
      </c>
      <c r="X109" t="s">
        <v>220</v>
      </c>
      <c r="Y109" t="s">
        <v>27</v>
      </c>
      <c r="Z109">
        <v>100129</v>
      </c>
      <c r="AA109" t="s">
        <v>236</v>
      </c>
      <c r="AB109" t="s">
        <v>251</v>
      </c>
      <c r="AC109" s="9">
        <f>COUNTIF(J:J,J109)</f>
        <v>1</v>
      </c>
      <c r="AD109" s="9" t="str">
        <f t="shared" si="28"/>
        <v>Check</v>
      </c>
      <c r="AE109" s="11">
        <f t="shared" si="31"/>
        <v>-15663.779999999999</v>
      </c>
    </row>
    <row r="110" spans="1:31" x14ac:dyDescent="0.3">
      <c r="A110">
        <v>78</v>
      </c>
      <c r="B110">
        <v>4608739</v>
      </c>
      <c r="C110" t="s">
        <v>91</v>
      </c>
      <c r="D110">
        <v>1963277</v>
      </c>
      <c r="E110" t="s">
        <v>107</v>
      </c>
      <c r="F110" t="s">
        <v>18</v>
      </c>
      <c r="G110" t="s">
        <v>126</v>
      </c>
      <c r="H110" t="s">
        <v>127</v>
      </c>
      <c r="I110" s="9" t="s">
        <v>703</v>
      </c>
      <c r="J110" s="9">
        <v>51137914147</v>
      </c>
      <c r="K110" s="14" t="s">
        <v>654</v>
      </c>
      <c r="L110" s="13" t="s">
        <v>1032</v>
      </c>
      <c r="M110" s="14">
        <v>646</v>
      </c>
      <c r="N110" s="14">
        <v>0.46</v>
      </c>
      <c r="O110" s="10">
        <f t="shared" si="26"/>
        <v>297.16000000000003</v>
      </c>
      <c r="P110" s="11">
        <v>0</v>
      </c>
      <c r="Q110" s="11">
        <v>0</v>
      </c>
      <c r="R110" s="10">
        <f>IF(COUNTIF($J$2:J110,J110)=1,SUMIFS($O:$O,$J:$J,J110)+SUMIFS($P:$P,$J:$J,J110)+SUMIFS($Q:$Q,$J:$J,J110),"")</f>
        <v>297.16000000000003</v>
      </c>
      <c r="S110">
        <v>1515.16</v>
      </c>
      <c r="T110" s="11" t="str">
        <f>IFERROR(INDEX(AD:AD,MATCH(J110,J:J,0)),"")</f>
        <v>Check</v>
      </c>
      <c r="U110" s="12">
        <v>46014</v>
      </c>
      <c r="V110" s="10">
        <v>180.88</v>
      </c>
      <c r="W110" s="10" t="str">
        <f t="shared" si="27"/>
        <v>Short Paid</v>
      </c>
      <c r="X110" t="s">
        <v>220</v>
      </c>
      <c r="Y110" t="s">
        <v>27</v>
      </c>
      <c r="Z110">
        <v>100159</v>
      </c>
      <c r="AA110" t="s">
        <v>232</v>
      </c>
      <c r="AB110" t="s">
        <v>251</v>
      </c>
      <c r="AC110" s="9">
        <f>COUNTIF(J:J,J110)</f>
        <v>1</v>
      </c>
      <c r="AD110" s="9" t="str">
        <f t="shared" si="28"/>
        <v>Check</v>
      </c>
      <c r="AE110" s="11">
        <f t="shared" si="31"/>
        <v>-1218</v>
      </c>
    </row>
    <row r="111" spans="1:31" x14ac:dyDescent="0.3">
      <c r="A111">
        <v>72</v>
      </c>
      <c r="B111">
        <v>4619314</v>
      </c>
      <c r="C111" t="s">
        <v>91</v>
      </c>
      <c r="D111">
        <v>1443616</v>
      </c>
      <c r="E111" t="s">
        <v>113</v>
      </c>
      <c r="F111" t="s">
        <v>19</v>
      </c>
      <c r="G111" t="s">
        <v>563</v>
      </c>
      <c r="H111" t="s">
        <v>564</v>
      </c>
      <c r="I111" s="9" t="s">
        <v>675</v>
      </c>
      <c r="J111" s="9">
        <v>50115471639</v>
      </c>
      <c r="K111" s="14" t="s">
        <v>677</v>
      </c>
      <c r="L111" s="13" t="s">
        <v>676</v>
      </c>
      <c r="M111" s="14">
        <v>146</v>
      </c>
      <c r="N111" s="14">
        <v>68.2</v>
      </c>
      <c r="O111" s="10">
        <f t="shared" si="26"/>
        <v>9957.2000000000007</v>
      </c>
      <c r="P111" s="11">
        <v>0</v>
      </c>
      <c r="Q111" s="11">
        <v>0</v>
      </c>
      <c r="R111" s="10">
        <f>IF(COUNTIF($J$2:J111,J111)=1,SUMIFS($O:$O,$J:$J,J111)+SUMIFS($P:$P,$J:$J,J111)+SUMIFS($Q:$Q,$J:$J,J111),"")</f>
        <v>9957.2000000000007</v>
      </c>
      <c r="S111" s="10">
        <v>10277.19</v>
      </c>
      <c r="T111" s="11" t="str">
        <f>IFERROR(INDEX(AD:AD,MATCH(J111,J:J,0)),"")</f>
        <v>Check</v>
      </c>
      <c r="U111" s="12">
        <v>46084</v>
      </c>
      <c r="V111" s="10">
        <v>39270</v>
      </c>
      <c r="W111" s="10" t="str">
        <f t="shared" si="27"/>
        <v>Short Paid</v>
      </c>
      <c r="X111" t="s">
        <v>197</v>
      </c>
      <c r="Y111" t="s">
        <v>27</v>
      </c>
      <c r="Z111">
        <v>100271</v>
      </c>
      <c r="AA111" t="s">
        <v>621</v>
      </c>
      <c r="AB111" t="s">
        <v>252</v>
      </c>
      <c r="AC111" s="9">
        <f>COUNTIF(J:J,J111)</f>
        <v>1</v>
      </c>
      <c r="AD111" s="9" t="str">
        <f t="shared" si="28"/>
        <v>Check</v>
      </c>
      <c r="AE111" s="11">
        <f t="shared" ref="AE111:AE114" si="32">R111-S111</f>
        <v>-319.98999999999978</v>
      </c>
    </row>
    <row r="112" spans="1:31" x14ac:dyDescent="0.3">
      <c r="A112">
        <v>71</v>
      </c>
      <c r="B112">
        <v>4622097</v>
      </c>
      <c r="C112" t="s">
        <v>91</v>
      </c>
      <c r="D112">
        <v>1507117</v>
      </c>
      <c r="E112" t="s">
        <v>92</v>
      </c>
      <c r="F112" t="s">
        <v>20</v>
      </c>
      <c r="G112" t="s">
        <v>62</v>
      </c>
      <c r="H112" t="s">
        <v>63</v>
      </c>
      <c r="I112" s="9" t="s">
        <v>742</v>
      </c>
      <c r="J112" s="9">
        <v>51138541149</v>
      </c>
      <c r="K112" s="14" t="s">
        <v>654</v>
      </c>
      <c r="L112" s="13" t="s">
        <v>1037</v>
      </c>
      <c r="M112" s="14">
        <v>1500</v>
      </c>
      <c r="N112" s="14">
        <v>1.1845000000000001</v>
      </c>
      <c r="O112" s="10">
        <f t="shared" si="26"/>
        <v>1776.7500000000002</v>
      </c>
      <c r="P112" s="11">
        <v>0</v>
      </c>
      <c r="Q112" s="11">
        <v>68.239999999999995</v>
      </c>
      <c r="R112" s="10">
        <f>IF(COUNTIF($J$2:J112,J112)=1,SUMIFS($O:$O,$J:$J,J112)+SUMIFS($P:$P,$J:$J,J112)+SUMIFS($Q:$Q,$J:$J,J112),"")</f>
        <v>1844.9900000000002</v>
      </c>
      <c r="S112">
        <v>2322.2200000000003</v>
      </c>
      <c r="T112" s="11" t="str">
        <f>IFERROR(INDEX(AD:AD,MATCH(J112,J:J,0)),"")</f>
        <v>Check</v>
      </c>
      <c r="U112" s="12">
        <v>46020</v>
      </c>
      <c r="V112" s="10">
        <v>350.47</v>
      </c>
      <c r="W112" s="10" t="str">
        <f t="shared" si="27"/>
        <v>Short Paid</v>
      </c>
      <c r="X112" t="s">
        <v>207</v>
      </c>
      <c r="Y112" t="s">
        <v>27</v>
      </c>
      <c r="Z112">
        <v>100114</v>
      </c>
      <c r="AA112" t="s">
        <v>238</v>
      </c>
      <c r="AB112" t="s">
        <v>249</v>
      </c>
      <c r="AC112" s="9">
        <f>COUNTIF(J:J,J112)</f>
        <v>1</v>
      </c>
      <c r="AD112" s="9" t="str">
        <f t="shared" si="28"/>
        <v>Check</v>
      </c>
      <c r="AE112" s="11">
        <f t="shared" si="32"/>
        <v>-477.23</v>
      </c>
    </row>
    <row r="113" spans="1:31" x14ac:dyDescent="0.3">
      <c r="A113">
        <v>65</v>
      </c>
      <c r="B113">
        <v>4629889</v>
      </c>
      <c r="C113" t="s">
        <v>91</v>
      </c>
      <c r="D113">
        <v>1632939</v>
      </c>
      <c r="E113" t="s">
        <v>286</v>
      </c>
      <c r="F113" t="s">
        <v>17</v>
      </c>
      <c r="G113" t="s">
        <v>65</v>
      </c>
      <c r="H113" t="s">
        <v>66</v>
      </c>
      <c r="I113" s="9" t="s">
        <v>746</v>
      </c>
      <c r="J113" s="9">
        <v>51139337541</v>
      </c>
      <c r="K113" s="14" t="s">
        <v>654</v>
      </c>
      <c r="L113" s="13" t="s">
        <v>1040</v>
      </c>
      <c r="M113" s="14">
        <v>500</v>
      </c>
      <c r="N113" s="14">
        <v>4.0999999999999996</v>
      </c>
      <c r="O113" s="10">
        <f t="shared" si="26"/>
        <v>2050</v>
      </c>
      <c r="P113" s="11">
        <v>0</v>
      </c>
      <c r="Q113" s="11">
        <v>363.66</v>
      </c>
      <c r="R113" s="10">
        <f>IF(COUNTIF($J$2:J113,J113)=1,SUMIFS($O:$O,$J:$J,J113)+SUMIFS($P:$P,$J:$J,J113)+SUMIFS($Q:$Q,$J:$J,J113),"")</f>
        <v>2413.66</v>
      </c>
      <c r="S113">
        <v>6241.66</v>
      </c>
      <c r="T113" s="11" t="str">
        <f>IFERROR(INDEX(AD:AD,MATCH(J113,J:J,0)),"")</f>
        <v>Check</v>
      </c>
      <c r="U113" s="12">
        <v>46045</v>
      </c>
      <c r="V113" s="10">
        <v>4191.66</v>
      </c>
      <c r="W113" s="10" t="str">
        <f t="shared" si="27"/>
        <v>Short Paid</v>
      </c>
      <c r="X113" t="s">
        <v>222</v>
      </c>
      <c r="Y113" t="s">
        <v>198</v>
      </c>
      <c r="Z113">
        <v>100215</v>
      </c>
      <c r="AA113" t="s">
        <v>632</v>
      </c>
      <c r="AB113" t="s">
        <v>254</v>
      </c>
      <c r="AC113" s="9">
        <f>COUNTIF(J:J,J113)</f>
        <v>1</v>
      </c>
      <c r="AD113" s="9" t="str">
        <f t="shared" si="28"/>
        <v>Check</v>
      </c>
      <c r="AE113" s="11">
        <f t="shared" si="32"/>
        <v>-3828</v>
      </c>
    </row>
    <row r="114" spans="1:31" x14ac:dyDescent="0.3">
      <c r="A114">
        <v>65</v>
      </c>
      <c r="B114">
        <v>4630167</v>
      </c>
      <c r="C114" t="s">
        <v>91</v>
      </c>
      <c r="D114">
        <v>1830445</v>
      </c>
      <c r="E114" t="s">
        <v>64</v>
      </c>
      <c r="F114" t="s">
        <v>19</v>
      </c>
      <c r="G114" t="s">
        <v>170</v>
      </c>
      <c r="H114" t="s">
        <v>171</v>
      </c>
      <c r="I114" s="9" t="s">
        <v>698</v>
      </c>
      <c r="J114" s="9">
        <v>51139913440</v>
      </c>
      <c r="K114" s="14" t="s">
        <v>654</v>
      </c>
      <c r="L114" s="13" t="s">
        <v>1043</v>
      </c>
      <c r="M114" s="14">
        <v>276</v>
      </c>
      <c r="N114" s="14">
        <v>46.31</v>
      </c>
      <c r="O114" s="10">
        <f t="shared" si="26"/>
        <v>12781.560000000001</v>
      </c>
      <c r="P114" s="11">
        <v>0</v>
      </c>
      <c r="Q114" s="11">
        <v>0</v>
      </c>
      <c r="R114" s="10">
        <f>IF(COUNTIF($J$2:J114,J114)=1,SUMIFS($O:$O,$J:$J,J114)+SUMIFS($P:$P,$J:$J,J114)+SUMIFS($Q:$Q,$J:$J,J114),"")</f>
        <v>12781.560000000001</v>
      </c>
      <c r="S114">
        <v>26463.61</v>
      </c>
      <c r="T114" s="11" t="str">
        <f>IFERROR(INDEX(AD:AD,MATCH(J114,J:J,0)),"")</f>
        <v>Check</v>
      </c>
      <c r="U114" s="12">
        <v>46071</v>
      </c>
      <c r="V114" s="10">
        <v>1463.2</v>
      </c>
      <c r="W114" s="10" t="str">
        <f t="shared" si="27"/>
        <v>Short Paid</v>
      </c>
      <c r="X114" t="s">
        <v>204</v>
      </c>
      <c r="Y114" t="s">
        <v>27</v>
      </c>
      <c r="Z114">
        <v>100287</v>
      </c>
      <c r="AA114" t="s">
        <v>242</v>
      </c>
      <c r="AB114" t="s">
        <v>252</v>
      </c>
      <c r="AC114" s="9">
        <f>COUNTIF(J:J,J114)</f>
        <v>1</v>
      </c>
      <c r="AD114" s="9" t="str">
        <f t="shared" si="28"/>
        <v>Check</v>
      </c>
      <c r="AE114" s="11">
        <f t="shared" si="32"/>
        <v>-13682.05</v>
      </c>
    </row>
    <row r="115" spans="1:31" x14ac:dyDescent="0.3">
      <c r="A115">
        <v>64</v>
      </c>
      <c r="B115">
        <v>4636567</v>
      </c>
      <c r="C115" t="s">
        <v>91</v>
      </c>
      <c r="D115">
        <v>1963277</v>
      </c>
      <c r="E115" t="s">
        <v>107</v>
      </c>
      <c r="F115" t="s">
        <v>18</v>
      </c>
      <c r="G115" t="s">
        <v>565</v>
      </c>
      <c r="H115" t="s">
        <v>566</v>
      </c>
      <c r="I115" s="9" t="s">
        <v>714</v>
      </c>
      <c r="J115" s="9">
        <v>51140494777</v>
      </c>
      <c r="K115" s="14" t="s">
        <v>773</v>
      </c>
      <c r="L115" s="13" t="s">
        <v>800</v>
      </c>
      <c r="M115" s="14">
        <v>152</v>
      </c>
      <c r="N115" s="14">
        <v>53.46</v>
      </c>
      <c r="O115" s="10">
        <f t="shared" si="26"/>
        <v>8125.92</v>
      </c>
      <c r="P115" s="11">
        <v>0</v>
      </c>
      <c r="Q115" s="11">
        <v>0</v>
      </c>
      <c r="R115" s="10">
        <f>IF(COUNTIF($J$2:J115,J115)=1,SUMIFS($O:$O,$J:$J,J115)+SUMIFS($P:$P,$J:$J,J115)+SUMIFS($Q:$Q,$J:$J,J115),"")</f>
        <v>8125.92</v>
      </c>
      <c r="S115" s="10">
        <v>8125.92</v>
      </c>
      <c r="T115" s="11" t="str">
        <f>IFERROR(INDEX(AD:AD,MATCH(J115,J:J,0)),"")</f>
        <v>Ok</v>
      </c>
      <c r="U115" s="12">
        <v>46022</v>
      </c>
      <c r="V115" s="10">
        <v>676.81</v>
      </c>
      <c r="W115" s="10" t="str">
        <f t="shared" si="27"/>
        <v>Short Paid</v>
      </c>
      <c r="X115" t="s">
        <v>220</v>
      </c>
      <c r="Y115" t="s">
        <v>27</v>
      </c>
      <c r="Z115">
        <v>100159</v>
      </c>
      <c r="AA115" t="s">
        <v>232</v>
      </c>
      <c r="AB115" t="s">
        <v>251</v>
      </c>
      <c r="AC115" s="9">
        <f>COUNTIF(J:J,J115)</f>
        <v>1</v>
      </c>
      <c r="AD115" s="9" t="str">
        <f t="shared" si="28"/>
        <v>Ok</v>
      </c>
      <c r="AE115" s="11">
        <f t="shared" ref="AE115:AE119" si="33">R115-S115</f>
        <v>0</v>
      </c>
    </row>
    <row r="116" spans="1:31" x14ac:dyDescent="0.3">
      <c r="A116">
        <v>60</v>
      </c>
      <c r="B116">
        <v>4640463</v>
      </c>
      <c r="C116" t="s">
        <v>91</v>
      </c>
      <c r="D116">
        <v>1443616</v>
      </c>
      <c r="E116" t="s">
        <v>113</v>
      </c>
      <c r="F116" t="s">
        <v>19</v>
      </c>
      <c r="G116" t="s">
        <v>67</v>
      </c>
      <c r="H116" t="s">
        <v>68</v>
      </c>
      <c r="I116" s="9" t="s">
        <v>717</v>
      </c>
      <c r="J116" s="9">
        <v>51139880723</v>
      </c>
      <c r="K116" s="14" t="s">
        <v>654</v>
      </c>
      <c r="L116" s="13" t="s">
        <v>1042</v>
      </c>
      <c r="M116" s="14">
        <v>3000</v>
      </c>
      <c r="N116" s="14">
        <v>4.3499999999999996</v>
      </c>
      <c r="O116" s="10">
        <f t="shared" si="26"/>
        <v>13049.999999999998</v>
      </c>
      <c r="P116" s="11">
        <v>0</v>
      </c>
      <c r="Q116" s="11">
        <v>0</v>
      </c>
      <c r="R116" s="10">
        <f>IF(COUNTIF($J$2:J116,J116)=1,SUMIFS($O:$O,$J:$J,J116)+SUMIFS($P:$P,$J:$J,J116)+SUMIFS($Q:$Q,$J:$J,J116),"")</f>
        <v>13049.999999999998</v>
      </c>
      <c r="S116">
        <v>13050</v>
      </c>
      <c r="T116" s="11" t="str">
        <f>IFERROR(INDEX(AD:AD,MATCH(J116,J:J,0)),"")</f>
        <v>Ok</v>
      </c>
      <c r="U116" s="12">
        <v>46084</v>
      </c>
      <c r="V116" s="10">
        <v>3570</v>
      </c>
      <c r="W116" s="10" t="str">
        <f t="shared" si="27"/>
        <v>Short Paid</v>
      </c>
      <c r="X116" t="s">
        <v>197</v>
      </c>
      <c r="Y116" t="s">
        <v>27</v>
      </c>
      <c r="Z116">
        <v>100281</v>
      </c>
      <c r="AA116" t="s">
        <v>622</v>
      </c>
      <c r="AB116" t="s">
        <v>252</v>
      </c>
      <c r="AC116" s="9">
        <f>COUNTIF(J:J,J116)</f>
        <v>1</v>
      </c>
      <c r="AD116" s="9" t="str">
        <f t="shared" si="28"/>
        <v>Ok</v>
      </c>
      <c r="AE116" s="11">
        <f t="shared" si="33"/>
        <v>0</v>
      </c>
    </row>
    <row r="117" spans="1:31" x14ac:dyDescent="0.3">
      <c r="A117">
        <v>60</v>
      </c>
      <c r="B117">
        <v>4641855</v>
      </c>
      <c r="C117" t="s">
        <v>91</v>
      </c>
      <c r="D117">
        <v>1443616</v>
      </c>
      <c r="E117" t="s">
        <v>113</v>
      </c>
      <c r="F117" t="s">
        <v>19</v>
      </c>
      <c r="G117" t="s">
        <v>567</v>
      </c>
      <c r="H117" t="s">
        <v>568</v>
      </c>
      <c r="I117" s="9" t="s">
        <v>705</v>
      </c>
      <c r="J117" s="9">
        <v>51141333538</v>
      </c>
      <c r="K117" s="14" t="s">
        <v>699</v>
      </c>
      <c r="L117" s="13" t="s">
        <v>812</v>
      </c>
      <c r="M117" s="14">
        <v>7500</v>
      </c>
      <c r="N117" s="14">
        <v>2.6249999999999999E-2</v>
      </c>
      <c r="O117" s="10">
        <f t="shared" si="26"/>
        <v>196.875</v>
      </c>
      <c r="P117" s="11">
        <v>0</v>
      </c>
      <c r="Q117" s="11">
        <v>0</v>
      </c>
      <c r="R117" s="10">
        <f>IF(COUNTIF($J$2:J117,J117)=1,SUMIFS($O:$O,$J:$J,J117)+SUMIFS($P:$P,$J:$J,J117)+SUMIFS($Q:$Q,$J:$J,J117),"")</f>
        <v>196.875</v>
      </c>
      <c r="S117" s="10">
        <v>393.76</v>
      </c>
      <c r="T117" s="11" t="str">
        <f>IFERROR(INDEX(AD:AD,MATCH(J117,J:J,0)),"")</f>
        <v>Check</v>
      </c>
      <c r="U117" s="12">
        <v>46084</v>
      </c>
      <c r="V117" s="10">
        <v>35700</v>
      </c>
      <c r="W117" s="10" t="str">
        <f t="shared" si="27"/>
        <v>Short Paid</v>
      </c>
      <c r="X117" t="s">
        <v>197</v>
      </c>
      <c r="Y117" t="s">
        <v>27</v>
      </c>
      <c r="Z117">
        <v>100191</v>
      </c>
      <c r="AA117" t="s">
        <v>237</v>
      </c>
      <c r="AB117" t="s">
        <v>252</v>
      </c>
      <c r="AC117" s="9">
        <f>COUNTIF(J:J,J117)</f>
        <v>1</v>
      </c>
      <c r="AD117" s="9" t="str">
        <f t="shared" si="28"/>
        <v>Check</v>
      </c>
      <c r="AE117" s="11">
        <f t="shared" si="33"/>
        <v>-196.88499999999999</v>
      </c>
    </row>
    <row r="118" spans="1:31" x14ac:dyDescent="0.3">
      <c r="A118">
        <v>60</v>
      </c>
      <c r="B118">
        <v>4644638</v>
      </c>
      <c r="C118" t="s">
        <v>91</v>
      </c>
      <c r="D118">
        <v>1443616</v>
      </c>
      <c r="E118" t="s">
        <v>113</v>
      </c>
      <c r="F118" t="s">
        <v>19</v>
      </c>
      <c r="G118" t="s">
        <v>569</v>
      </c>
      <c r="H118" t="s">
        <v>570</v>
      </c>
      <c r="I118" s="9" t="s">
        <v>678</v>
      </c>
      <c r="J118" s="9">
        <v>50115671428</v>
      </c>
      <c r="K118" s="14" t="s">
        <v>657</v>
      </c>
      <c r="L118" s="13" t="s">
        <v>679</v>
      </c>
      <c r="M118" s="14">
        <v>30000</v>
      </c>
      <c r="N118" s="14">
        <v>1.24</v>
      </c>
      <c r="O118" s="10">
        <f t="shared" ref="O118:O146" si="34">M118*N118</f>
        <v>37200</v>
      </c>
      <c r="P118" s="11">
        <v>0</v>
      </c>
      <c r="Q118" s="11">
        <v>0</v>
      </c>
      <c r="R118" s="10">
        <f>IF(COUNTIF($J$2:J118,J118)=1,SUMIFS($O:$O,$J:$J,J118)+SUMIFS($P:$P,$J:$J,J118)+SUMIFS($Q:$Q,$J:$J,J118),"")</f>
        <v>37200</v>
      </c>
      <c r="S118" s="10">
        <v>35700</v>
      </c>
      <c r="T118" s="11" t="str">
        <f>IFERROR(INDEX(AD:AD,MATCH(J118,J:J,0)),"")</f>
        <v>Check</v>
      </c>
      <c r="U118" s="12">
        <v>46085</v>
      </c>
      <c r="V118" s="10">
        <v>35700</v>
      </c>
      <c r="W118" s="10" t="str">
        <f t="shared" ref="W118:W146" si="35">IF(OR(S118="",V118=""),"N/A",IF(S118&lt;&gt;V118,"Short Paid","Not Paid"))</f>
        <v>Not Paid</v>
      </c>
      <c r="X118" t="s">
        <v>197</v>
      </c>
      <c r="Y118" t="s">
        <v>27</v>
      </c>
      <c r="Z118">
        <v>100191</v>
      </c>
      <c r="AA118" t="s">
        <v>237</v>
      </c>
      <c r="AB118" t="s">
        <v>252</v>
      </c>
      <c r="AC118" s="9">
        <f>COUNTIF(J:J,J118)</f>
        <v>1</v>
      </c>
      <c r="AD118" s="9" t="str">
        <f t="shared" ref="AD118:AD146" si="36">IF(AND(R118="",S118=""),"N/A",IF(R118=S118,"Ok","Check"))</f>
        <v>Check</v>
      </c>
      <c r="AE118" s="11">
        <f t="shared" si="33"/>
        <v>1500</v>
      </c>
    </row>
    <row r="119" spans="1:31" x14ac:dyDescent="0.3">
      <c r="A119">
        <v>59</v>
      </c>
      <c r="B119">
        <v>4646586</v>
      </c>
      <c r="C119" t="s">
        <v>91</v>
      </c>
      <c r="D119">
        <v>1963277</v>
      </c>
      <c r="E119" t="s">
        <v>107</v>
      </c>
      <c r="F119" t="s">
        <v>18</v>
      </c>
      <c r="G119" t="s">
        <v>130</v>
      </c>
      <c r="H119" t="s">
        <v>131</v>
      </c>
      <c r="I119" s="9" t="s">
        <v>701</v>
      </c>
      <c r="J119" s="9">
        <v>51125154771</v>
      </c>
      <c r="K119" s="14" t="s">
        <v>654</v>
      </c>
      <c r="L119" s="13" t="s">
        <v>1032</v>
      </c>
      <c r="M119" s="14">
        <v>874</v>
      </c>
      <c r="N119" s="14">
        <v>0.46</v>
      </c>
      <c r="O119" s="10">
        <f t="shared" si="34"/>
        <v>402.04</v>
      </c>
      <c r="P119" s="11">
        <v>0</v>
      </c>
      <c r="Q119" s="11">
        <v>0</v>
      </c>
      <c r="R119" s="10">
        <f>IF(COUNTIF($J$2:J119,J119)=1,SUMIFS($O:$O,$J:$J,J119)+SUMIFS($P:$P,$J:$J,J119)+SUMIFS($Q:$Q,$J:$J,J119),"")</f>
        <v>402.04</v>
      </c>
      <c r="S119">
        <v>402.04</v>
      </c>
      <c r="T119" s="11" t="str">
        <f>IFERROR(INDEX(AD:AD,MATCH(J119,J:J,0)),"")</f>
        <v>Ok</v>
      </c>
      <c r="U119" s="12">
        <v>46027</v>
      </c>
      <c r="V119" s="10">
        <v>244.72</v>
      </c>
      <c r="W119" s="10" t="str">
        <f t="shared" si="35"/>
        <v>Short Paid</v>
      </c>
      <c r="X119" t="s">
        <v>220</v>
      </c>
      <c r="Y119" t="s">
        <v>27</v>
      </c>
      <c r="Z119">
        <v>100279</v>
      </c>
      <c r="AA119" t="s">
        <v>229</v>
      </c>
      <c r="AB119" t="s">
        <v>251</v>
      </c>
      <c r="AC119" s="9">
        <f>COUNTIF(J:J,J119)</f>
        <v>1</v>
      </c>
      <c r="AD119" s="9" t="str">
        <f t="shared" si="36"/>
        <v>Ok</v>
      </c>
      <c r="AE119" s="11">
        <f t="shared" si="33"/>
        <v>0</v>
      </c>
    </row>
    <row r="120" spans="1:31" x14ac:dyDescent="0.3">
      <c r="A120">
        <v>58</v>
      </c>
      <c r="B120">
        <v>4651317</v>
      </c>
      <c r="C120" t="s">
        <v>91</v>
      </c>
      <c r="D120">
        <v>1443616</v>
      </c>
      <c r="E120" t="s">
        <v>113</v>
      </c>
      <c r="F120" t="s">
        <v>19</v>
      </c>
      <c r="G120" t="s">
        <v>571</v>
      </c>
      <c r="H120" t="s">
        <v>572</v>
      </c>
      <c r="I120" s="9" t="s">
        <v>763</v>
      </c>
      <c r="J120" s="9">
        <v>51125154754</v>
      </c>
      <c r="K120" s="14" t="s">
        <v>681</v>
      </c>
      <c r="L120" s="13" t="s">
        <v>764</v>
      </c>
      <c r="M120" s="14">
        <v>27000</v>
      </c>
      <c r="N120" s="14">
        <v>8.15</v>
      </c>
      <c r="O120" s="10">
        <f t="shared" si="34"/>
        <v>220050</v>
      </c>
      <c r="P120" s="11">
        <v>0</v>
      </c>
      <c r="Q120" s="11">
        <v>0</v>
      </c>
      <c r="R120" s="10">
        <f>IF(COUNTIF($J$2:J120,J120)=1,SUMIFS($O:$O,$J:$J,J120)+SUMIFS($P:$P,$J:$J,J120)+SUMIFS($Q:$Q,$J:$J,J120),"")</f>
        <v>220050</v>
      </c>
      <c r="S120" s="10">
        <v>220050</v>
      </c>
      <c r="T120" s="11" t="str">
        <f>IFERROR(INDEX(AD:AD,MATCH(J120,J:J,0)),"")</f>
        <v>Ok</v>
      </c>
      <c r="U120" s="12">
        <v>46086</v>
      </c>
      <c r="V120" s="10">
        <v>220050</v>
      </c>
      <c r="W120" s="10" t="str">
        <f t="shared" si="35"/>
        <v>Not Paid</v>
      </c>
      <c r="X120" t="s">
        <v>197</v>
      </c>
      <c r="Y120" t="s">
        <v>27</v>
      </c>
      <c r="Z120">
        <v>100241</v>
      </c>
      <c r="AA120" t="s">
        <v>617</v>
      </c>
      <c r="AB120" t="s">
        <v>252</v>
      </c>
      <c r="AC120" s="9">
        <f>COUNTIF(J:J,J120)</f>
        <v>1</v>
      </c>
      <c r="AD120" s="9" t="str">
        <f t="shared" si="36"/>
        <v>Ok</v>
      </c>
      <c r="AE120" s="11">
        <f t="shared" ref="AE120:AE130" si="37">R120-S120</f>
        <v>0</v>
      </c>
    </row>
    <row r="121" spans="1:31" x14ac:dyDescent="0.3">
      <c r="A121">
        <v>58</v>
      </c>
      <c r="B121">
        <v>4653265</v>
      </c>
      <c r="C121" t="s">
        <v>91</v>
      </c>
      <c r="D121">
        <v>1963277</v>
      </c>
      <c r="E121" t="s">
        <v>107</v>
      </c>
      <c r="F121" t="s">
        <v>18</v>
      </c>
      <c r="G121" t="s">
        <v>132</v>
      </c>
      <c r="H121" t="s">
        <v>133</v>
      </c>
      <c r="I121" s="9" t="s">
        <v>801</v>
      </c>
      <c r="J121" s="9">
        <v>51141342447</v>
      </c>
      <c r="K121" s="14" t="s">
        <v>654</v>
      </c>
      <c r="L121" s="13" t="s">
        <v>1032</v>
      </c>
      <c r="M121" s="14">
        <v>608</v>
      </c>
      <c r="N121" s="14">
        <v>0.4466</v>
      </c>
      <c r="O121" s="10">
        <f t="shared" si="34"/>
        <v>271.53280000000001</v>
      </c>
      <c r="P121" s="11">
        <v>0</v>
      </c>
      <c r="Q121" s="11">
        <v>0</v>
      </c>
      <c r="R121" s="10">
        <f>IF(COUNTIF($J$2:J121,J121)=1,SUMIFS($O:$O,$J:$J,J121)+SUMIFS($P:$P,$J:$J,J121)+SUMIFS($Q:$Q,$J:$J,J121),"")</f>
        <v>271.53280000000001</v>
      </c>
      <c r="S121">
        <v>4033.5299999999997</v>
      </c>
      <c r="T121" s="11" t="str">
        <f>IFERROR(INDEX(AD:AD,MATCH(J121,J:J,0)),"")</f>
        <v>Check</v>
      </c>
      <c r="U121" s="12">
        <v>46029</v>
      </c>
      <c r="V121" s="10">
        <v>162.09</v>
      </c>
      <c r="W121" s="10" t="str">
        <f t="shared" si="35"/>
        <v>Short Paid</v>
      </c>
      <c r="X121" t="s">
        <v>220</v>
      </c>
      <c r="Y121" t="s">
        <v>27</v>
      </c>
      <c r="Z121">
        <v>100159</v>
      </c>
      <c r="AA121" t="s">
        <v>232</v>
      </c>
      <c r="AB121" t="s">
        <v>251</v>
      </c>
      <c r="AC121" s="9">
        <f>COUNTIF(J:J,J121)</f>
        <v>1</v>
      </c>
      <c r="AD121" s="9" t="str">
        <f t="shared" si="36"/>
        <v>Check</v>
      </c>
      <c r="AE121" s="11">
        <f t="shared" si="37"/>
        <v>-3761.9971999999998</v>
      </c>
    </row>
    <row r="122" spans="1:31" x14ac:dyDescent="0.3">
      <c r="A122">
        <v>57</v>
      </c>
      <c r="B122">
        <v>4654099</v>
      </c>
      <c r="C122" t="s">
        <v>91</v>
      </c>
      <c r="D122">
        <v>1462348</v>
      </c>
      <c r="E122" t="s">
        <v>187</v>
      </c>
      <c r="F122" t="s">
        <v>24</v>
      </c>
      <c r="G122" t="s">
        <v>69</v>
      </c>
      <c r="H122" t="s">
        <v>70</v>
      </c>
      <c r="I122" s="9" t="s">
        <v>807</v>
      </c>
      <c r="J122" s="9">
        <v>51141707374</v>
      </c>
      <c r="K122" s="14" t="s">
        <v>654</v>
      </c>
      <c r="L122" s="13" t="s">
        <v>1045</v>
      </c>
      <c r="M122" s="14">
        <v>1500</v>
      </c>
      <c r="N122" s="14">
        <v>1.1200000000000001</v>
      </c>
      <c r="O122" s="10">
        <f t="shared" si="34"/>
        <v>1680.0000000000002</v>
      </c>
      <c r="P122" s="11">
        <v>0</v>
      </c>
      <c r="Q122" s="11">
        <v>56.3</v>
      </c>
      <c r="R122" s="10">
        <f>IF(COUNTIF($J$2:J122,J122)=1,SUMIFS($O:$O,$J:$J,J122)+SUMIFS($P:$P,$J:$J,J122)+SUMIFS($Q:$Q,$J:$J,J122),"")</f>
        <v>1736.3000000000002</v>
      </c>
      <c r="S122">
        <v>2236.3000000000002</v>
      </c>
      <c r="T122" s="11" t="str">
        <f>IFERROR(INDEX(AD:AD,MATCH(J122,J:J,0)),"")</f>
        <v>Check</v>
      </c>
      <c r="U122" s="12">
        <v>46086</v>
      </c>
      <c r="V122" s="10">
        <v>450</v>
      </c>
      <c r="W122" s="10" t="str">
        <f t="shared" si="35"/>
        <v>Short Paid</v>
      </c>
      <c r="X122" t="s">
        <v>209</v>
      </c>
      <c r="Y122" t="s">
        <v>37</v>
      </c>
      <c r="Z122">
        <v>100260</v>
      </c>
      <c r="AA122" t="s">
        <v>612</v>
      </c>
      <c r="AB122" t="s">
        <v>250</v>
      </c>
      <c r="AC122" s="9">
        <f>COUNTIF(J:J,J122)</f>
        <v>1</v>
      </c>
      <c r="AD122" s="9" t="str">
        <f t="shared" si="36"/>
        <v>Check</v>
      </c>
      <c r="AE122" s="11">
        <f t="shared" si="37"/>
        <v>-500</v>
      </c>
    </row>
    <row r="123" spans="1:31" x14ac:dyDescent="0.3">
      <c r="A123">
        <v>56</v>
      </c>
      <c r="B123">
        <v>4657161</v>
      </c>
      <c r="C123" t="s">
        <v>91</v>
      </c>
      <c r="D123">
        <v>1715512</v>
      </c>
      <c r="E123" t="s">
        <v>287</v>
      </c>
      <c r="F123" t="s">
        <v>20</v>
      </c>
      <c r="G123" t="s">
        <v>71</v>
      </c>
      <c r="H123" t="s">
        <v>72</v>
      </c>
      <c r="I123" s="9" t="s">
        <v>841</v>
      </c>
      <c r="J123" s="9">
        <v>51141501003</v>
      </c>
      <c r="K123" s="14" t="s">
        <v>654</v>
      </c>
      <c r="L123" s="13" t="s">
        <v>1041</v>
      </c>
      <c r="M123" s="14">
        <v>1000</v>
      </c>
      <c r="N123" s="14">
        <v>2.044</v>
      </c>
      <c r="O123" s="10">
        <f t="shared" si="34"/>
        <v>2044</v>
      </c>
      <c r="P123" s="11">
        <v>0</v>
      </c>
      <c r="Q123" s="11">
        <v>0</v>
      </c>
      <c r="R123" s="10">
        <f>IF(COUNTIF($J$2:J123,J123)=1,SUMIFS($O:$O,$J:$J,J123)+SUMIFS($P:$P,$J:$J,J123)+SUMIFS($Q:$Q,$J:$J,J123),"")</f>
        <v>2044</v>
      </c>
      <c r="S123">
        <v>2297.89</v>
      </c>
      <c r="T123" s="11" t="str">
        <f>IFERROR(INDEX(AD:AD,MATCH(J123,J:J,0)),"")</f>
        <v>Check</v>
      </c>
      <c r="U123" s="12">
        <v>46098</v>
      </c>
      <c r="V123" s="10">
        <v>253.89</v>
      </c>
      <c r="W123" s="10" t="str">
        <f t="shared" si="35"/>
        <v>Short Paid</v>
      </c>
      <c r="X123" t="s">
        <v>215</v>
      </c>
      <c r="Y123" t="s">
        <v>27</v>
      </c>
      <c r="Z123">
        <v>100236</v>
      </c>
      <c r="AA123" t="s">
        <v>615</v>
      </c>
      <c r="AB123" t="s">
        <v>249</v>
      </c>
      <c r="AC123" s="9">
        <f>COUNTIF(J:J,J123)</f>
        <v>1</v>
      </c>
      <c r="AD123" s="9" t="str">
        <f t="shared" si="36"/>
        <v>Check</v>
      </c>
      <c r="AE123" s="11">
        <f t="shared" si="37"/>
        <v>-253.88999999999987</v>
      </c>
    </row>
    <row r="124" spans="1:31" x14ac:dyDescent="0.3">
      <c r="A124">
        <v>52</v>
      </c>
      <c r="B124">
        <v>4664674</v>
      </c>
      <c r="C124" t="s">
        <v>91</v>
      </c>
      <c r="D124">
        <v>1748622</v>
      </c>
      <c r="E124" t="s">
        <v>134</v>
      </c>
      <c r="F124" t="s">
        <v>17</v>
      </c>
      <c r="G124" t="s">
        <v>135</v>
      </c>
      <c r="H124" t="s">
        <v>136</v>
      </c>
      <c r="I124" s="9" t="s">
        <v>682</v>
      </c>
      <c r="J124" s="9">
        <v>51146394356</v>
      </c>
      <c r="K124" s="14" t="s">
        <v>654</v>
      </c>
      <c r="L124" s="13" t="s">
        <v>1050</v>
      </c>
      <c r="M124" s="14">
        <v>300</v>
      </c>
      <c r="N124" s="14">
        <v>6.3586999999999998</v>
      </c>
      <c r="O124" s="10">
        <f t="shared" si="34"/>
        <v>1907.61</v>
      </c>
      <c r="P124" s="11">
        <v>0</v>
      </c>
      <c r="Q124" s="11">
        <v>239.55</v>
      </c>
      <c r="R124" s="10">
        <f>IF(COUNTIF($J$2:J124,J124)=1,SUMIFS($O:$O,$J:$J,J124)+SUMIFS($P:$P,$J:$J,J124)+SUMIFS($Q:$Q,$J:$J,J124),"")</f>
        <v>2147.16</v>
      </c>
      <c r="S124">
        <v>3725.56</v>
      </c>
      <c r="T124" s="11" t="str">
        <f>IFERROR(INDEX(AD:AD,MATCH(J124,J:J,0)),"")</f>
        <v>Check</v>
      </c>
      <c r="U124" s="12">
        <v>46030</v>
      </c>
      <c r="V124" s="10">
        <v>2155.16</v>
      </c>
      <c r="W124" s="10" t="str">
        <f t="shared" si="35"/>
        <v>Short Paid</v>
      </c>
      <c r="X124" t="s">
        <v>207</v>
      </c>
      <c r="Y124" t="s">
        <v>198</v>
      </c>
      <c r="Z124">
        <v>100254</v>
      </c>
      <c r="AA124" t="s">
        <v>243</v>
      </c>
      <c r="AB124" t="s">
        <v>254</v>
      </c>
      <c r="AC124" s="9">
        <f>COUNTIF(J:J,J124)</f>
        <v>1</v>
      </c>
      <c r="AD124" s="9" t="str">
        <f t="shared" si="36"/>
        <v>Check</v>
      </c>
      <c r="AE124" s="11">
        <f t="shared" si="37"/>
        <v>-1578.4</v>
      </c>
    </row>
    <row r="125" spans="1:31" x14ac:dyDescent="0.3">
      <c r="A125">
        <v>51</v>
      </c>
      <c r="B125">
        <v>4668570</v>
      </c>
      <c r="C125" t="s">
        <v>91</v>
      </c>
      <c r="D125">
        <v>1422097</v>
      </c>
      <c r="E125" t="s">
        <v>184</v>
      </c>
      <c r="F125" t="s">
        <v>44</v>
      </c>
      <c r="G125" t="s">
        <v>77</v>
      </c>
      <c r="H125" t="s">
        <v>78</v>
      </c>
      <c r="I125" s="9" t="s">
        <v>692</v>
      </c>
      <c r="J125" s="9">
        <v>51142401952</v>
      </c>
      <c r="K125" s="14" t="s">
        <v>654</v>
      </c>
      <c r="L125" s="13" t="s">
        <v>1044</v>
      </c>
      <c r="M125" s="14">
        <v>1200</v>
      </c>
      <c r="N125" s="14">
        <v>4.399</v>
      </c>
      <c r="O125" s="10">
        <f t="shared" si="34"/>
        <v>5278.8</v>
      </c>
      <c r="P125" s="11">
        <v>12.71</v>
      </c>
      <c r="Q125" s="11">
        <v>0</v>
      </c>
      <c r="R125" s="10">
        <f>IF(COUNTIF($J$2:J125,J125)=1,SUMIFS($O:$O,$J:$J,J125)+SUMIFS($P:$P,$J:$J,J125)+SUMIFS($Q:$Q,$J:$J,J125),"")</f>
        <v>5291.51</v>
      </c>
      <c r="S125">
        <v>5278.8</v>
      </c>
      <c r="T125" s="11" t="str">
        <f>IFERROR(INDEX(AD:AD,MATCH(J125,J:J,0)),"")</f>
        <v>Check</v>
      </c>
      <c r="U125" s="12">
        <v>46091</v>
      </c>
      <c r="V125" s="10">
        <v>12.71</v>
      </c>
      <c r="W125" s="10" t="str">
        <f t="shared" si="35"/>
        <v>Short Paid</v>
      </c>
      <c r="X125" t="s">
        <v>207</v>
      </c>
      <c r="Y125" t="s">
        <v>28</v>
      </c>
      <c r="Z125">
        <v>100294</v>
      </c>
      <c r="AA125" t="s">
        <v>649</v>
      </c>
      <c r="AB125" t="s">
        <v>606</v>
      </c>
      <c r="AC125" s="9">
        <f>COUNTIF(J:J,J125)</f>
        <v>1</v>
      </c>
      <c r="AD125" s="9" t="str">
        <f t="shared" si="36"/>
        <v>Check</v>
      </c>
      <c r="AE125" s="11">
        <f t="shared" si="37"/>
        <v>12.710000000000036</v>
      </c>
    </row>
    <row r="126" spans="1:31" x14ac:dyDescent="0.3">
      <c r="A126">
        <v>51</v>
      </c>
      <c r="B126">
        <v>4668848</v>
      </c>
      <c r="C126" t="s">
        <v>91</v>
      </c>
      <c r="D126">
        <v>1963277</v>
      </c>
      <c r="E126" t="s">
        <v>107</v>
      </c>
      <c r="F126" t="s">
        <v>18</v>
      </c>
      <c r="G126" t="s">
        <v>75</v>
      </c>
      <c r="H126" t="s">
        <v>76</v>
      </c>
      <c r="I126" s="9" t="s">
        <v>684</v>
      </c>
      <c r="J126" s="9">
        <v>51142954261</v>
      </c>
      <c r="K126" s="14" t="s">
        <v>654</v>
      </c>
      <c r="L126" s="13" t="s">
        <v>1044</v>
      </c>
      <c r="M126" s="14">
        <v>1260</v>
      </c>
      <c r="N126" s="14">
        <v>4.399</v>
      </c>
      <c r="O126" s="10">
        <f t="shared" si="34"/>
        <v>5542.74</v>
      </c>
      <c r="P126" s="11">
        <v>0</v>
      </c>
      <c r="Q126" s="11">
        <v>0</v>
      </c>
      <c r="R126" s="10">
        <f>IF(COUNTIF($J$2:J126,J126)=1,SUMIFS($O:$O,$J:$J,J126)+SUMIFS($P:$P,$J:$J,J126)+SUMIFS($Q:$Q,$J:$J,J126),"")</f>
        <v>5542.74</v>
      </c>
      <c r="S126">
        <v>10509.24</v>
      </c>
      <c r="T126" s="11" t="str">
        <f>IFERROR(INDEX(AD:AD,MATCH(J126,J:J,0)),"")</f>
        <v>Check</v>
      </c>
      <c r="U126" s="12">
        <v>46035</v>
      </c>
      <c r="V126" s="10">
        <v>3706.5</v>
      </c>
      <c r="W126" s="10" t="str">
        <f t="shared" si="35"/>
        <v>Short Paid</v>
      </c>
      <c r="X126" t="s">
        <v>220</v>
      </c>
      <c r="Y126" t="s">
        <v>27</v>
      </c>
      <c r="Z126">
        <v>100279</v>
      </c>
      <c r="AA126" t="s">
        <v>229</v>
      </c>
      <c r="AB126" t="s">
        <v>251</v>
      </c>
      <c r="AC126" s="9">
        <f>COUNTIF(J:J,J126)</f>
        <v>1</v>
      </c>
      <c r="AD126" s="9" t="str">
        <f t="shared" si="36"/>
        <v>Check</v>
      </c>
      <c r="AE126" s="11">
        <f t="shared" si="37"/>
        <v>-4966.5</v>
      </c>
    </row>
    <row r="127" spans="1:31" x14ac:dyDescent="0.3">
      <c r="A127">
        <v>51</v>
      </c>
      <c r="B127">
        <v>4669127</v>
      </c>
      <c r="C127" t="s">
        <v>91</v>
      </c>
      <c r="D127">
        <v>1963277</v>
      </c>
      <c r="E127" t="s">
        <v>107</v>
      </c>
      <c r="F127" t="s">
        <v>18</v>
      </c>
      <c r="G127" t="s">
        <v>73</v>
      </c>
      <c r="H127" t="s">
        <v>74</v>
      </c>
      <c r="I127" s="9" t="s">
        <v>700</v>
      </c>
      <c r="J127" s="9">
        <v>51142975610</v>
      </c>
      <c r="K127" s="14" t="s">
        <v>654</v>
      </c>
      <c r="L127" s="13" t="s">
        <v>1044</v>
      </c>
      <c r="M127" s="14">
        <v>901</v>
      </c>
      <c r="N127" s="14">
        <v>4.399</v>
      </c>
      <c r="O127" s="10">
        <f t="shared" si="34"/>
        <v>3963.4989999999998</v>
      </c>
      <c r="P127" s="11">
        <v>0</v>
      </c>
      <c r="Q127" s="11">
        <v>0</v>
      </c>
      <c r="R127" s="10">
        <f>IF(COUNTIF($J$2:J127,J127)=1,SUMIFS($O:$O,$J:$J,J127)+SUMIFS($P:$P,$J:$J,J127)+SUMIFS($Q:$Q,$J:$J,J127),"")</f>
        <v>3963.4989999999998</v>
      </c>
      <c r="S127">
        <v>6774.2</v>
      </c>
      <c r="T127" s="11" t="str">
        <f>IFERROR(INDEX(AD:AD,MATCH(J127,J:J,0)),"")</f>
        <v>Check</v>
      </c>
      <c r="U127" s="12">
        <v>46031</v>
      </c>
      <c r="V127" s="10">
        <v>333.86</v>
      </c>
      <c r="W127" s="10" t="str">
        <f t="shared" si="35"/>
        <v>Short Paid</v>
      </c>
      <c r="X127" t="s">
        <v>220</v>
      </c>
      <c r="Y127" t="s">
        <v>27</v>
      </c>
      <c r="Z127">
        <v>100289</v>
      </c>
      <c r="AA127" t="s">
        <v>221</v>
      </c>
      <c r="AB127" t="s">
        <v>251</v>
      </c>
      <c r="AC127" s="9">
        <f>COUNTIF(J:J,J127)</f>
        <v>1</v>
      </c>
      <c r="AD127" s="9" t="str">
        <f t="shared" si="36"/>
        <v>Check</v>
      </c>
      <c r="AE127" s="11">
        <f t="shared" si="37"/>
        <v>-2810.701</v>
      </c>
    </row>
    <row r="128" spans="1:31" x14ac:dyDescent="0.3">
      <c r="A128">
        <v>51</v>
      </c>
      <c r="B128">
        <v>4669405</v>
      </c>
      <c r="C128" t="s">
        <v>91</v>
      </c>
      <c r="D128">
        <v>1963277</v>
      </c>
      <c r="E128" t="s">
        <v>107</v>
      </c>
      <c r="F128" t="s">
        <v>18</v>
      </c>
      <c r="G128" t="s">
        <v>137</v>
      </c>
      <c r="H128" t="s">
        <v>138</v>
      </c>
      <c r="I128" s="9" t="s">
        <v>794</v>
      </c>
      <c r="J128" s="9">
        <v>51143091939</v>
      </c>
      <c r="K128" s="14" t="s">
        <v>654</v>
      </c>
      <c r="L128" s="13" t="s">
        <v>1046</v>
      </c>
      <c r="M128" s="14">
        <v>50</v>
      </c>
      <c r="N128" s="14">
        <v>270.95</v>
      </c>
      <c r="O128" s="10">
        <f t="shared" si="34"/>
        <v>13547.5</v>
      </c>
      <c r="P128" s="11">
        <v>0</v>
      </c>
      <c r="Q128" s="11">
        <v>0</v>
      </c>
      <c r="R128" s="10">
        <f>IF(COUNTIF($J$2:J128,J128)=1,SUMIFS($O:$O,$J:$J,J128)+SUMIFS($P:$P,$J:$J,J128)+SUMIFS($Q:$Q,$J:$J,J128),"")</f>
        <v>13547.5</v>
      </c>
      <c r="S128">
        <v>22657.8</v>
      </c>
      <c r="T128" s="11" t="str">
        <f>IFERROR(INDEX(AD:AD,MATCH(J128,J:J,0)),"")</f>
        <v>Check</v>
      </c>
      <c r="U128" s="12">
        <v>46031</v>
      </c>
      <c r="V128" s="10">
        <v>3487</v>
      </c>
      <c r="W128" s="10" t="str">
        <f t="shared" si="35"/>
        <v>Short Paid</v>
      </c>
      <c r="X128" t="s">
        <v>220</v>
      </c>
      <c r="Y128" t="s">
        <v>27</v>
      </c>
      <c r="Z128">
        <v>100119</v>
      </c>
      <c r="AA128" t="s">
        <v>235</v>
      </c>
      <c r="AB128" t="s">
        <v>251</v>
      </c>
      <c r="AC128" s="9">
        <f>COUNTIF(J:J,J128)</f>
        <v>1</v>
      </c>
      <c r="AD128" s="9" t="str">
        <f t="shared" si="36"/>
        <v>Check</v>
      </c>
      <c r="AE128" s="11">
        <f t="shared" si="37"/>
        <v>-9110.2999999999993</v>
      </c>
    </row>
    <row r="129" spans="1:31" x14ac:dyDescent="0.3">
      <c r="A129">
        <v>51</v>
      </c>
      <c r="B129">
        <v>4669962</v>
      </c>
      <c r="C129" t="s">
        <v>91</v>
      </c>
      <c r="D129">
        <v>1963277</v>
      </c>
      <c r="E129" t="s">
        <v>107</v>
      </c>
      <c r="F129" t="s">
        <v>18</v>
      </c>
      <c r="G129" t="s">
        <v>141</v>
      </c>
      <c r="H129" t="s">
        <v>142</v>
      </c>
      <c r="I129" s="9" t="s">
        <v>716</v>
      </c>
      <c r="J129" s="9">
        <v>51143035627</v>
      </c>
      <c r="K129" s="14" t="s">
        <v>654</v>
      </c>
      <c r="L129" s="13" t="s">
        <v>1036</v>
      </c>
      <c r="M129" s="14">
        <v>352</v>
      </c>
      <c r="N129" s="14">
        <v>20.239999999999998</v>
      </c>
      <c r="O129" s="10">
        <f t="shared" si="34"/>
        <v>7124.48</v>
      </c>
      <c r="P129" s="11">
        <v>0</v>
      </c>
      <c r="Q129" s="11">
        <v>0</v>
      </c>
      <c r="R129" s="10">
        <f>IF(COUNTIF($J$2:J129,J129)=1,SUMIFS($O:$O,$J:$J,J129)+SUMIFS($P:$P,$J:$J,J129)+SUMIFS($Q:$Q,$J:$J,J129),"")</f>
        <v>7124.48</v>
      </c>
      <c r="S129">
        <v>8106.98</v>
      </c>
      <c r="T129" s="11" t="str">
        <f>IFERROR(INDEX(AD:AD,MATCH(J129,J:J,0)),"")</f>
        <v>Check</v>
      </c>
      <c r="U129" s="12">
        <v>46031</v>
      </c>
      <c r="V129" s="10">
        <v>112.64</v>
      </c>
      <c r="W129" s="10" t="str">
        <f t="shared" si="35"/>
        <v>Short Paid</v>
      </c>
      <c r="X129" t="s">
        <v>220</v>
      </c>
      <c r="Y129" t="s">
        <v>27</v>
      </c>
      <c r="Z129">
        <v>100159</v>
      </c>
      <c r="AA129" t="s">
        <v>232</v>
      </c>
      <c r="AB129" t="s">
        <v>251</v>
      </c>
      <c r="AC129" s="9">
        <f>COUNTIF(J:J,J129)</f>
        <v>1</v>
      </c>
      <c r="AD129" s="9" t="str">
        <f t="shared" si="36"/>
        <v>Check</v>
      </c>
      <c r="AE129" s="11">
        <f t="shared" si="37"/>
        <v>-982.5</v>
      </c>
    </row>
    <row r="130" spans="1:31" x14ac:dyDescent="0.3">
      <c r="A130">
        <v>51</v>
      </c>
      <c r="B130">
        <v>4670240</v>
      </c>
      <c r="C130" t="s">
        <v>91</v>
      </c>
      <c r="D130">
        <v>1963277</v>
      </c>
      <c r="E130" t="s">
        <v>107</v>
      </c>
      <c r="F130" t="s">
        <v>18</v>
      </c>
      <c r="G130" t="s">
        <v>139</v>
      </c>
      <c r="H130" t="s">
        <v>140</v>
      </c>
      <c r="I130" s="9" t="s">
        <v>705</v>
      </c>
      <c r="J130" s="9">
        <v>51143048706</v>
      </c>
      <c r="K130" s="14" t="s">
        <v>654</v>
      </c>
      <c r="L130" s="13" t="s">
        <v>1039</v>
      </c>
      <c r="M130" s="14">
        <v>800</v>
      </c>
      <c r="N130" s="14">
        <v>0.68</v>
      </c>
      <c r="O130" s="10">
        <f t="shared" si="34"/>
        <v>544</v>
      </c>
      <c r="P130" s="11">
        <v>0</v>
      </c>
      <c r="Q130" s="11">
        <v>0</v>
      </c>
      <c r="R130" s="10">
        <f>IF(COUNTIF($J$2:J130,J130)=1,SUMIFS($O:$O,$J:$J,J130)+SUMIFS($P:$P,$J:$J,J130)+SUMIFS($Q:$Q,$J:$J,J130),"")</f>
        <v>544</v>
      </c>
      <c r="S130">
        <v>7673.8</v>
      </c>
      <c r="T130" s="11" t="str">
        <f>IFERROR(INDEX(AD:AD,MATCH(J130,J:J,0)),"")</f>
        <v>Check</v>
      </c>
      <c r="U130" s="12">
        <v>46031</v>
      </c>
      <c r="V130" s="10">
        <v>216</v>
      </c>
      <c r="W130" s="10" t="str">
        <f t="shared" si="35"/>
        <v>Short Paid</v>
      </c>
      <c r="X130" t="s">
        <v>220</v>
      </c>
      <c r="Y130" t="s">
        <v>27</v>
      </c>
      <c r="Z130">
        <v>100169</v>
      </c>
      <c r="AA130" t="s">
        <v>233</v>
      </c>
      <c r="AB130" t="s">
        <v>251</v>
      </c>
      <c r="AC130" s="9">
        <f>COUNTIF(J:J,J130)</f>
        <v>1</v>
      </c>
      <c r="AD130" s="9" t="str">
        <f t="shared" si="36"/>
        <v>Check</v>
      </c>
      <c r="AE130" s="11">
        <f t="shared" si="37"/>
        <v>-7129.8</v>
      </c>
    </row>
    <row r="131" spans="1:31" x14ac:dyDescent="0.3">
      <c r="A131">
        <v>46</v>
      </c>
      <c r="B131">
        <v>4678310</v>
      </c>
      <c r="C131" t="s">
        <v>91</v>
      </c>
      <c r="D131">
        <v>1507694</v>
      </c>
      <c r="E131" t="s">
        <v>165</v>
      </c>
      <c r="F131" t="s">
        <v>20</v>
      </c>
      <c r="G131" t="s">
        <v>52</v>
      </c>
      <c r="H131" t="s">
        <v>53</v>
      </c>
      <c r="I131" s="9" t="s">
        <v>855</v>
      </c>
      <c r="J131" s="9">
        <v>51144225517</v>
      </c>
      <c r="K131" s="14" t="s">
        <v>654</v>
      </c>
      <c r="L131" s="13" t="s">
        <v>1005</v>
      </c>
      <c r="M131" s="14">
        <v>1500</v>
      </c>
      <c r="N131" s="14">
        <v>2.4359999999999999</v>
      </c>
      <c r="O131" s="10">
        <f t="shared" si="34"/>
        <v>3654</v>
      </c>
      <c r="P131" s="11">
        <v>0</v>
      </c>
      <c r="Q131" s="11">
        <v>712.08</v>
      </c>
      <c r="R131" s="10">
        <f>IF(COUNTIF($J$2:J131,J131)=1,SUMIFS($O:$O,$J:$J,J131)+SUMIFS($P:$P,$J:$J,J131)+SUMIFS($Q:$Q,$J:$J,J131),"")</f>
        <v>4366.08</v>
      </c>
      <c r="S131">
        <v>4399.08</v>
      </c>
      <c r="T131" s="11" t="str">
        <f>IFERROR(INDEX(AD:AD,MATCH(J131,J:J,0)),"")</f>
        <v>Check</v>
      </c>
      <c r="U131" s="12">
        <v>45413</v>
      </c>
      <c r="V131" s="10">
        <v>33</v>
      </c>
      <c r="W131" s="10" t="str">
        <f t="shared" si="35"/>
        <v>Short Paid</v>
      </c>
      <c r="X131" t="s">
        <v>200</v>
      </c>
      <c r="Y131" t="s">
        <v>27</v>
      </c>
      <c r="Z131">
        <v>100153</v>
      </c>
      <c r="AA131" t="s">
        <v>201</v>
      </c>
      <c r="AB131" t="s">
        <v>249</v>
      </c>
      <c r="AC131" s="9">
        <f>COUNTIF(J:J,J131)</f>
        <v>1</v>
      </c>
      <c r="AD131" s="9" t="str">
        <f t="shared" si="36"/>
        <v>Check</v>
      </c>
      <c r="AE131" s="11">
        <f t="shared" ref="AE131:AE132" si="38">R131-S131</f>
        <v>-33</v>
      </c>
    </row>
    <row r="132" spans="1:31" x14ac:dyDescent="0.3">
      <c r="A132">
        <v>43</v>
      </c>
      <c r="B132">
        <v>4687772</v>
      </c>
      <c r="C132" t="s">
        <v>91</v>
      </c>
      <c r="D132">
        <v>1507694</v>
      </c>
      <c r="E132" t="s">
        <v>165</v>
      </c>
      <c r="F132" t="s">
        <v>26</v>
      </c>
      <c r="G132" t="s">
        <v>190</v>
      </c>
      <c r="H132" t="s">
        <v>191</v>
      </c>
      <c r="I132" s="9" t="s">
        <v>717</v>
      </c>
      <c r="J132" s="9">
        <v>51144586383</v>
      </c>
      <c r="K132" s="14" t="s">
        <v>654</v>
      </c>
      <c r="L132" s="13" t="s">
        <v>1047</v>
      </c>
      <c r="M132" s="14">
        <v>1080</v>
      </c>
      <c r="N132" s="14">
        <v>23.420010000000001</v>
      </c>
      <c r="O132" s="10">
        <f t="shared" si="34"/>
        <v>25293.610800000002</v>
      </c>
      <c r="P132" s="11">
        <v>0</v>
      </c>
      <c r="Q132" s="11">
        <v>0</v>
      </c>
      <c r="R132" s="10">
        <f>IF(COUNTIF($J$2:J132,J132)=1,SUMIFS($O:$O,$J:$J,J132)+SUMIFS($P:$P,$J:$J,J132)+SUMIFS($Q:$Q,$J:$J,J132),"")</f>
        <v>25293.610800000002</v>
      </c>
      <c r="S132">
        <v>29368.649999999998</v>
      </c>
      <c r="T132" s="11" t="str">
        <f>IFERROR(INDEX(AD:AD,MATCH(J132,J:J,0)),"")</f>
        <v>Check</v>
      </c>
      <c r="U132" s="12">
        <v>46127</v>
      </c>
      <c r="V132" s="10">
        <v>1333.45</v>
      </c>
      <c r="W132" s="10" t="str">
        <f t="shared" si="35"/>
        <v>Short Paid</v>
      </c>
      <c r="X132" t="s">
        <v>200</v>
      </c>
      <c r="Y132" t="s">
        <v>27</v>
      </c>
      <c r="Z132">
        <v>100233</v>
      </c>
      <c r="AA132" t="s">
        <v>202</v>
      </c>
      <c r="AB132" t="s">
        <v>255</v>
      </c>
      <c r="AC132" s="9">
        <f>COUNTIF(J:J,J132)</f>
        <v>1</v>
      </c>
      <c r="AD132" s="9" t="str">
        <f t="shared" si="36"/>
        <v>Check</v>
      </c>
      <c r="AE132" s="11">
        <f t="shared" si="38"/>
        <v>-4075.0391999999956</v>
      </c>
    </row>
    <row r="133" spans="1:31" x14ac:dyDescent="0.3">
      <c r="A133">
        <v>38</v>
      </c>
      <c r="B133">
        <v>4694729</v>
      </c>
      <c r="C133" t="s">
        <v>91</v>
      </c>
      <c r="D133">
        <v>1469829</v>
      </c>
      <c r="E133" t="s">
        <v>101</v>
      </c>
      <c r="F133" t="s">
        <v>20</v>
      </c>
      <c r="G133" t="s">
        <v>79</v>
      </c>
      <c r="H133" t="s">
        <v>80</v>
      </c>
      <c r="I133" s="9" t="s">
        <v>693</v>
      </c>
      <c r="J133" s="9">
        <v>51146506938</v>
      </c>
      <c r="K133" s="14" t="s">
        <v>654</v>
      </c>
      <c r="L133" s="13" t="s">
        <v>1048</v>
      </c>
      <c r="M133" s="14">
        <v>376</v>
      </c>
      <c r="N133" s="14">
        <v>3.69625</v>
      </c>
      <c r="O133" s="10">
        <f t="shared" si="34"/>
        <v>1389.79</v>
      </c>
      <c r="P133" s="11">
        <v>0</v>
      </c>
      <c r="Q133" s="11">
        <v>229.4</v>
      </c>
      <c r="R133" s="10">
        <f>IF(COUNTIF($J$2:J133,J133)=1,SUMIFS($O:$O,$J:$J,J133)+SUMIFS($P:$P,$J:$J,J133)+SUMIFS($Q:$Q,$J:$J,J133),"")</f>
        <v>1619.19</v>
      </c>
      <c r="S133">
        <v>4033.89</v>
      </c>
      <c r="T133" s="11" t="str">
        <f>IFERROR(INDEX(AD:AD,MATCH(J133,J:J,0)),"")</f>
        <v>Check</v>
      </c>
      <c r="U133" s="12">
        <v>46106</v>
      </c>
      <c r="V133" s="10">
        <v>2173.23</v>
      </c>
      <c r="W133" s="10" t="str">
        <f t="shared" si="35"/>
        <v>Short Paid</v>
      </c>
      <c r="X133" t="s">
        <v>217</v>
      </c>
      <c r="Y133" t="s">
        <v>27</v>
      </c>
      <c r="Z133">
        <v>100128</v>
      </c>
      <c r="AA133" t="s">
        <v>244</v>
      </c>
      <c r="AB133" t="s">
        <v>249</v>
      </c>
      <c r="AC133" s="9">
        <f>COUNTIF(J:J,J133)</f>
        <v>1</v>
      </c>
      <c r="AD133" s="9" t="str">
        <f t="shared" si="36"/>
        <v>Check</v>
      </c>
      <c r="AE133" s="11">
        <f t="shared" ref="AE133:AE141" si="39">R133-S133</f>
        <v>-2414.6999999999998</v>
      </c>
    </row>
    <row r="134" spans="1:31" x14ac:dyDescent="0.3">
      <c r="A134">
        <v>38</v>
      </c>
      <c r="B134">
        <v>4695286</v>
      </c>
      <c r="C134" t="s">
        <v>91</v>
      </c>
      <c r="D134">
        <v>1830445</v>
      </c>
      <c r="E134" t="s">
        <v>64</v>
      </c>
      <c r="F134" t="s">
        <v>19</v>
      </c>
      <c r="G134" t="s">
        <v>81</v>
      </c>
      <c r="H134" t="s">
        <v>82</v>
      </c>
      <c r="I134" s="9" t="s">
        <v>795</v>
      </c>
      <c r="J134" s="9">
        <v>51144065646</v>
      </c>
      <c r="K134" s="14" t="s">
        <v>654</v>
      </c>
      <c r="L134" s="13" t="s">
        <v>1041</v>
      </c>
      <c r="M134" s="14">
        <v>12400</v>
      </c>
      <c r="N134" s="14">
        <v>2.044</v>
      </c>
      <c r="O134" s="10">
        <f t="shared" si="34"/>
        <v>25345.600000000002</v>
      </c>
      <c r="P134" s="11">
        <v>0</v>
      </c>
      <c r="Q134" s="11">
        <v>0</v>
      </c>
      <c r="R134" s="10">
        <f>IF(COUNTIF($J$2:J134,J134)=1,SUMIFS($O:$O,$J:$J,J134)+SUMIFS($P:$P,$J:$J,J134)+SUMIFS($Q:$Q,$J:$J,J134),"")</f>
        <v>25345.600000000002</v>
      </c>
      <c r="S134">
        <v>40540.85</v>
      </c>
      <c r="T134" s="11" t="str">
        <f>IFERROR(INDEX(AD:AD,MATCH(J134,J:J,0)),"")</f>
        <v>Check</v>
      </c>
      <c r="U134" s="12">
        <v>46009</v>
      </c>
      <c r="V134" s="10">
        <v>15195.25</v>
      </c>
      <c r="W134" s="10" t="str">
        <f t="shared" si="35"/>
        <v>Short Paid</v>
      </c>
      <c r="X134" t="s">
        <v>204</v>
      </c>
      <c r="Y134" t="s">
        <v>27</v>
      </c>
      <c r="Z134">
        <v>100167</v>
      </c>
      <c r="AA134" t="s">
        <v>239</v>
      </c>
      <c r="AB134" t="s">
        <v>252</v>
      </c>
      <c r="AC134" s="9">
        <f>COUNTIF(J:J,J134)</f>
        <v>1</v>
      </c>
      <c r="AD134" s="9" t="str">
        <f t="shared" si="36"/>
        <v>Check</v>
      </c>
      <c r="AE134" s="11">
        <f t="shared" si="39"/>
        <v>-15195.249999999996</v>
      </c>
    </row>
    <row r="135" spans="1:31" x14ac:dyDescent="0.3">
      <c r="A135">
        <v>37</v>
      </c>
      <c r="B135">
        <v>4697512</v>
      </c>
      <c r="C135" t="s">
        <v>91</v>
      </c>
      <c r="D135">
        <v>1648570</v>
      </c>
      <c r="E135" t="s">
        <v>99</v>
      </c>
      <c r="F135" t="s">
        <v>18</v>
      </c>
      <c r="G135" t="s">
        <v>155</v>
      </c>
      <c r="H135" t="s">
        <v>156</v>
      </c>
      <c r="I135" s="9" t="s">
        <v>819</v>
      </c>
      <c r="J135" s="9">
        <v>51146276648</v>
      </c>
      <c r="K135" s="14" t="s">
        <v>654</v>
      </c>
      <c r="L135" s="13" t="s">
        <v>1029</v>
      </c>
      <c r="M135" s="14">
        <v>210</v>
      </c>
      <c r="N135" s="14">
        <v>123.76</v>
      </c>
      <c r="O135" s="10">
        <f t="shared" si="34"/>
        <v>25989.600000000002</v>
      </c>
      <c r="P135" s="11">
        <v>0</v>
      </c>
      <c r="Q135" s="11">
        <v>0</v>
      </c>
      <c r="R135" s="10">
        <f>IF(COUNTIF($J$2:J135,J135)=1,SUMIFS($O:$O,$J:$J,J135)+SUMIFS($P:$P,$J:$J,J135)+SUMIFS($Q:$Q,$J:$J,J135),"")</f>
        <v>25989.600000000002</v>
      </c>
      <c r="S135">
        <v>29456.559999999998</v>
      </c>
      <c r="T135" s="11" t="str">
        <f>IFERROR(INDEX(AD:AD,MATCH(J135,J:J,0)),"")</f>
        <v>Check</v>
      </c>
      <c r="U135" s="12">
        <v>46051</v>
      </c>
      <c r="V135" s="10">
        <v>5002.2</v>
      </c>
      <c r="W135" s="10" t="str">
        <f t="shared" si="35"/>
        <v>Short Paid</v>
      </c>
      <c r="X135" t="s">
        <v>207</v>
      </c>
      <c r="Y135" t="s">
        <v>27</v>
      </c>
      <c r="Z135">
        <v>100124</v>
      </c>
      <c r="AA135" t="s">
        <v>230</v>
      </c>
      <c r="AB135" t="s">
        <v>251</v>
      </c>
      <c r="AC135" s="9">
        <f>COUNTIF(J:J,J135)</f>
        <v>1</v>
      </c>
      <c r="AD135" s="9" t="str">
        <f t="shared" si="36"/>
        <v>Check</v>
      </c>
      <c r="AE135" s="11">
        <f t="shared" si="39"/>
        <v>-3466.9599999999955</v>
      </c>
    </row>
    <row r="136" spans="1:31" x14ac:dyDescent="0.3">
      <c r="A136">
        <v>37</v>
      </c>
      <c r="B136">
        <v>4698347</v>
      </c>
      <c r="C136" t="s">
        <v>91</v>
      </c>
      <c r="D136">
        <v>1830445</v>
      </c>
      <c r="E136" t="s">
        <v>64</v>
      </c>
      <c r="F136" t="s">
        <v>46</v>
      </c>
      <c r="G136" t="s">
        <v>185</v>
      </c>
      <c r="H136" t="s">
        <v>186</v>
      </c>
      <c r="I136" s="9" t="s">
        <v>836</v>
      </c>
      <c r="J136" s="9">
        <v>51146051375</v>
      </c>
      <c r="K136" s="14" t="s">
        <v>654</v>
      </c>
      <c r="L136" s="13" t="s">
        <v>1043</v>
      </c>
      <c r="M136" s="14">
        <v>967</v>
      </c>
      <c r="N136" s="14">
        <v>46.31</v>
      </c>
      <c r="O136" s="10">
        <f t="shared" si="34"/>
        <v>44781.770000000004</v>
      </c>
      <c r="P136" s="11">
        <v>0</v>
      </c>
      <c r="Q136" s="11">
        <v>0</v>
      </c>
      <c r="R136" s="10">
        <f>IF(COUNTIF($J$2:J136,J136)=1,SUMIFS($O:$O,$J:$J,J136)+SUMIFS($P:$P,$J:$J,J136)+SUMIFS($Q:$Q,$J:$J,J136),"")</f>
        <v>44781.770000000004</v>
      </c>
      <c r="S136">
        <v>50509.619999999995</v>
      </c>
      <c r="T136" s="11" t="str">
        <f>IFERROR(INDEX(AD:AD,MATCH(J136,J:J,0)),"")</f>
        <v>Check</v>
      </c>
      <c r="U136" s="12">
        <v>46105</v>
      </c>
      <c r="V136" s="10">
        <v>5126.5</v>
      </c>
      <c r="W136" s="10" t="str">
        <f t="shared" si="35"/>
        <v>Short Paid</v>
      </c>
      <c r="X136" t="s">
        <v>204</v>
      </c>
      <c r="Y136" t="s">
        <v>198</v>
      </c>
      <c r="Z136">
        <v>100137</v>
      </c>
      <c r="AA136" t="s">
        <v>247</v>
      </c>
      <c r="AB136" t="s">
        <v>256</v>
      </c>
      <c r="AC136" s="9">
        <f>COUNTIF(J:J,J136)</f>
        <v>1</v>
      </c>
      <c r="AD136" s="9" t="str">
        <f t="shared" si="36"/>
        <v>Check</v>
      </c>
      <c r="AE136" s="11">
        <f t="shared" si="39"/>
        <v>-5727.8499999999913</v>
      </c>
    </row>
    <row r="137" spans="1:31" x14ac:dyDescent="0.3">
      <c r="A137">
        <v>35</v>
      </c>
      <c r="B137">
        <v>4704469</v>
      </c>
      <c r="C137" t="s">
        <v>91</v>
      </c>
      <c r="D137">
        <v>1422097</v>
      </c>
      <c r="E137" t="s">
        <v>184</v>
      </c>
      <c r="F137" t="s">
        <v>19</v>
      </c>
      <c r="G137" t="s">
        <v>85</v>
      </c>
      <c r="H137" t="s">
        <v>86</v>
      </c>
      <c r="I137" s="9" t="s">
        <v>801</v>
      </c>
      <c r="J137" s="9">
        <v>51146258723</v>
      </c>
      <c r="K137" s="14" t="s">
        <v>654</v>
      </c>
      <c r="L137" s="13" t="s">
        <v>1044</v>
      </c>
      <c r="M137" s="14">
        <v>1000</v>
      </c>
      <c r="N137" s="14">
        <v>4.399</v>
      </c>
      <c r="O137" s="10">
        <f t="shared" si="34"/>
        <v>4399</v>
      </c>
      <c r="P137" s="11">
        <v>0</v>
      </c>
      <c r="Q137" s="11">
        <v>0</v>
      </c>
      <c r="R137" s="10">
        <f>IF(COUNTIF($J$2:J137,J137)=1,SUMIFS($O:$O,$J:$J,J137)+SUMIFS($P:$P,$J:$J,J137)+SUMIFS($Q:$Q,$J:$J,J137),"")</f>
        <v>4399</v>
      </c>
      <c r="S137">
        <v>5087</v>
      </c>
      <c r="T137" s="11" t="str">
        <f>IFERROR(INDEX(AD:AD,MATCH(J137,J:J,0)),"")</f>
        <v>Check</v>
      </c>
      <c r="U137" s="12">
        <v>46067</v>
      </c>
      <c r="V137" s="10">
        <v>688</v>
      </c>
      <c r="W137" s="10" t="str">
        <f t="shared" si="35"/>
        <v>Short Paid</v>
      </c>
      <c r="X137" t="s">
        <v>207</v>
      </c>
      <c r="Y137" t="s">
        <v>27</v>
      </c>
      <c r="Z137">
        <v>100234</v>
      </c>
      <c r="AA137" t="s">
        <v>241</v>
      </c>
      <c r="AB137" t="s">
        <v>252</v>
      </c>
      <c r="AC137" s="9">
        <f>COUNTIF(J:J,J137)</f>
        <v>1</v>
      </c>
      <c r="AD137" s="9" t="str">
        <f t="shared" si="36"/>
        <v>Check</v>
      </c>
      <c r="AE137" s="11">
        <f t="shared" si="39"/>
        <v>-688</v>
      </c>
    </row>
    <row r="138" spans="1:31" x14ac:dyDescent="0.3">
      <c r="A138">
        <v>35</v>
      </c>
      <c r="B138">
        <v>4706417</v>
      </c>
      <c r="C138" t="s">
        <v>91</v>
      </c>
      <c r="D138">
        <v>1572746</v>
      </c>
      <c r="E138" t="s">
        <v>289</v>
      </c>
      <c r="F138" t="s">
        <v>42</v>
      </c>
      <c r="G138" t="s">
        <v>575</v>
      </c>
      <c r="H138" t="s">
        <v>576</v>
      </c>
      <c r="I138" s="9" t="s">
        <v>808</v>
      </c>
      <c r="J138" s="9">
        <v>51146456056</v>
      </c>
      <c r="K138" s="14" t="s">
        <v>674</v>
      </c>
      <c r="L138" s="13" t="s">
        <v>824</v>
      </c>
      <c r="M138" s="14">
        <v>5000</v>
      </c>
      <c r="N138" s="14">
        <v>0.52249999999999996</v>
      </c>
      <c r="O138" s="10">
        <f t="shared" si="34"/>
        <v>2612.5</v>
      </c>
      <c r="P138" s="11">
        <v>0</v>
      </c>
      <c r="Q138" s="11">
        <v>0</v>
      </c>
      <c r="R138" s="10">
        <f>IF(COUNTIF($J$2:J138,J138)=1,SUMIFS($O:$O,$J:$J,J138)+SUMIFS($P:$P,$J:$J,J138)+SUMIFS($Q:$Q,$J:$J,J138),"")</f>
        <v>2612.5</v>
      </c>
      <c r="S138" s="10">
        <v>7837.5</v>
      </c>
      <c r="T138" s="11" t="str">
        <f>IFERROR(INDEX(AD:AD,MATCH(J138,J:J,0)),"")</f>
        <v>Check</v>
      </c>
      <c r="U138" s="12">
        <v>46070</v>
      </c>
      <c r="V138" s="10">
        <v>244.11</v>
      </c>
      <c r="W138" s="10" t="str">
        <f t="shared" si="35"/>
        <v>Short Paid</v>
      </c>
      <c r="X138" t="s">
        <v>207</v>
      </c>
      <c r="Y138" t="s">
        <v>27</v>
      </c>
      <c r="Z138">
        <v>100164</v>
      </c>
      <c r="AA138" t="s">
        <v>234</v>
      </c>
      <c r="AB138" t="s">
        <v>604</v>
      </c>
      <c r="AC138" s="9">
        <f>COUNTIF(J:J,J138)</f>
        <v>1</v>
      </c>
      <c r="AD138" s="9" t="str">
        <f t="shared" si="36"/>
        <v>Check</v>
      </c>
      <c r="AE138" s="11">
        <f t="shared" si="39"/>
        <v>-5225</v>
      </c>
    </row>
    <row r="139" spans="1:31" x14ac:dyDescent="0.3">
      <c r="A139">
        <v>35</v>
      </c>
      <c r="B139">
        <v>4705582</v>
      </c>
      <c r="C139" t="s">
        <v>91</v>
      </c>
      <c r="D139">
        <v>1572746</v>
      </c>
      <c r="E139" t="s">
        <v>289</v>
      </c>
      <c r="F139" t="s">
        <v>42</v>
      </c>
      <c r="G139" t="s">
        <v>83</v>
      </c>
      <c r="H139" t="s">
        <v>84</v>
      </c>
      <c r="I139" s="9" t="s">
        <v>819</v>
      </c>
      <c r="J139" s="9">
        <v>51146265779</v>
      </c>
      <c r="K139" s="14" t="s">
        <v>654</v>
      </c>
      <c r="L139" s="13" t="s">
        <v>1049</v>
      </c>
      <c r="M139" s="14">
        <v>1500</v>
      </c>
      <c r="N139" s="14">
        <v>6.06</v>
      </c>
      <c r="O139" s="10">
        <f t="shared" si="34"/>
        <v>9090</v>
      </c>
      <c r="P139" s="11">
        <v>0</v>
      </c>
      <c r="Q139" s="11">
        <v>0</v>
      </c>
      <c r="R139" s="10">
        <f>IF(COUNTIF($J$2:J139,J139)=1,SUMIFS($O:$O,$J:$J,J139)+SUMIFS($P:$P,$J:$J,J139)+SUMIFS($Q:$Q,$J:$J,J139),"")</f>
        <v>9090</v>
      </c>
      <c r="S139">
        <v>9090</v>
      </c>
      <c r="T139" s="11" t="str">
        <f>IFERROR(INDEX(AD:AD,MATCH(J139,J:J,0)),"")</f>
        <v>Ok</v>
      </c>
      <c r="U139" s="12">
        <v>46070</v>
      </c>
      <c r="V139" s="10">
        <v>26363.759999999998</v>
      </c>
      <c r="W139" s="10" t="str">
        <f t="shared" si="35"/>
        <v>Short Paid</v>
      </c>
      <c r="X139" t="s">
        <v>207</v>
      </c>
      <c r="Y139" t="s">
        <v>27</v>
      </c>
      <c r="Z139">
        <v>100114</v>
      </c>
      <c r="AA139" t="s">
        <v>238</v>
      </c>
      <c r="AB139" t="s">
        <v>604</v>
      </c>
      <c r="AC139" s="9">
        <f>COUNTIF(J:J,J139)</f>
        <v>1</v>
      </c>
      <c r="AD139" s="9" t="str">
        <f t="shared" si="36"/>
        <v>Ok</v>
      </c>
      <c r="AE139" s="11">
        <f t="shared" si="39"/>
        <v>0</v>
      </c>
    </row>
    <row r="140" spans="1:31" x14ac:dyDescent="0.3">
      <c r="A140">
        <v>35</v>
      </c>
      <c r="B140">
        <v>4705860</v>
      </c>
      <c r="C140" t="s">
        <v>91</v>
      </c>
      <c r="D140">
        <v>1572746</v>
      </c>
      <c r="E140" t="s">
        <v>289</v>
      </c>
      <c r="F140" t="s">
        <v>42</v>
      </c>
      <c r="G140" t="s">
        <v>577</v>
      </c>
      <c r="H140" t="s">
        <v>578</v>
      </c>
      <c r="I140" s="9" t="s">
        <v>700</v>
      </c>
      <c r="J140" s="9">
        <v>51146300098</v>
      </c>
      <c r="K140" s="14" t="s">
        <v>707</v>
      </c>
      <c r="L140" s="13" t="s">
        <v>823</v>
      </c>
      <c r="M140" s="14">
        <v>6000</v>
      </c>
      <c r="N140" s="14">
        <v>0.24890000000000001</v>
      </c>
      <c r="O140" s="10">
        <f t="shared" si="34"/>
        <v>1493.4</v>
      </c>
      <c r="P140" s="11">
        <v>0</v>
      </c>
      <c r="Q140" s="11">
        <v>0</v>
      </c>
      <c r="R140" s="10">
        <f>IF(COUNTIF($J$2:J140,J140)=1,SUMIFS($O:$O,$J:$J,J140)+SUMIFS($P:$P,$J:$J,J140)+SUMIFS($Q:$Q,$J:$J,J140),"")</f>
        <v>1493.4</v>
      </c>
      <c r="S140" s="10">
        <v>1742.3</v>
      </c>
      <c r="T140" s="11" t="str">
        <f>IFERROR(INDEX(AD:AD,MATCH(J140,J:J,0)),"")</f>
        <v>Check</v>
      </c>
      <c r="U140" s="12">
        <v>46070</v>
      </c>
      <c r="V140" s="10">
        <v>63956.52</v>
      </c>
      <c r="W140" s="10" t="str">
        <f t="shared" si="35"/>
        <v>Short Paid</v>
      </c>
      <c r="X140" t="s">
        <v>207</v>
      </c>
      <c r="Y140" t="s">
        <v>27</v>
      </c>
      <c r="Z140">
        <v>100124</v>
      </c>
      <c r="AA140" t="s">
        <v>230</v>
      </c>
      <c r="AB140" t="s">
        <v>604</v>
      </c>
      <c r="AC140" s="9">
        <f>COUNTIF(J:J,J140)</f>
        <v>1</v>
      </c>
      <c r="AD140" s="9" t="str">
        <f t="shared" si="36"/>
        <v>Check</v>
      </c>
      <c r="AE140" s="11">
        <f t="shared" si="39"/>
        <v>-248.89999999999986</v>
      </c>
    </row>
    <row r="141" spans="1:31" x14ac:dyDescent="0.3">
      <c r="A141">
        <v>35</v>
      </c>
      <c r="B141">
        <v>4707252</v>
      </c>
      <c r="C141" t="s">
        <v>91</v>
      </c>
      <c r="D141">
        <v>1422097</v>
      </c>
      <c r="E141" t="s">
        <v>184</v>
      </c>
      <c r="F141" t="s">
        <v>19</v>
      </c>
      <c r="G141" t="s">
        <v>579</v>
      </c>
      <c r="H141" t="s">
        <v>580</v>
      </c>
      <c r="I141" s="9" t="s">
        <v>780</v>
      </c>
      <c r="J141" s="9">
        <v>51146789873</v>
      </c>
      <c r="K141" s="14" t="s">
        <v>657</v>
      </c>
      <c r="L141" s="13" t="s">
        <v>804</v>
      </c>
      <c r="M141" s="14">
        <v>4000</v>
      </c>
      <c r="N141" s="14">
        <v>0.2157</v>
      </c>
      <c r="O141" s="10">
        <f t="shared" si="34"/>
        <v>862.8</v>
      </c>
      <c r="P141" s="11">
        <v>7747.68</v>
      </c>
      <c r="Q141" s="11">
        <v>0</v>
      </c>
      <c r="R141" s="10">
        <f>IF(COUNTIF($J$2:J141,J141)=1,SUMIFS($O:$O,$J:$J,J141)+SUMIFS($P:$P,$J:$J,J141)+SUMIFS($Q:$Q,$J:$J,J141),"")</f>
        <v>8610.48</v>
      </c>
      <c r="S141" s="10">
        <v>7765.2</v>
      </c>
      <c r="T141" s="11" t="str">
        <f>IFERROR(INDEX(AD:AD,MATCH(J141,J:J,0)),"")</f>
        <v>Check</v>
      </c>
      <c r="U141" s="12">
        <v>46073</v>
      </c>
      <c r="V141" s="10">
        <v>7747.68</v>
      </c>
      <c r="W141" s="10" t="str">
        <f t="shared" si="35"/>
        <v>Short Paid</v>
      </c>
      <c r="X141" t="s">
        <v>207</v>
      </c>
      <c r="Y141" t="s">
        <v>27</v>
      </c>
      <c r="Z141">
        <v>100234</v>
      </c>
      <c r="AA141" t="s">
        <v>241</v>
      </c>
      <c r="AB141" t="s">
        <v>252</v>
      </c>
      <c r="AC141" s="9">
        <f>COUNTIF(J:J,J141)</f>
        <v>1</v>
      </c>
      <c r="AD141" s="9" t="str">
        <f t="shared" si="36"/>
        <v>Check</v>
      </c>
      <c r="AE141" s="11">
        <f t="shared" si="39"/>
        <v>845.27999999999975</v>
      </c>
    </row>
    <row r="142" spans="1:31" x14ac:dyDescent="0.3">
      <c r="A142">
        <v>30</v>
      </c>
      <c r="B142">
        <v>4738141</v>
      </c>
      <c r="C142" t="s">
        <v>91</v>
      </c>
      <c r="D142">
        <v>1462348</v>
      </c>
      <c r="E142" t="s">
        <v>187</v>
      </c>
      <c r="F142" t="s">
        <v>25</v>
      </c>
      <c r="G142" t="s">
        <v>188</v>
      </c>
      <c r="H142" t="s">
        <v>189</v>
      </c>
      <c r="I142" s="9" t="s">
        <v>865</v>
      </c>
      <c r="J142" s="9">
        <v>51148908592</v>
      </c>
      <c r="K142" s="14" t="s">
        <v>654</v>
      </c>
      <c r="L142" s="13" t="s">
        <v>1051</v>
      </c>
      <c r="M142" s="14">
        <v>298</v>
      </c>
      <c r="N142" s="14">
        <v>4.0999999999999996</v>
      </c>
      <c r="O142" s="10">
        <f t="shared" si="34"/>
        <v>1221.8</v>
      </c>
      <c r="P142" s="11">
        <v>0</v>
      </c>
      <c r="Q142" s="11">
        <v>0</v>
      </c>
      <c r="R142" s="10">
        <f>IF(COUNTIF($J$2:J142,J142)=1,SUMIFS($O:$O,$J:$J,J142)+SUMIFS($P:$P,$J:$J,J142)+SUMIFS($Q:$Q,$J:$J,J142),"")</f>
        <v>1221.8</v>
      </c>
      <c r="S142">
        <v>3972.08</v>
      </c>
      <c r="T142" s="11" t="str">
        <f>IFERROR(INDEX(AD:AD,MATCH(J142,J:J,0)),"")</f>
        <v>Check</v>
      </c>
      <c r="U142" s="12">
        <v>46112</v>
      </c>
      <c r="V142" s="10">
        <v>2670.08</v>
      </c>
      <c r="W142" s="10" t="str">
        <f t="shared" si="35"/>
        <v>Short Paid</v>
      </c>
      <c r="X142" t="s">
        <v>209</v>
      </c>
      <c r="Y142" t="s">
        <v>27</v>
      </c>
      <c r="Z142">
        <v>100240</v>
      </c>
      <c r="AA142" t="s">
        <v>210</v>
      </c>
      <c r="AB142" t="s">
        <v>253</v>
      </c>
      <c r="AC142" s="9">
        <f>COUNTIF(J:J,J142)</f>
        <v>1</v>
      </c>
      <c r="AD142" s="9" t="str">
        <f t="shared" si="36"/>
        <v>Check</v>
      </c>
      <c r="AE142" s="11">
        <f t="shared" ref="AE142" si="40">R142-S142</f>
        <v>-2750.2799999999997</v>
      </c>
    </row>
    <row r="143" spans="1:31" x14ac:dyDescent="0.3">
      <c r="A143">
        <v>24</v>
      </c>
      <c r="B143">
        <v>4754004</v>
      </c>
      <c r="C143" t="s">
        <v>91</v>
      </c>
      <c r="D143">
        <v>1963277</v>
      </c>
      <c r="E143" t="s">
        <v>107</v>
      </c>
      <c r="F143" t="s">
        <v>18</v>
      </c>
      <c r="G143" t="s">
        <v>89</v>
      </c>
      <c r="H143" t="s">
        <v>90</v>
      </c>
      <c r="I143" s="9" t="s">
        <v>703</v>
      </c>
      <c r="J143" s="9">
        <v>51150555175</v>
      </c>
      <c r="K143" s="14" t="s">
        <v>654</v>
      </c>
      <c r="L143" s="13" t="s">
        <v>1052</v>
      </c>
      <c r="M143" s="14">
        <v>250</v>
      </c>
      <c r="N143" s="14">
        <v>2.94</v>
      </c>
      <c r="O143" s="10">
        <f t="shared" si="34"/>
        <v>735</v>
      </c>
      <c r="P143" s="11">
        <v>0</v>
      </c>
      <c r="Q143" s="11">
        <v>0</v>
      </c>
      <c r="R143" s="10">
        <f>IF(COUNTIF($J$2:J143,J143)=1,SUMIFS($O:$O,$J:$J,J143)+SUMIFS($P:$P,$J:$J,J143)+SUMIFS($Q:$Q,$J:$J,J143),"")</f>
        <v>735</v>
      </c>
      <c r="S143">
        <v>2046.66</v>
      </c>
      <c r="T143" s="11" t="str">
        <f>IFERROR(INDEX(AD:AD,MATCH(J143,J:J,0)),"")</f>
        <v>Check</v>
      </c>
      <c r="U143" s="12">
        <v>46051</v>
      </c>
      <c r="V143" s="10">
        <v>155.80000000000001</v>
      </c>
      <c r="W143" s="10" t="str">
        <f t="shared" si="35"/>
        <v>Short Paid</v>
      </c>
      <c r="X143" t="s">
        <v>220</v>
      </c>
      <c r="Y143" t="s">
        <v>27</v>
      </c>
      <c r="Z143">
        <v>100199</v>
      </c>
      <c r="AA143" t="s">
        <v>225</v>
      </c>
      <c r="AB143" t="s">
        <v>251</v>
      </c>
      <c r="AC143" s="9">
        <f>COUNTIF(J:J,J143)</f>
        <v>1</v>
      </c>
      <c r="AD143" s="9" t="str">
        <f t="shared" si="36"/>
        <v>Check</v>
      </c>
      <c r="AE143" s="11">
        <f t="shared" ref="AE143:AE153" si="41">R143-S143</f>
        <v>-1311.66</v>
      </c>
    </row>
    <row r="144" spans="1:31" x14ac:dyDescent="0.3">
      <c r="A144">
        <v>24</v>
      </c>
      <c r="B144">
        <v>4754560</v>
      </c>
      <c r="C144" t="s">
        <v>91</v>
      </c>
      <c r="D144">
        <v>1963277</v>
      </c>
      <c r="E144" t="s">
        <v>107</v>
      </c>
      <c r="F144" t="s">
        <v>18</v>
      </c>
      <c r="G144" t="s">
        <v>145</v>
      </c>
      <c r="H144" t="s">
        <v>146</v>
      </c>
      <c r="I144" s="9" t="s">
        <v>722</v>
      </c>
      <c r="J144" s="9">
        <v>51150573683</v>
      </c>
      <c r="K144" s="14" t="s">
        <v>654</v>
      </c>
      <c r="L144" s="13" t="s">
        <v>1028</v>
      </c>
      <c r="M144" s="14">
        <v>495</v>
      </c>
      <c r="N144" s="14">
        <v>0.39</v>
      </c>
      <c r="O144" s="10">
        <f t="shared" si="34"/>
        <v>193.05</v>
      </c>
      <c r="P144" s="11">
        <v>1206.3999999999999</v>
      </c>
      <c r="Q144" s="11">
        <v>0</v>
      </c>
      <c r="R144" s="10">
        <f>IF(COUNTIF($J$2:J144,J144)=1,SUMIFS($O:$O,$J:$J,J144)+SUMIFS($P:$P,$J:$J,J144)+SUMIFS($Q:$Q,$J:$J,J144),"")</f>
        <v>1399.4499999999998</v>
      </c>
      <c r="S144">
        <v>10679.449999999999</v>
      </c>
      <c r="T144" s="11" t="str">
        <f>IFERROR(INDEX(AD:AD,MATCH(J144,J:J,0)),"")</f>
        <v>Check</v>
      </c>
      <c r="U144" s="12">
        <v>46048</v>
      </c>
      <c r="V144" s="10">
        <v>133.65</v>
      </c>
      <c r="W144" s="10" t="str">
        <f t="shared" si="35"/>
        <v>Short Paid</v>
      </c>
      <c r="X144" t="s">
        <v>220</v>
      </c>
      <c r="Y144" t="s">
        <v>27</v>
      </c>
      <c r="Z144">
        <v>100239</v>
      </c>
      <c r="AA144" t="s">
        <v>226</v>
      </c>
      <c r="AB144" t="s">
        <v>251</v>
      </c>
      <c r="AC144" s="9">
        <f>COUNTIF(J:J,J144)</f>
        <v>1</v>
      </c>
      <c r="AD144" s="9" t="str">
        <f t="shared" si="36"/>
        <v>Check</v>
      </c>
      <c r="AE144" s="11">
        <f t="shared" si="41"/>
        <v>-9280</v>
      </c>
    </row>
    <row r="145" spans="1:31" x14ac:dyDescent="0.3">
      <c r="A145">
        <v>24</v>
      </c>
      <c r="B145">
        <v>4754838</v>
      </c>
      <c r="C145" t="s">
        <v>91</v>
      </c>
      <c r="D145">
        <v>1963277</v>
      </c>
      <c r="E145" t="s">
        <v>107</v>
      </c>
      <c r="F145" t="s">
        <v>18</v>
      </c>
      <c r="G145" t="s">
        <v>153</v>
      </c>
      <c r="H145" t="s">
        <v>154</v>
      </c>
      <c r="I145" s="9" t="s">
        <v>724</v>
      </c>
      <c r="J145" s="9">
        <v>51151117622</v>
      </c>
      <c r="K145" s="14" t="s">
        <v>654</v>
      </c>
      <c r="L145" s="13" t="s">
        <v>1027</v>
      </c>
      <c r="M145" s="14">
        <v>3000</v>
      </c>
      <c r="N145" s="14">
        <v>0.4</v>
      </c>
      <c r="O145" s="10">
        <f t="shared" si="34"/>
        <v>1200</v>
      </c>
      <c r="P145" s="11">
        <v>0</v>
      </c>
      <c r="Q145" s="11">
        <v>0</v>
      </c>
      <c r="R145" s="10">
        <f>IF(COUNTIF($J$2:J145,J145)=1,SUMIFS($O:$O,$J:$J,J145)+SUMIFS($P:$P,$J:$J,J145)+SUMIFS($Q:$Q,$J:$J,J145),"")</f>
        <v>1200</v>
      </c>
      <c r="S145">
        <v>3763.5</v>
      </c>
      <c r="T145" s="11" t="str">
        <f>IFERROR(INDEX(AD:AD,MATCH(J145,J:J,0)),"")</f>
        <v>Check</v>
      </c>
      <c r="U145" s="12">
        <v>46048</v>
      </c>
      <c r="V145" s="10">
        <v>839.48</v>
      </c>
      <c r="W145" s="10" t="str">
        <f t="shared" si="35"/>
        <v>Short Paid</v>
      </c>
      <c r="X145" t="s">
        <v>220</v>
      </c>
      <c r="Y145" t="s">
        <v>27</v>
      </c>
      <c r="Z145">
        <v>100249</v>
      </c>
      <c r="AA145" t="s">
        <v>228</v>
      </c>
      <c r="AB145" t="s">
        <v>251</v>
      </c>
      <c r="AC145" s="9">
        <f>COUNTIF(J:J,J145)</f>
        <v>1</v>
      </c>
      <c r="AD145" s="9" t="str">
        <f t="shared" si="36"/>
        <v>Check</v>
      </c>
      <c r="AE145" s="11">
        <f t="shared" si="41"/>
        <v>-2563.5</v>
      </c>
    </row>
    <row r="146" spans="1:31" x14ac:dyDescent="0.3">
      <c r="A146">
        <v>24</v>
      </c>
      <c r="B146">
        <v>4755117</v>
      </c>
      <c r="C146" t="s">
        <v>91</v>
      </c>
      <c r="D146">
        <v>1963277</v>
      </c>
      <c r="E146" t="s">
        <v>107</v>
      </c>
      <c r="F146" t="s">
        <v>18</v>
      </c>
      <c r="G146" t="s">
        <v>147</v>
      </c>
      <c r="H146" t="s">
        <v>148</v>
      </c>
      <c r="I146" s="9" t="s">
        <v>811</v>
      </c>
      <c r="J146" s="9">
        <v>51150748731</v>
      </c>
      <c r="K146" s="14" t="s">
        <v>654</v>
      </c>
      <c r="L146" s="13" t="s">
        <v>1028</v>
      </c>
      <c r="M146" s="14">
        <v>495</v>
      </c>
      <c r="N146" s="14">
        <v>0.39</v>
      </c>
      <c r="O146" s="10">
        <f t="shared" si="34"/>
        <v>193.05</v>
      </c>
      <c r="P146" s="11">
        <v>0</v>
      </c>
      <c r="Q146" s="11">
        <v>0</v>
      </c>
      <c r="R146" s="10">
        <f>IF(COUNTIF($J$2:J146,J146)=1,SUMIFS($O:$O,$J:$J,J146)+SUMIFS($P:$P,$J:$J,J146)+SUMIFS($Q:$Q,$J:$J,J146),"")</f>
        <v>193.05</v>
      </c>
      <c r="S146">
        <v>29989.18</v>
      </c>
      <c r="T146" s="11" t="str">
        <f>IFERROR(INDEX(AD:AD,MATCH(J146,J:J,0)),"")</f>
        <v>Check</v>
      </c>
      <c r="U146" s="12">
        <v>46048</v>
      </c>
      <c r="V146" s="10">
        <v>113.65</v>
      </c>
      <c r="W146" s="10" t="str">
        <f t="shared" si="35"/>
        <v>Short Paid</v>
      </c>
      <c r="X146" t="s">
        <v>220</v>
      </c>
      <c r="Y146" t="s">
        <v>27</v>
      </c>
      <c r="Z146">
        <v>100279</v>
      </c>
      <c r="AA146" t="s">
        <v>229</v>
      </c>
      <c r="AB146" t="s">
        <v>251</v>
      </c>
      <c r="AC146" s="9">
        <f>COUNTIF(J:J,J146)</f>
        <v>1</v>
      </c>
      <c r="AD146" s="9" t="str">
        <f t="shared" si="36"/>
        <v>Check</v>
      </c>
      <c r="AE146" s="11">
        <f t="shared" si="41"/>
        <v>-29796.13</v>
      </c>
    </row>
    <row r="147" spans="1:31" x14ac:dyDescent="0.3">
      <c r="A147">
        <v>24</v>
      </c>
      <c r="B147">
        <v>4755395</v>
      </c>
      <c r="C147" t="s">
        <v>91</v>
      </c>
      <c r="D147">
        <v>1963277</v>
      </c>
      <c r="E147" t="s">
        <v>107</v>
      </c>
      <c r="F147" t="s">
        <v>18</v>
      </c>
      <c r="G147" t="s">
        <v>149</v>
      </c>
      <c r="H147" t="s">
        <v>150</v>
      </c>
      <c r="I147" s="9" t="s">
        <v>859</v>
      </c>
      <c r="J147" s="9">
        <v>51150719700</v>
      </c>
      <c r="K147" s="14" t="s">
        <v>654</v>
      </c>
      <c r="L147" s="13" t="s">
        <v>1030</v>
      </c>
      <c r="M147" s="14">
        <v>2052</v>
      </c>
      <c r="N147" s="14">
        <v>0.56000000000000005</v>
      </c>
      <c r="O147" s="10">
        <f t="shared" ref="O147:O164" si="42">M147*N147</f>
        <v>1149.1200000000001</v>
      </c>
      <c r="P147" s="11">
        <v>0</v>
      </c>
      <c r="Q147" s="11">
        <v>0</v>
      </c>
      <c r="R147" s="10">
        <f>IF(COUNTIF($J$2:J147,J147)=1,SUMIFS($O:$O,$J:$J,J147)+SUMIFS($P:$P,$J:$J,J147)+SUMIFS($Q:$Q,$J:$J,J147),"")</f>
        <v>1149.1200000000001</v>
      </c>
      <c r="S147">
        <v>10021.48</v>
      </c>
      <c r="T147" s="11" t="str">
        <f>IFERROR(INDEX(AD:AD,MATCH(J147,J:J,0)),"")</f>
        <v>Check</v>
      </c>
      <c r="U147" s="12">
        <v>46048</v>
      </c>
      <c r="V147" s="10">
        <v>572.75</v>
      </c>
      <c r="W147" s="10" t="str">
        <f t="shared" ref="W147:W164" si="43">IF(OR(S147="",V147=""),"N/A",IF(S147&lt;&gt;V147,"Short Paid","Not Paid"))</f>
        <v>Short Paid</v>
      </c>
      <c r="X147" t="s">
        <v>220</v>
      </c>
      <c r="Y147" t="s">
        <v>27</v>
      </c>
      <c r="Z147">
        <v>100289</v>
      </c>
      <c r="AA147" t="s">
        <v>221</v>
      </c>
      <c r="AB147" t="s">
        <v>251</v>
      </c>
      <c r="AC147" s="9">
        <f>COUNTIF(J:J,J147)</f>
        <v>1</v>
      </c>
      <c r="AD147" s="9" t="str">
        <f t="shared" ref="AD147:AD164" si="44">IF(AND(R147="",S147=""),"N/A",IF(R147=S147,"Ok","Check"))</f>
        <v>Check</v>
      </c>
      <c r="AE147" s="11">
        <f t="shared" si="41"/>
        <v>-8872.3599999999988</v>
      </c>
    </row>
    <row r="148" spans="1:31" x14ac:dyDescent="0.3">
      <c r="A148">
        <v>24</v>
      </c>
      <c r="B148">
        <v>4755673</v>
      </c>
      <c r="C148" t="s">
        <v>91</v>
      </c>
      <c r="D148">
        <v>1963277</v>
      </c>
      <c r="E148" t="s">
        <v>107</v>
      </c>
      <c r="F148" t="s">
        <v>18</v>
      </c>
      <c r="G148" t="s">
        <v>151</v>
      </c>
      <c r="H148" t="s">
        <v>152</v>
      </c>
      <c r="I148" s="9" t="s">
        <v>806</v>
      </c>
      <c r="J148" s="9">
        <v>51150621609</v>
      </c>
      <c r="K148" s="14" t="s">
        <v>654</v>
      </c>
      <c r="L148" s="13" t="s">
        <v>1028</v>
      </c>
      <c r="M148" s="14">
        <v>495</v>
      </c>
      <c r="N148" s="14">
        <v>0.39</v>
      </c>
      <c r="O148" s="10">
        <f t="shared" si="42"/>
        <v>193.05</v>
      </c>
      <c r="P148" s="11">
        <v>0</v>
      </c>
      <c r="Q148" s="11">
        <v>0</v>
      </c>
      <c r="R148" s="10">
        <f>IF(COUNTIF($J$2:J148,J148)=1,SUMIFS($O:$O,$J:$J,J148)+SUMIFS($P:$P,$J:$J,J148)+SUMIFS($Q:$Q,$J:$J,J148),"")</f>
        <v>193.05</v>
      </c>
      <c r="S148">
        <v>3920.8500000000004</v>
      </c>
      <c r="T148" s="11" t="str">
        <f>IFERROR(INDEX(AD:AD,MATCH(J148,J:J,0)),"")</f>
        <v>Check</v>
      </c>
      <c r="U148" s="12">
        <v>46048</v>
      </c>
      <c r="V148" s="10">
        <v>133.65</v>
      </c>
      <c r="W148" s="10" t="str">
        <f t="shared" si="43"/>
        <v>Short Paid</v>
      </c>
      <c r="X148" t="s">
        <v>220</v>
      </c>
      <c r="Y148" t="s">
        <v>27</v>
      </c>
      <c r="Z148">
        <v>100119</v>
      </c>
      <c r="AA148" t="s">
        <v>235</v>
      </c>
      <c r="AB148" t="s">
        <v>251</v>
      </c>
      <c r="AC148" s="9">
        <f>COUNTIF(J:J,J148)</f>
        <v>1</v>
      </c>
      <c r="AD148" s="9" t="str">
        <f t="shared" si="44"/>
        <v>Check</v>
      </c>
      <c r="AE148" s="11">
        <f t="shared" si="41"/>
        <v>-3727.8</v>
      </c>
    </row>
    <row r="149" spans="1:31" x14ac:dyDescent="0.3">
      <c r="A149">
        <v>24</v>
      </c>
      <c r="B149">
        <v>4755952</v>
      </c>
      <c r="C149" t="s">
        <v>91</v>
      </c>
      <c r="D149">
        <v>1963277</v>
      </c>
      <c r="E149" t="s">
        <v>107</v>
      </c>
      <c r="F149" t="s">
        <v>18</v>
      </c>
      <c r="G149" t="s">
        <v>143</v>
      </c>
      <c r="H149" t="s">
        <v>144</v>
      </c>
      <c r="I149" s="9" t="s">
        <v>716</v>
      </c>
      <c r="J149" s="9">
        <v>51150723198</v>
      </c>
      <c r="K149" s="14" t="s">
        <v>654</v>
      </c>
      <c r="L149" s="13" t="s">
        <v>1028</v>
      </c>
      <c r="M149" s="14">
        <v>440</v>
      </c>
      <c r="N149" s="14">
        <v>0.39</v>
      </c>
      <c r="O149" s="10">
        <f t="shared" si="42"/>
        <v>171.6</v>
      </c>
      <c r="P149" s="11">
        <v>0</v>
      </c>
      <c r="Q149" s="11">
        <v>0</v>
      </c>
      <c r="R149" s="10">
        <f>IF(COUNTIF($J$2:J149,J149)=1,SUMIFS($O:$O,$J:$J,J149)+SUMIFS($P:$P,$J:$J,J149)+SUMIFS($Q:$Q,$J:$J,J149),"")</f>
        <v>171.6</v>
      </c>
      <c r="S149">
        <v>4785.3600000000006</v>
      </c>
      <c r="T149" s="11" t="str">
        <f>IFERROR(INDEX(AD:AD,MATCH(J149,J:J,0)),"")</f>
        <v>Check</v>
      </c>
      <c r="U149" s="12">
        <v>46048</v>
      </c>
      <c r="V149" s="10">
        <v>118.8</v>
      </c>
      <c r="W149" s="10" t="str">
        <f t="shared" si="43"/>
        <v>Short Paid</v>
      </c>
      <c r="X149" t="s">
        <v>220</v>
      </c>
      <c r="Y149" t="s">
        <v>27</v>
      </c>
      <c r="Z149">
        <v>100129</v>
      </c>
      <c r="AA149" t="s">
        <v>236</v>
      </c>
      <c r="AB149" t="s">
        <v>251</v>
      </c>
      <c r="AC149" s="9">
        <f>COUNTIF(J:J,J149)</f>
        <v>1</v>
      </c>
      <c r="AD149" s="9" t="str">
        <f t="shared" si="44"/>
        <v>Check</v>
      </c>
      <c r="AE149" s="11">
        <f t="shared" si="41"/>
        <v>-4613.76</v>
      </c>
    </row>
    <row r="150" spans="1:31" x14ac:dyDescent="0.3">
      <c r="A150">
        <v>22</v>
      </c>
      <c r="B150">
        <v>4762352</v>
      </c>
      <c r="C150" t="s">
        <v>91</v>
      </c>
      <c r="D150">
        <v>1963277</v>
      </c>
      <c r="E150" t="s">
        <v>107</v>
      </c>
      <c r="F150" t="s">
        <v>18</v>
      </c>
      <c r="G150" t="s">
        <v>159</v>
      </c>
      <c r="H150" t="s">
        <v>160</v>
      </c>
      <c r="I150" s="9" t="s">
        <v>746</v>
      </c>
      <c r="J150" s="9">
        <v>51153876615</v>
      </c>
      <c r="K150" s="14" t="s">
        <v>654</v>
      </c>
      <c r="L150" s="13" t="s">
        <v>1035</v>
      </c>
      <c r="M150" s="14">
        <v>600</v>
      </c>
      <c r="N150" s="14">
        <v>0.5</v>
      </c>
      <c r="O150" s="10">
        <f t="shared" si="42"/>
        <v>300</v>
      </c>
      <c r="P150" s="11">
        <v>0</v>
      </c>
      <c r="Q150" s="11">
        <v>0</v>
      </c>
      <c r="R150" s="10">
        <f>IF(COUNTIF($J$2:J150,J150)=1,SUMIFS($O:$O,$J:$J,J150)+SUMIFS($P:$P,$J:$J,J150)+SUMIFS($Q:$Q,$J:$J,J150),"")</f>
        <v>300</v>
      </c>
      <c r="S150">
        <v>1847.2</v>
      </c>
      <c r="T150" s="11" t="str">
        <f>IFERROR(INDEX(AD:AD,MATCH(J150,J:J,0)),"")</f>
        <v>Check</v>
      </c>
      <c r="U150" s="12">
        <v>46057</v>
      </c>
      <c r="V150" s="10">
        <v>160.77000000000001</v>
      </c>
      <c r="W150" s="10" t="str">
        <f t="shared" si="43"/>
        <v>Short Paid</v>
      </c>
      <c r="X150" t="s">
        <v>220</v>
      </c>
      <c r="Y150" t="s">
        <v>27</v>
      </c>
      <c r="Z150">
        <v>100199</v>
      </c>
      <c r="AA150" t="s">
        <v>225</v>
      </c>
      <c r="AB150" t="s">
        <v>251</v>
      </c>
      <c r="AC150" s="9">
        <f>COUNTIF(J:J,J150)</f>
        <v>1</v>
      </c>
      <c r="AD150" s="9" t="str">
        <f t="shared" si="44"/>
        <v>Check</v>
      </c>
      <c r="AE150" s="11">
        <f t="shared" si="41"/>
        <v>-1547.2</v>
      </c>
    </row>
    <row r="151" spans="1:31" x14ac:dyDescent="0.3">
      <c r="A151">
        <v>22</v>
      </c>
      <c r="B151">
        <v>4762630</v>
      </c>
      <c r="C151" t="s">
        <v>91</v>
      </c>
      <c r="D151">
        <v>1963277</v>
      </c>
      <c r="E151" t="s">
        <v>107</v>
      </c>
      <c r="F151" t="s">
        <v>18</v>
      </c>
      <c r="G151" t="s">
        <v>161</v>
      </c>
      <c r="H151" t="s">
        <v>162</v>
      </c>
      <c r="I151" s="9" t="s">
        <v>819</v>
      </c>
      <c r="J151" s="9">
        <v>51153876834</v>
      </c>
      <c r="K151" s="14" t="s">
        <v>654</v>
      </c>
      <c r="L151" s="13" t="s">
        <v>1035</v>
      </c>
      <c r="M151" s="14">
        <v>555</v>
      </c>
      <c r="N151" s="14">
        <v>0.5</v>
      </c>
      <c r="O151" s="10">
        <f t="shared" si="42"/>
        <v>277.5</v>
      </c>
      <c r="P151" s="11">
        <v>0</v>
      </c>
      <c r="Q151" s="11">
        <v>0</v>
      </c>
      <c r="R151" s="10">
        <f>IF(COUNTIF($J$2:J151,J151)=1,SUMIFS($O:$O,$J:$J,J151)+SUMIFS($P:$P,$J:$J,J151)+SUMIFS($Q:$Q,$J:$J,J151),"")</f>
        <v>277.5</v>
      </c>
      <c r="S151">
        <v>2014.14</v>
      </c>
      <c r="T151" s="11" t="str">
        <f>IFERROR(INDEX(AD:AD,MATCH(J151,J:J,0)),"")</f>
        <v>Check</v>
      </c>
      <c r="U151" s="12">
        <v>46057</v>
      </c>
      <c r="V151" s="10">
        <v>148.71</v>
      </c>
      <c r="W151" s="10" t="str">
        <f t="shared" si="43"/>
        <v>Short Paid</v>
      </c>
      <c r="X151" t="s">
        <v>220</v>
      </c>
      <c r="Y151" t="s">
        <v>27</v>
      </c>
      <c r="Z151">
        <v>100209</v>
      </c>
      <c r="AA151" t="s">
        <v>227</v>
      </c>
      <c r="AB151" t="s">
        <v>251</v>
      </c>
      <c r="AC151" s="9">
        <f>COUNTIF(J:J,J151)</f>
        <v>1</v>
      </c>
      <c r="AD151" s="9" t="str">
        <f t="shared" si="44"/>
        <v>Check</v>
      </c>
      <c r="AE151" s="11">
        <f t="shared" si="41"/>
        <v>-1736.64</v>
      </c>
    </row>
    <row r="152" spans="1:31" x14ac:dyDescent="0.3">
      <c r="A152">
        <v>22</v>
      </c>
      <c r="B152">
        <v>4762909</v>
      </c>
      <c r="C152" t="s">
        <v>91</v>
      </c>
      <c r="D152">
        <v>1963277</v>
      </c>
      <c r="E152" t="s">
        <v>107</v>
      </c>
      <c r="F152" t="s">
        <v>18</v>
      </c>
      <c r="G152" t="s">
        <v>157</v>
      </c>
      <c r="H152" t="s">
        <v>158</v>
      </c>
      <c r="I152" s="9" t="s">
        <v>820</v>
      </c>
      <c r="J152" s="9">
        <v>51153876753</v>
      </c>
      <c r="K152" s="14" t="s">
        <v>654</v>
      </c>
      <c r="L152" s="13" t="s">
        <v>1035</v>
      </c>
      <c r="M152" s="14">
        <v>750</v>
      </c>
      <c r="N152" s="14">
        <v>0.5</v>
      </c>
      <c r="O152" s="10">
        <f t="shared" si="42"/>
        <v>375</v>
      </c>
      <c r="P152" s="11">
        <v>0</v>
      </c>
      <c r="Q152" s="11">
        <v>0</v>
      </c>
      <c r="R152" s="10">
        <f>IF(COUNTIF($J$2:J152,J152)=1,SUMIFS($O:$O,$J:$J,J152)+SUMIFS($P:$P,$J:$J,J152)+SUMIFS($Q:$Q,$J:$J,J152),"")</f>
        <v>375</v>
      </c>
      <c r="S152">
        <v>1340.25</v>
      </c>
      <c r="T152" s="11" t="str">
        <f>IFERROR(INDEX(AD:AD,MATCH(J152,J:J,0)),"")</f>
        <v>Check</v>
      </c>
      <c r="U152" s="12">
        <v>46057</v>
      </c>
      <c r="V152" s="10">
        <v>200.96</v>
      </c>
      <c r="W152" s="10" t="str">
        <f t="shared" si="43"/>
        <v>Short Paid</v>
      </c>
      <c r="X152" t="s">
        <v>220</v>
      </c>
      <c r="Y152" t="s">
        <v>27</v>
      </c>
      <c r="Z152">
        <v>100239</v>
      </c>
      <c r="AA152" t="s">
        <v>226</v>
      </c>
      <c r="AB152" t="s">
        <v>251</v>
      </c>
      <c r="AC152" s="9">
        <f>COUNTIF(J:J,J152)</f>
        <v>1</v>
      </c>
      <c r="AD152" s="9" t="str">
        <f t="shared" si="44"/>
        <v>Check</v>
      </c>
      <c r="AE152" s="11">
        <f t="shared" si="41"/>
        <v>-965.25</v>
      </c>
    </row>
    <row r="153" spans="1:31" x14ac:dyDescent="0.3">
      <c r="A153">
        <v>22</v>
      </c>
      <c r="B153">
        <v>4763465</v>
      </c>
      <c r="C153" t="s">
        <v>91</v>
      </c>
      <c r="D153">
        <v>1963277</v>
      </c>
      <c r="E153" t="s">
        <v>107</v>
      </c>
      <c r="F153" t="s">
        <v>18</v>
      </c>
      <c r="G153" t="s">
        <v>163</v>
      </c>
      <c r="H153" t="s">
        <v>164</v>
      </c>
      <c r="I153" s="9" t="s">
        <v>770</v>
      </c>
      <c r="J153" s="9">
        <v>51153876731</v>
      </c>
      <c r="K153" s="14" t="s">
        <v>654</v>
      </c>
      <c r="L153" s="13" t="s">
        <v>1039</v>
      </c>
      <c r="M153" s="14">
        <v>800</v>
      </c>
      <c r="N153" s="14">
        <v>0.69</v>
      </c>
      <c r="O153" s="10">
        <f t="shared" si="42"/>
        <v>552</v>
      </c>
      <c r="P153" s="11">
        <v>0</v>
      </c>
      <c r="Q153" s="11">
        <v>0</v>
      </c>
      <c r="R153" s="10">
        <f>IF(COUNTIF($J$2:J153,J153)=1,SUMIFS($O:$O,$J:$J,J153)+SUMIFS($P:$P,$J:$J,J153)+SUMIFS($Q:$Q,$J:$J,J153),"")</f>
        <v>552</v>
      </c>
      <c r="S153">
        <v>747</v>
      </c>
      <c r="T153" s="11" t="str">
        <f>IFERROR(INDEX(AD:AD,MATCH(J153,J:J,0)),"")</f>
        <v>Check</v>
      </c>
      <c r="U153" s="12">
        <v>46058</v>
      </c>
      <c r="V153" s="10">
        <v>224</v>
      </c>
      <c r="W153" s="10" t="str">
        <f t="shared" si="43"/>
        <v>Short Paid</v>
      </c>
      <c r="X153" t="s">
        <v>220</v>
      </c>
      <c r="Y153" t="s">
        <v>27</v>
      </c>
      <c r="Z153">
        <v>100279</v>
      </c>
      <c r="AA153" t="s">
        <v>229</v>
      </c>
      <c r="AB153" t="s">
        <v>251</v>
      </c>
      <c r="AC153" s="9">
        <f>COUNTIF(J:J,J153)</f>
        <v>1</v>
      </c>
      <c r="AD153" s="9" t="str">
        <f t="shared" si="44"/>
        <v>Check</v>
      </c>
      <c r="AE153" s="11">
        <f t="shared" si="41"/>
        <v>-195</v>
      </c>
    </row>
    <row r="154" spans="1:31" x14ac:dyDescent="0.3">
      <c r="A154">
        <v>20</v>
      </c>
      <c r="B154">
        <v>4789067</v>
      </c>
      <c r="C154" t="s">
        <v>91</v>
      </c>
      <c r="D154">
        <v>1507694</v>
      </c>
      <c r="E154" t="s">
        <v>165</v>
      </c>
      <c r="F154" t="s">
        <v>18</v>
      </c>
      <c r="G154" t="s">
        <v>97</v>
      </c>
      <c r="H154" t="s">
        <v>98</v>
      </c>
      <c r="I154" s="9" t="s">
        <v>668</v>
      </c>
      <c r="J154" s="9">
        <v>51152927729</v>
      </c>
      <c r="K154" s="14" t="s">
        <v>654</v>
      </c>
      <c r="L154" s="13" t="s">
        <v>1033</v>
      </c>
      <c r="M154" s="14">
        <v>3620</v>
      </c>
      <c r="N154" s="14">
        <v>1.5797000000000001</v>
      </c>
      <c r="O154" s="10">
        <f t="shared" si="42"/>
        <v>5718.5140000000001</v>
      </c>
      <c r="P154" s="11">
        <v>0</v>
      </c>
      <c r="Q154" s="11">
        <v>41.97</v>
      </c>
      <c r="R154" s="10">
        <f>IF(COUNTIF($J$2:J154,J154)=1,SUMIFS($O:$O,$J:$J,J154)+SUMIFS($P:$P,$J:$J,J154)+SUMIFS($Q:$Q,$J:$J,J154),"")</f>
        <v>5760.4840000000004</v>
      </c>
      <c r="S154">
        <v>6202.2800000000007</v>
      </c>
      <c r="T154" s="11" t="str">
        <f>IFERROR(INDEX(AD:AD,MATCH(J154,J:J,0)),"")</f>
        <v>Check</v>
      </c>
      <c r="U154" s="12">
        <v>46154</v>
      </c>
      <c r="V154" s="10">
        <v>289.75</v>
      </c>
      <c r="W154" s="10" t="str">
        <f t="shared" si="43"/>
        <v>Short Paid</v>
      </c>
      <c r="X154" t="s">
        <v>200</v>
      </c>
      <c r="Y154" t="s">
        <v>27</v>
      </c>
      <c r="Z154">
        <v>100113</v>
      </c>
      <c r="AA154" t="s">
        <v>203</v>
      </c>
      <c r="AB154" t="s">
        <v>251</v>
      </c>
      <c r="AC154" s="9">
        <f>COUNTIF(J:J,J154)</f>
        <v>1</v>
      </c>
      <c r="AD154" s="9" t="str">
        <f t="shared" si="44"/>
        <v>Check</v>
      </c>
      <c r="AE154" s="11">
        <f t="shared" ref="AE154:AE156" si="45">R154-S154</f>
        <v>-441.79600000000028</v>
      </c>
    </row>
    <row r="155" spans="1:31" x14ac:dyDescent="0.3">
      <c r="A155">
        <v>20</v>
      </c>
      <c r="B155">
        <v>4789346</v>
      </c>
      <c r="C155" t="s">
        <v>91</v>
      </c>
      <c r="D155">
        <v>1963277</v>
      </c>
      <c r="E155" t="s">
        <v>107</v>
      </c>
      <c r="F155" t="s">
        <v>18</v>
      </c>
      <c r="G155" t="s">
        <v>95</v>
      </c>
      <c r="H155" t="s">
        <v>96</v>
      </c>
      <c r="I155" s="9" t="s">
        <v>822</v>
      </c>
      <c r="J155" s="9">
        <v>51152396138</v>
      </c>
      <c r="K155" s="14" t="s">
        <v>654</v>
      </c>
      <c r="L155" s="13" t="s">
        <v>1033</v>
      </c>
      <c r="M155" s="14">
        <v>541</v>
      </c>
      <c r="N155" s="14">
        <v>2.5546600000000002</v>
      </c>
      <c r="O155" s="10">
        <f t="shared" si="42"/>
        <v>1382.07106</v>
      </c>
      <c r="P155" s="11">
        <v>0</v>
      </c>
      <c r="Q155" s="11">
        <v>0</v>
      </c>
      <c r="R155" s="10">
        <f>IF(COUNTIF($J$2:J155,J155)=1,SUMIFS($O:$O,$J:$J,J155)+SUMIFS($P:$P,$J:$J,J155)+SUMIFS($Q:$Q,$J:$J,J155),"")</f>
        <v>1382.07106</v>
      </c>
      <c r="S155">
        <v>12412.34</v>
      </c>
      <c r="T155" s="11" t="str">
        <f>IFERROR(INDEX(AD:AD,MATCH(J155,J:J,0)),"")</f>
        <v>Check</v>
      </c>
      <c r="U155" s="12">
        <v>46065</v>
      </c>
      <c r="V155" s="10">
        <v>465.17</v>
      </c>
      <c r="W155" s="10" t="str">
        <f t="shared" si="43"/>
        <v>Short Paid</v>
      </c>
      <c r="X155" t="s">
        <v>220</v>
      </c>
      <c r="Y155" t="s">
        <v>27</v>
      </c>
      <c r="Z155">
        <v>100129</v>
      </c>
      <c r="AA155" t="s">
        <v>236</v>
      </c>
      <c r="AB155" t="s">
        <v>251</v>
      </c>
      <c r="AC155" s="9">
        <f>COUNTIF(J:J,J155)</f>
        <v>1</v>
      </c>
      <c r="AD155" s="9" t="str">
        <f t="shared" si="44"/>
        <v>Check</v>
      </c>
      <c r="AE155" s="11">
        <f t="shared" si="45"/>
        <v>-11030.26894</v>
      </c>
    </row>
    <row r="156" spans="1:31" x14ac:dyDescent="0.3">
      <c r="A156">
        <v>20</v>
      </c>
      <c r="B156">
        <v>4789624</v>
      </c>
      <c r="C156" t="s">
        <v>91</v>
      </c>
      <c r="D156">
        <v>1963277</v>
      </c>
      <c r="E156" t="s">
        <v>107</v>
      </c>
      <c r="F156" t="s">
        <v>18</v>
      </c>
      <c r="G156" t="s">
        <v>93</v>
      </c>
      <c r="H156" t="s">
        <v>94</v>
      </c>
      <c r="I156" s="9" t="s">
        <v>736</v>
      </c>
      <c r="J156" s="9">
        <v>51152802897</v>
      </c>
      <c r="K156" s="14" t="s">
        <v>654</v>
      </c>
      <c r="L156" s="13" t="s">
        <v>1033</v>
      </c>
      <c r="M156" s="14">
        <v>1376</v>
      </c>
      <c r="N156" s="14">
        <v>1.5797000000000001</v>
      </c>
      <c r="O156" s="10">
        <f t="shared" si="42"/>
        <v>2173.6672000000003</v>
      </c>
      <c r="P156" s="11">
        <v>0</v>
      </c>
      <c r="Q156" s="11">
        <v>0</v>
      </c>
      <c r="R156" s="10">
        <f>IF(COUNTIF($J$2:J156,J156)=1,SUMIFS($O:$O,$J:$J,J156)+SUMIFS($P:$P,$J:$J,J156)+SUMIFS($Q:$Q,$J:$J,J156),"")</f>
        <v>2173.6672000000003</v>
      </c>
      <c r="S156">
        <v>10539.67</v>
      </c>
      <c r="T156" s="11" t="str">
        <f>IFERROR(INDEX(AD:AD,MATCH(J156,J:J,0)),"")</f>
        <v>Check</v>
      </c>
      <c r="U156" s="12">
        <v>46064</v>
      </c>
      <c r="V156" s="10">
        <v>588</v>
      </c>
      <c r="W156" s="10" t="str">
        <f t="shared" si="43"/>
        <v>Short Paid</v>
      </c>
      <c r="X156" t="s">
        <v>220</v>
      </c>
      <c r="Y156" t="s">
        <v>27</v>
      </c>
      <c r="Z156">
        <v>100159</v>
      </c>
      <c r="AA156" t="s">
        <v>232</v>
      </c>
      <c r="AB156" t="s">
        <v>251</v>
      </c>
      <c r="AC156" s="9">
        <f>COUNTIF(J:J,J156)</f>
        <v>1</v>
      </c>
      <c r="AD156" s="9" t="str">
        <f t="shared" si="44"/>
        <v>Check</v>
      </c>
      <c r="AE156" s="11">
        <f t="shared" si="45"/>
        <v>-8366.0028000000002</v>
      </c>
    </row>
    <row r="157" spans="1:31" x14ac:dyDescent="0.3">
      <c r="A157">
        <v>17</v>
      </c>
      <c r="B157">
        <v>4834428</v>
      </c>
      <c r="C157" t="s">
        <v>91</v>
      </c>
      <c r="D157">
        <v>1981156</v>
      </c>
      <c r="E157" t="s">
        <v>264</v>
      </c>
      <c r="F157" t="s">
        <v>18</v>
      </c>
      <c r="G157" t="s">
        <v>585</v>
      </c>
      <c r="H157" t="s">
        <v>586</v>
      </c>
      <c r="I157" s="9" t="s">
        <v>803</v>
      </c>
      <c r="J157" s="9">
        <v>51155515566</v>
      </c>
      <c r="K157" s="14" t="s">
        <v>683</v>
      </c>
      <c r="L157" s="13" t="s">
        <v>860</v>
      </c>
      <c r="M157" s="14">
        <v>35</v>
      </c>
      <c r="N157" s="14">
        <v>24.25</v>
      </c>
      <c r="O157" s="10">
        <f t="shared" si="42"/>
        <v>848.75</v>
      </c>
      <c r="P157" s="11">
        <v>76.39</v>
      </c>
      <c r="Q157" s="11">
        <v>0</v>
      </c>
      <c r="R157" s="10">
        <f>IF(COUNTIF($J$2:J157,J157)=1,SUMIFS($O:$O,$J:$J,J157)+SUMIFS($P:$P,$J:$J,J157)+SUMIFS($Q:$Q,$J:$J,J157),"")</f>
        <v>925.14</v>
      </c>
      <c r="S157" s="10">
        <v>925.14</v>
      </c>
      <c r="T157" s="11" t="str">
        <f>IFERROR(INDEX(AD:AD,MATCH(J157,J:J,0)),"")</f>
        <v>Ok</v>
      </c>
      <c r="U157" s="12">
        <v>46030</v>
      </c>
      <c r="V157" s="10">
        <v>925.14</v>
      </c>
      <c r="W157" s="10" t="str">
        <f t="shared" si="43"/>
        <v>Not Paid</v>
      </c>
      <c r="X157" t="s">
        <v>222</v>
      </c>
      <c r="Y157" t="s">
        <v>27</v>
      </c>
      <c r="Z157">
        <v>100165</v>
      </c>
      <c r="AA157" t="s">
        <v>637</v>
      </c>
      <c r="AB157" t="s">
        <v>251</v>
      </c>
      <c r="AC157" s="9">
        <f>COUNTIF(J:J,J157)</f>
        <v>1</v>
      </c>
      <c r="AD157" s="9" t="str">
        <f t="shared" si="44"/>
        <v>Ok</v>
      </c>
      <c r="AE157" s="11">
        <f t="shared" ref="AE157:AE161" si="46">R157-S157</f>
        <v>0</v>
      </c>
    </row>
    <row r="158" spans="1:31" x14ac:dyDescent="0.3">
      <c r="A158">
        <v>17</v>
      </c>
      <c r="B158">
        <v>4862256</v>
      </c>
      <c r="C158" t="s">
        <v>91</v>
      </c>
      <c r="D158">
        <v>1963277</v>
      </c>
      <c r="E158" t="s">
        <v>107</v>
      </c>
      <c r="F158" t="s">
        <v>18</v>
      </c>
      <c r="G158" t="s">
        <v>172</v>
      </c>
      <c r="H158" t="s">
        <v>173</v>
      </c>
      <c r="I158" s="9" t="s">
        <v>673</v>
      </c>
      <c r="J158" s="9">
        <v>51155631406</v>
      </c>
      <c r="K158" s="14" t="s">
        <v>654</v>
      </c>
      <c r="L158" s="13" t="s">
        <v>1039</v>
      </c>
      <c r="M158" s="14">
        <v>950</v>
      </c>
      <c r="N158" s="14">
        <v>0.68169999999999997</v>
      </c>
      <c r="O158" s="10">
        <f t="shared" si="42"/>
        <v>647.61500000000001</v>
      </c>
      <c r="P158" s="11">
        <v>0</v>
      </c>
      <c r="Q158" s="11">
        <v>0</v>
      </c>
      <c r="R158" s="10">
        <f>IF(COUNTIF($J$2:J158,J158)=1,SUMIFS($O:$O,$J:$J,J158)+SUMIFS($P:$P,$J:$J,J158)+SUMIFS($Q:$Q,$J:$J,J158),"")</f>
        <v>647.61500000000001</v>
      </c>
      <c r="S158">
        <v>55927.420000000006</v>
      </c>
      <c r="T158" s="11" t="str">
        <f>IFERROR(INDEX(AD:AD,MATCH(J158,J:J,0)),"")</f>
        <v>Check</v>
      </c>
      <c r="U158" s="12">
        <v>46071</v>
      </c>
      <c r="V158" s="10">
        <v>258.12</v>
      </c>
      <c r="W158" s="10" t="str">
        <f t="shared" si="43"/>
        <v>Short Paid</v>
      </c>
      <c r="X158" t="s">
        <v>220</v>
      </c>
      <c r="Y158" t="s">
        <v>27</v>
      </c>
      <c r="Z158">
        <v>100169</v>
      </c>
      <c r="AA158" t="s">
        <v>233</v>
      </c>
      <c r="AB158" t="s">
        <v>251</v>
      </c>
      <c r="AC158" s="9">
        <f>COUNTIF(J:J,J158)</f>
        <v>1</v>
      </c>
      <c r="AD158" s="9" t="str">
        <f t="shared" si="44"/>
        <v>Check</v>
      </c>
      <c r="AE158" s="11">
        <f t="shared" si="46"/>
        <v>-55279.805000000008</v>
      </c>
    </row>
    <row r="159" spans="1:31" x14ac:dyDescent="0.3">
      <c r="A159">
        <v>17</v>
      </c>
      <c r="B159">
        <v>4862535</v>
      </c>
      <c r="C159" t="s">
        <v>91</v>
      </c>
      <c r="D159">
        <v>1963277</v>
      </c>
      <c r="E159" t="s">
        <v>107</v>
      </c>
      <c r="F159" t="s">
        <v>18</v>
      </c>
      <c r="G159" t="s">
        <v>174</v>
      </c>
      <c r="H159" t="s">
        <v>175</v>
      </c>
      <c r="I159" s="9" t="s">
        <v>703</v>
      </c>
      <c r="J159" s="9">
        <v>51155679685</v>
      </c>
      <c r="K159" s="14" t="s">
        <v>654</v>
      </c>
      <c r="L159" s="13" t="s">
        <v>1027</v>
      </c>
      <c r="M159" s="14">
        <v>2000</v>
      </c>
      <c r="N159" s="14">
        <v>0.4</v>
      </c>
      <c r="O159" s="10">
        <f t="shared" si="42"/>
        <v>800</v>
      </c>
      <c r="P159" s="11">
        <v>85.49</v>
      </c>
      <c r="Q159" s="11">
        <v>0</v>
      </c>
      <c r="R159" s="10">
        <f>IF(COUNTIF($J$2:J159,J159)=1,SUMIFS($O:$O,$J:$J,J159)+SUMIFS($P:$P,$J:$J,J159)+SUMIFS($Q:$Q,$J:$J,J159),"")</f>
        <v>885.49</v>
      </c>
      <c r="S159">
        <v>1921.69</v>
      </c>
      <c r="T159" s="11" t="str">
        <f>IFERROR(INDEX(AD:AD,MATCH(J159,J:J,0)),"")</f>
        <v>Check</v>
      </c>
      <c r="U159" s="12">
        <v>46072</v>
      </c>
      <c r="V159" s="10">
        <v>546.32000000000005</v>
      </c>
      <c r="W159" s="10" t="str">
        <f t="shared" si="43"/>
        <v>Short Paid</v>
      </c>
      <c r="X159" t="s">
        <v>220</v>
      </c>
      <c r="Y159" t="s">
        <v>27</v>
      </c>
      <c r="Z159">
        <v>100199</v>
      </c>
      <c r="AA159" t="s">
        <v>225</v>
      </c>
      <c r="AB159" t="s">
        <v>251</v>
      </c>
      <c r="AC159" s="9">
        <f>COUNTIF(J:J,J159)</f>
        <v>1</v>
      </c>
      <c r="AD159" s="9" t="str">
        <f t="shared" si="44"/>
        <v>Check</v>
      </c>
      <c r="AE159" s="11">
        <f t="shared" si="46"/>
        <v>-1036.2</v>
      </c>
    </row>
    <row r="160" spans="1:31" x14ac:dyDescent="0.3">
      <c r="A160">
        <v>16</v>
      </c>
      <c r="B160">
        <v>4836098</v>
      </c>
      <c r="C160" t="s">
        <v>91</v>
      </c>
      <c r="D160">
        <v>1963277</v>
      </c>
      <c r="E160" t="s">
        <v>107</v>
      </c>
      <c r="F160" t="s">
        <v>18</v>
      </c>
      <c r="G160" t="s">
        <v>166</v>
      </c>
      <c r="H160" t="s">
        <v>167</v>
      </c>
      <c r="I160" s="9" t="s">
        <v>817</v>
      </c>
      <c r="J160" s="9">
        <v>51154116930</v>
      </c>
      <c r="K160" s="14" t="s">
        <v>654</v>
      </c>
      <c r="L160" s="13" t="s">
        <v>1028</v>
      </c>
      <c r="M160" s="14">
        <v>1320</v>
      </c>
      <c r="N160" s="14">
        <v>0.36</v>
      </c>
      <c r="O160" s="10">
        <f t="shared" si="42"/>
        <v>475.2</v>
      </c>
      <c r="P160" s="11">
        <v>0</v>
      </c>
      <c r="Q160" s="11">
        <v>0</v>
      </c>
      <c r="R160" s="10">
        <f>IF(COUNTIF($J$2:J160,J160)=1,SUMIFS($O:$O,$J:$J,J160)+SUMIFS($P:$P,$J:$J,J160)+SUMIFS($Q:$Q,$J:$J,J160),"")</f>
        <v>475.2</v>
      </c>
      <c r="S160">
        <v>2719.2</v>
      </c>
      <c r="T160" s="11" t="str">
        <f>IFERROR(INDEX(AD:AD,MATCH(J160,J:J,0)),"")</f>
        <v>Check</v>
      </c>
      <c r="U160" s="12">
        <v>46064</v>
      </c>
      <c r="V160" s="10">
        <v>316.8</v>
      </c>
      <c r="W160" s="10" t="str">
        <f t="shared" si="43"/>
        <v>Short Paid</v>
      </c>
      <c r="X160" t="s">
        <v>220</v>
      </c>
      <c r="Y160" t="s">
        <v>27</v>
      </c>
      <c r="Z160">
        <v>100289</v>
      </c>
      <c r="AA160" t="s">
        <v>221</v>
      </c>
      <c r="AB160" t="s">
        <v>251</v>
      </c>
      <c r="AC160" s="9">
        <f>COUNTIF(J:J,J160)</f>
        <v>1</v>
      </c>
      <c r="AD160" s="9" t="str">
        <f t="shared" si="44"/>
        <v>Check</v>
      </c>
      <c r="AE160" s="11">
        <f t="shared" si="46"/>
        <v>-2244</v>
      </c>
    </row>
    <row r="161" spans="1:31" x14ac:dyDescent="0.3">
      <c r="A161">
        <v>16</v>
      </c>
      <c r="B161">
        <v>4836932</v>
      </c>
      <c r="C161" t="s">
        <v>91</v>
      </c>
      <c r="D161">
        <v>1963277</v>
      </c>
      <c r="E161" t="s">
        <v>107</v>
      </c>
      <c r="F161" t="s">
        <v>18</v>
      </c>
      <c r="G161" t="s">
        <v>168</v>
      </c>
      <c r="H161" t="s">
        <v>169</v>
      </c>
      <c r="I161" s="9" t="s">
        <v>713</v>
      </c>
      <c r="J161" s="9">
        <v>51154039607</v>
      </c>
      <c r="K161" s="14" t="s">
        <v>654</v>
      </c>
      <c r="L161" s="13" t="s">
        <v>1038</v>
      </c>
      <c r="M161" s="14">
        <v>1000</v>
      </c>
      <c r="N161" s="14">
        <v>35.869999999999997</v>
      </c>
      <c r="O161" s="10">
        <f t="shared" si="42"/>
        <v>35870</v>
      </c>
      <c r="P161" s="11">
        <v>0</v>
      </c>
      <c r="Q161" s="11">
        <v>0</v>
      </c>
      <c r="R161" s="10">
        <f>IF(COUNTIF($J$2:J161,J161)=1,SUMIFS($O:$O,$J:$J,J161)+SUMIFS($P:$P,$J:$J,J161)+SUMIFS($Q:$Q,$J:$J,J161),"")</f>
        <v>35870</v>
      </c>
      <c r="S161">
        <v>41180.9</v>
      </c>
      <c r="T161" s="11" t="str">
        <f>IFERROR(INDEX(AD:AD,MATCH(J161,J:J,0)),"")</f>
        <v>Check</v>
      </c>
      <c r="U161" s="12">
        <v>46070</v>
      </c>
      <c r="V161" s="10">
        <v>2752.2</v>
      </c>
      <c r="W161" s="10" t="str">
        <f t="shared" si="43"/>
        <v>Short Paid</v>
      </c>
      <c r="X161" t="s">
        <v>220</v>
      </c>
      <c r="Y161" t="s">
        <v>27</v>
      </c>
      <c r="Z161">
        <v>100159</v>
      </c>
      <c r="AA161" t="s">
        <v>232</v>
      </c>
      <c r="AB161" t="s">
        <v>251</v>
      </c>
      <c r="AC161" s="9">
        <f>COUNTIF(J:J,J161)</f>
        <v>1</v>
      </c>
      <c r="AD161" s="9" t="str">
        <f t="shared" si="44"/>
        <v>Check</v>
      </c>
      <c r="AE161" s="11">
        <f t="shared" si="46"/>
        <v>-5310.9000000000015</v>
      </c>
    </row>
    <row r="162" spans="1:31" x14ac:dyDescent="0.3">
      <c r="A162">
        <v>14</v>
      </c>
      <c r="B162">
        <v>4891754</v>
      </c>
      <c r="C162" t="s">
        <v>91</v>
      </c>
      <c r="D162">
        <v>1963277</v>
      </c>
      <c r="E162" t="s">
        <v>107</v>
      </c>
      <c r="F162" t="s">
        <v>18</v>
      </c>
      <c r="G162" t="s">
        <v>176</v>
      </c>
      <c r="H162" t="s">
        <v>177</v>
      </c>
      <c r="I162" s="9" t="s">
        <v>855</v>
      </c>
      <c r="J162" s="9">
        <v>51157989140</v>
      </c>
      <c r="K162" s="14" t="s">
        <v>654</v>
      </c>
      <c r="L162" s="13" t="s">
        <v>1057</v>
      </c>
      <c r="M162" s="14">
        <v>56</v>
      </c>
      <c r="N162" s="14">
        <v>122</v>
      </c>
      <c r="O162" s="10">
        <f t="shared" si="42"/>
        <v>6832</v>
      </c>
      <c r="P162" s="11">
        <v>0</v>
      </c>
      <c r="Q162" s="11">
        <v>0</v>
      </c>
      <c r="R162" s="10">
        <f>IF(COUNTIF($J$2:J162,J162)=1,SUMIFS($O:$O,$J:$J,J162)+SUMIFS($P:$P,$J:$J,J162)+SUMIFS($Q:$Q,$J:$J,J162),"")</f>
        <v>6832</v>
      </c>
      <c r="S162">
        <v>7407</v>
      </c>
      <c r="T162" s="11" t="str">
        <f>IFERROR(INDEX(AD:AD,MATCH(J162,J:J,0)),"")</f>
        <v>Check</v>
      </c>
      <c r="U162" s="12">
        <v>46080</v>
      </c>
      <c r="V162" s="10">
        <v>682.43</v>
      </c>
      <c r="W162" s="10" t="str">
        <f t="shared" si="43"/>
        <v>Short Paid</v>
      </c>
      <c r="X162" t="s">
        <v>220</v>
      </c>
      <c r="Y162" t="s">
        <v>27</v>
      </c>
      <c r="Z162">
        <v>100289</v>
      </c>
      <c r="AA162" t="s">
        <v>221</v>
      </c>
      <c r="AB162" t="s">
        <v>251</v>
      </c>
      <c r="AC162" s="9">
        <f>COUNTIF(J:J,J162)</f>
        <v>1</v>
      </c>
      <c r="AD162" s="9" t="str">
        <f t="shared" si="44"/>
        <v>Check</v>
      </c>
      <c r="AE162" s="11">
        <f t="shared" ref="AE162:AE166" si="47">R162-S162</f>
        <v>-575</v>
      </c>
    </row>
    <row r="163" spans="1:31" x14ac:dyDescent="0.3">
      <c r="A163">
        <v>14</v>
      </c>
      <c r="B163">
        <v>4891476</v>
      </c>
      <c r="C163" t="s">
        <v>91</v>
      </c>
      <c r="D163">
        <v>1963277</v>
      </c>
      <c r="E163" t="s">
        <v>107</v>
      </c>
      <c r="F163" t="s">
        <v>18</v>
      </c>
      <c r="G163" t="s">
        <v>180</v>
      </c>
      <c r="H163" t="s">
        <v>181</v>
      </c>
      <c r="I163" s="9" t="s">
        <v>771</v>
      </c>
      <c r="J163" s="9">
        <v>51159896711</v>
      </c>
      <c r="K163" s="14" t="s">
        <v>654</v>
      </c>
      <c r="L163" s="13" t="s">
        <v>1059</v>
      </c>
      <c r="M163" s="14">
        <v>2500</v>
      </c>
      <c r="N163" s="14">
        <v>0.72</v>
      </c>
      <c r="O163" s="10">
        <f t="shared" si="42"/>
        <v>1800</v>
      </c>
      <c r="P163" s="11">
        <v>0</v>
      </c>
      <c r="Q163" s="11">
        <v>0</v>
      </c>
      <c r="R163" s="10">
        <f>IF(COUNTIF($J$2:J163,J163)=1,SUMIFS($O:$O,$J:$J,J163)+SUMIFS($P:$P,$J:$J,J163)+SUMIFS($Q:$Q,$J:$J,J163),"")</f>
        <v>1800</v>
      </c>
      <c r="S163">
        <v>4108.66</v>
      </c>
      <c r="T163" s="11" t="str">
        <f>IFERROR(INDEX(AD:AD,MATCH(J163,J:J,0)),"")</f>
        <v>Check</v>
      </c>
      <c r="U163" s="12">
        <v>46078</v>
      </c>
      <c r="V163" s="10">
        <v>750</v>
      </c>
      <c r="W163" s="10" t="str">
        <f t="shared" si="43"/>
        <v>Short Paid</v>
      </c>
      <c r="X163" t="s">
        <v>220</v>
      </c>
      <c r="Y163" t="s">
        <v>27</v>
      </c>
      <c r="Z163">
        <v>100279</v>
      </c>
      <c r="AA163" t="s">
        <v>229</v>
      </c>
      <c r="AB163" t="s">
        <v>251</v>
      </c>
      <c r="AC163" s="9">
        <f>COUNTIF(J:J,J163)</f>
        <v>1</v>
      </c>
      <c r="AD163" s="9" t="str">
        <f t="shared" si="44"/>
        <v>Check</v>
      </c>
      <c r="AE163" s="11">
        <f t="shared" si="47"/>
        <v>-2308.66</v>
      </c>
    </row>
    <row r="164" spans="1:31" x14ac:dyDescent="0.3">
      <c r="A164">
        <v>14</v>
      </c>
      <c r="B164">
        <v>4888693</v>
      </c>
      <c r="C164" t="s">
        <v>91</v>
      </c>
      <c r="D164">
        <v>1884741</v>
      </c>
      <c r="E164" t="s">
        <v>194</v>
      </c>
      <c r="F164" t="s">
        <v>20</v>
      </c>
      <c r="G164" t="s">
        <v>195</v>
      </c>
      <c r="H164" t="s">
        <v>196</v>
      </c>
      <c r="I164" s="9" t="s">
        <v>810</v>
      </c>
      <c r="J164" s="9">
        <v>51156730291</v>
      </c>
      <c r="K164" s="14" t="s">
        <v>654</v>
      </c>
      <c r="L164" s="13" t="s">
        <v>1056</v>
      </c>
      <c r="M164" s="14">
        <v>325</v>
      </c>
      <c r="N164" s="14">
        <v>11.74</v>
      </c>
      <c r="O164" s="10">
        <f t="shared" si="42"/>
        <v>3815.5</v>
      </c>
      <c r="P164" s="11">
        <v>0</v>
      </c>
      <c r="Q164" s="11">
        <v>17.649999999999999</v>
      </c>
      <c r="R164" s="10">
        <f>IF(COUNTIF($J$2:J164,J164)=1,SUMIFS($O:$O,$J:$J,J164)+SUMIFS($P:$P,$J:$J,J164)+SUMIFS($Q:$Q,$J:$J,J164),"")</f>
        <v>3833.15</v>
      </c>
      <c r="S164">
        <v>3833.15</v>
      </c>
      <c r="T164" s="11" t="str">
        <f>IFERROR(INDEX(AD:AD,MATCH(J164,J:J,0)),"")</f>
        <v>Ok</v>
      </c>
      <c r="U164" s="12">
        <v>46154</v>
      </c>
      <c r="V164" s="10">
        <v>3833.15</v>
      </c>
      <c r="W164" s="10" t="str">
        <f t="shared" si="43"/>
        <v>Not Paid</v>
      </c>
      <c r="X164" t="s">
        <v>215</v>
      </c>
      <c r="Y164" t="s">
        <v>27</v>
      </c>
      <c r="Z164">
        <v>100276</v>
      </c>
      <c r="AA164" t="s">
        <v>216</v>
      </c>
      <c r="AB164" t="s">
        <v>249</v>
      </c>
      <c r="AC164" s="9">
        <f>COUNTIF(J:J,J164)</f>
        <v>1</v>
      </c>
      <c r="AD164" s="9" t="str">
        <f t="shared" si="44"/>
        <v>Ok</v>
      </c>
      <c r="AE164" s="11">
        <f t="shared" si="47"/>
        <v>0</v>
      </c>
    </row>
    <row r="165" spans="1:31" x14ac:dyDescent="0.3">
      <c r="A165">
        <v>10</v>
      </c>
      <c r="B165">
        <v>4901494</v>
      </c>
      <c r="C165" t="s">
        <v>91</v>
      </c>
      <c r="D165">
        <v>1648570</v>
      </c>
      <c r="E165" t="s">
        <v>99</v>
      </c>
      <c r="F165" t="s">
        <v>18</v>
      </c>
      <c r="G165" t="s">
        <v>178</v>
      </c>
      <c r="H165" t="s">
        <v>179</v>
      </c>
      <c r="I165" s="9" t="s">
        <v>827</v>
      </c>
      <c r="J165" s="9">
        <v>51153930565</v>
      </c>
      <c r="K165" s="14" t="s">
        <v>654</v>
      </c>
      <c r="L165" s="13" t="s">
        <v>1054</v>
      </c>
      <c r="M165" s="14">
        <v>54</v>
      </c>
      <c r="N165" s="14">
        <v>197.80000000000004</v>
      </c>
      <c r="O165" s="10">
        <f t="shared" ref="O165:O171" si="48">M165*N165</f>
        <v>10681.200000000003</v>
      </c>
      <c r="P165" s="11">
        <v>0</v>
      </c>
      <c r="Q165" s="11">
        <v>0</v>
      </c>
      <c r="R165" s="10">
        <f>IF(COUNTIF($J$2:J165,J165)=1,SUMIFS($O:$O,$J:$J,J165)+SUMIFS($P:$P,$J:$J,J165)+SUMIFS($Q:$Q,$J:$J,J165),"")</f>
        <v>10681.200000000003</v>
      </c>
      <c r="S165">
        <v>130874</v>
      </c>
      <c r="T165" s="11" t="str">
        <f>IFERROR(INDEX(AD:AD,MATCH(J165,J:J,0)),"")</f>
        <v>Check</v>
      </c>
      <c r="U165" s="12">
        <v>46079</v>
      </c>
      <c r="V165" s="10">
        <v>1236.5999999999999</v>
      </c>
      <c r="W165" s="10" t="str">
        <f t="shared" ref="W165:W171" si="49">IF(OR(S165="",V165=""),"N/A",IF(S165&lt;&gt;V165,"Short Paid","Not Paid"))</f>
        <v>Short Paid</v>
      </c>
      <c r="X165" t="s">
        <v>207</v>
      </c>
      <c r="Y165" t="s">
        <v>27</v>
      </c>
      <c r="Z165">
        <v>100194</v>
      </c>
      <c r="AA165" t="s">
        <v>231</v>
      </c>
      <c r="AB165" t="s">
        <v>251</v>
      </c>
      <c r="AC165" s="9">
        <f>COUNTIF(J:J,J165)</f>
        <v>1</v>
      </c>
      <c r="AD165" s="9" t="str">
        <f t="shared" ref="AD165:AD171" si="50">IF(AND(R165="",S165=""),"N/A",IF(R165=S165,"Ok","Check"))</f>
        <v>Check</v>
      </c>
      <c r="AE165" s="11">
        <f t="shared" si="47"/>
        <v>-120192.8</v>
      </c>
    </row>
    <row r="166" spans="1:31" x14ac:dyDescent="0.3">
      <c r="A166">
        <v>10</v>
      </c>
      <c r="B166">
        <v>4900660</v>
      </c>
      <c r="C166" t="s">
        <v>91</v>
      </c>
      <c r="D166">
        <v>1648570</v>
      </c>
      <c r="E166" t="s">
        <v>99</v>
      </c>
      <c r="F166" t="s">
        <v>20</v>
      </c>
      <c r="G166" t="s">
        <v>192</v>
      </c>
      <c r="H166" t="s">
        <v>193</v>
      </c>
      <c r="I166" s="9" t="s">
        <v>653</v>
      </c>
      <c r="J166" s="9">
        <v>51150622248</v>
      </c>
      <c r="K166" s="14" t="s">
        <v>654</v>
      </c>
      <c r="L166" s="13" t="s">
        <v>1053</v>
      </c>
      <c r="M166" s="14">
        <v>247</v>
      </c>
      <c r="N166" s="14">
        <v>17.05</v>
      </c>
      <c r="O166" s="10">
        <f t="shared" si="48"/>
        <v>4211.3500000000004</v>
      </c>
      <c r="P166" s="11">
        <v>0</v>
      </c>
      <c r="Q166" s="11">
        <v>0</v>
      </c>
      <c r="R166" s="10">
        <f>IF(COUNTIF($J$2:J166,J166)=1,SUMIFS($O:$O,$J:$J,J166)+SUMIFS($P:$P,$J:$J,J166)+SUMIFS($Q:$Q,$J:$J,J166),"")</f>
        <v>4211.3500000000004</v>
      </c>
      <c r="S166">
        <v>4811.3500000000004</v>
      </c>
      <c r="T166" s="11" t="str">
        <f>IFERROR(INDEX(AD:AD,MATCH(J166,J:J,0)),"")</f>
        <v>Check</v>
      </c>
      <c r="U166" s="12">
        <v>46135</v>
      </c>
      <c r="V166" s="10">
        <v>801.35</v>
      </c>
      <c r="W166" s="10" t="str">
        <f t="shared" si="49"/>
        <v>Short Paid</v>
      </c>
      <c r="X166" t="s">
        <v>207</v>
      </c>
      <c r="Y166" t="s">
        <v>27</v>
      </c>
      <c r="Z166">
        <v>100124</v>
      </c>
      <c r="AA166" t="s">
        <v>230</v>
      </c>
      <c r="AB166" t="s">
        <v>249</v>
      </c>
      <c r="AC166" s="9">
        <f>COUNTIF(J:J,J166)</f>
        <v>1</v>
      </c>
      <c r="AD166" s="9" t="str">
        <f t="shared" si="50"/>
        <v>Check</v>
      </c>
      <c r="AE166" s="11">
        <f t="shared" si="47"/>
        <v>-600</v>
      </c>
    </row>
    <row r="167" spans="1:31" x14ac:dyDescent="0.3">
      <c r="A167">
        <v>7</v>
      </c>
      <c r="B167">
        <v>4890920</v>
      </c>
      <c r="C167" t="s">
        <v>91</v>
      </c>
      <c r="D167">
        <v>1507694</v>
      </c>
      <c r="E167" t="s">
        <v>165</v>
      </c>
      <c r="F167" t="s">
        <v>24</v>
      </c>
      <c r="G167" t="s">
        <v>591</v>
      </c>
      <c r="H167" t="s">
        <v>592</v>
      </c>
      <c r="I167" s="9" t="s">
        <v>675</v>
      </c>
      <c r="J167" s="9">
        <v>51156848093</v>
      </c>
      <c r="K167" s="14" t="s">
        <v>863</v>
      </c>
      <c r="L167" s="13" t="s">
        <v>862</v>
      </c>
      <c r="M167" s="14">
        <v>1500</v>
      </c>
      <c r="N167" s="14">
        <v>9.76</v>
      </c>
      <c r="O167" s="10">
        <f t="shared" si="48"/>
        <v>14640</v>
      </c>
      <c r="P167" s="11">
        <v>0</v>
      </c>
      <c r="Q167" s="11">
        <v>0</v>
      </c>
      <c r="R167" s="10">
        <f>IF(COUNTIF($J$2:J167,J167)=1,SUMIFS($O:$O,$J:$J,J167)+SUMIFS($P:$P,$J:$J,J167)+SUMIFS($Q:$Q,$J:$J,J167),"")</f>
        <v>14640</v>
      </c>
      <c r="S167" s="10">
        <v>14640</v>
      </c>
      <c r="T167" s="11" t="str">
        <f>IFERROR(INDEX(AD:AD,MATCH(J167,J:J,0)),"")</f>
        <v>Ok</v>
      </c>
      <c r="U167" s="12">
        <v>46169</v>
      </c>
      <c r="V167" s="10">
        <v>6030</v>
      </c>
      <c r="W167" s="10" t="str">
        <f t="shared" si="49"/>
        <v>Short Paid</v>
      </c>
      <c r="X167" t="s">
        <v>200</v>
      </c>
      <c r="Y167" t="s">
        <v>37</v>
      </c>
      <c r="Z167">
        <v>100263</v>
      </c>
      <c r="AA167" t="s">
        <v>652</v>
      </c>
      <c r="AB167" t="s">
        <v>250</v>
      </c>
      <c r="AC167" s="9">
        <f>COUNTIF(J:J,J167)</f>
        <v>1</v>
      </c>
      <c r="AD167" s="9" t="str">
        <f t="shared" si="50"/>
        <v>Ok</v>
      </c>
      <c r="AE167" s="11">
        <f t="shared" ref="AE167:AE168" si="51">R167-S167</f>
        <v>0</v>
      </c>
    </row>
    <row r="168" spans="1:31" x14ac:dyDescent="0.3">
      <c r="A168">
        <v>7</v>
      </c>
      <c r="B168">
        <v>4892033</v>
      </c>
      <c r="C168" t="s">
        <v>91</v>
      </c>
      <c r="D168">
        <v>1469829</v>
      </c>
      <c r="E168" t="s">
        <v>101</v>
      </c>
      <c r="F168" t="s">
        <v>24</v>
      </c>
      <c r="G168" t="s">
        <v>87</v>
      </c>
      <c r="H168" t="s">
        <v>88</v>
      </c>
      <c r="I168" s="9" t="s">
        <v>771</v>
      </c>
      <c r="J168" s="9">
        <v>51156611329</v>
      </c>
      <c r="K168" s="14" t="s">
        <v>654</v>
      </c>
      <c r="L168" s="13" t="s">
        <v>1055</v>
      </c>
      <c r="M168" s="14">
        <v>2000</v>
      </c>
      <c r="N168" s="14">
        <v>0.99</v>
      </c>
      <c r="O168" s="10">
        <f t="shared" si="48"/>
        <v>1980</v>
      </c>
      <c r="P168" s="11">
        <v>0</v>
      </c>
      <c r="Q168" s="11">
        <v>312.47000000000003</v>
      </c>
      <c r="R168" s="10">
        <f>IF(COUNTIF($J$2:J168,J168)=1,SUMIFS($O:$O,$J:$J,J168)+SUMIFS($P:$P,$J:$J,J168)+SUMIFS($Q:$Q,$J:$J,J168),"")</f>
        <v>2292.4700000000003</v>
      </c>
      <c r="S168">
        <v>2715.87</v>
      </c>
      <c r="T168" s="11" t="str">
        <f>IFERROR(INDEX(AD:AD,MATCH(J168,J:J,0)),"")</f>
        <v>Check</v>
      </c>
      <c r="U168" s="12">
        <v>46106</v>
      </c>
      <c r="V168" s="10">
        <v>492.27</v>
      </c>
      <c r="W168" s="10" t="str">
        <f t="shared" si="49"/>
        <v>Short Paid</v>
      </c>
      <c r="X168" t="s">
        <v>217</v>
      </c>
      <c r="Y168" t="s">
        <v>37</v>
      </c>
      <c r="Z168">
        <v>100148</v>
      </c>
      <c r="AA168" t="s">
        <v>635</v>
      </c>
      <c r="AB168" t="s">
        <v>250</v>
      </c>
      <c r="AC168" s="9">
        <f>COUNTIF(J:J,J168)</f>
        <v>1</v>
      </c>
      <c r="AD168" s="9" t="str">
        <f t="shared" si="50"/>
        <v>Check</v>
      </c>
      <c r="AE168" s="11">
        <f t="shared" si="51"/>
        <v>-423.39999999999964</v>
      </c>
    </row>
    <row r="169" spans="1:31" x14ac:dyDescent="0.3">
      <c r="A169">
        <v>7</v>
      </c>
      <c r="B169">
        <v>4930158</v>
      </c>
      <c r="C169" t="s">
        <v>91</v>
      </c>
      <c r="D169">
        <v>1470631</v>
      </c>
      <c r="E169" t="s">
        <v>100</v>
      </c>
      <c r="F169" t="s">
        <v>18</v>
      </c>
      <c r="G169" t="s">
        <v>182</v>
      </c>
      <c r="H169" t="s">
        <v>183</v>
      </c>
      <c r="I169" s="9" t="s">
        <v>749</v>
      </c>
      <c r="J169" s="9">
        <v>50117555282</v>
      </c>
      <c r="K169" s="14" t="s">
        <v>654</v>
      </c>
      <c r="L169" s="13" t="s">
        <v>1026</v>
      </c>
      <c r="M169" s="14">
        <v>270</v>
      </c>
      <c r="N169" s="14">
        <v>21.2</v>
      </c>
      <c r="O169" s="10">
        <f t="shared" si="48"/>
        <v>5724</v>
      </c>
      <c r="P169" s="11">
        <v>0</v>
      </c>
      <c r="Q169" s="11">
        <v>0</v>
      </c>
      <c r="R169" s="10">
        <f>IF(COUNTIF($J$2:J169,J169)=1,SUMIFS($O:$O,$J:$J,J169)+SUMIFS($P:$P,$J:$J,J169)+SUMIFS($Q:$Q,$J:$J,J169),"")</f>
        <v>5724</v>
      </c>
      <c r="S169">
        <v>5978.6</v>
      </c>
      <c r="T169" s="11" t="str">
        <f>IFERROR(INDEX(AD:AD,MATCH(J169,J:J,0)),"")</f>
        <v>Check</v>
      </c>
      <c r="U169" s="12">
        <v>46092</v>
      </c>
      <c r="V169" s="10">
        <v>558.9</v>
      </c>
      <c r="W169" s="10" t="str">
        <f t="shared" si="49"/>
        <v>Short Paid</v>
      </c>
      <c r="X169" t="s">
        <v>204</v>
      </c>
      <c r="Y169" t="s">
        <v>27</v>
      </c>
      <c r="Z169">
        <v>100247</v>
      </c>
      <c r="AA169" t="s">
        <v>206</v>
      </c>
      <c r="AB169" t="s">
        <v>251</v>
      </c>
      <c r="AC169" s="9">
        <f>COUNTIF(J:J,J169)</f>
        <v>1</v>
      </c>
      <c r="AD169" s="9" t="str">
        <f t="shared" si="50"/>
        <v>Check</v>
      </c>
      <c r="AE169" s="11">
        <f t="shared" ref="AE169" si="52">R169-S169</f>
        <v>-254.60000000000036</v>
      </c>
    </row>
    <row r="170" spans="1:31" x14ac:dyDescent="0.3">
      <c r="A170">
        <v>2</v>
      </c>
      <c r="B170">
        <v>4961326</v>
      </c>
      <c r="C170" t="s">
        <v>91</v>
      </c>
      <c r="D170">
        <v>1262308</v>
      </c>
      <c r="E170" t="s">
        <v>268</v>
      </c>
      <c r="F170" t="s">
        <v>24</v>
      </c>
      <c r="G170" t="s">
        <v>114</v>
      </c>
      <c r="H170" t="s">
        <v>115</v>
      </c>
      <c r="I170" s="9" t="s">
        <v>825</v>
      </c>
      <c r="J170" s="9">
        <v>51162145640</v>
      </c>
      <c r="K170" s="14" t="s">
        <v>654</v>
      </c>
      <c r="L170" s="13" t="s">
        <v>1061</v>
      </c>
      <c r="M170" s="14">
        <v>2898</v>
      </c>
      <c r="N170" s="14">
        <v>4.0599999999999996</v>
      </c>
      <c r="O170" s="10">
        <f t="shared" si="48"/>
        <v>11765.88</v>
      </c>
      <c r="P170" s="11">
        <v>0</v>
      </c>
      <c r="Q170" s="11">
        <v>338.15</v>
      </c>
      <c r="R170" s="10">
        <f>IF(COUNTIF($J$2:J170,J170)=1,SUMIFS($O:$O,$J:$J,J170)+SUMIFS($P:$P,$J:$J,J170)+SUMIFS($Q:$Q,$J:$J,J170),"")</f>
        <v>12104.029999999999</v>
      </c>
      <c r="S170">
        <v>15663.529999999999</v>
      </c>
      <c r="T170" s="11" t="str">
        <f>IFERROR(INDEX(AD:AD,MATCH(J170,J:J,0)),"")</f>
        <v>Check</v>
      </c>
      <c r="U170" s="12">
        <v>46143</v>
      </c>
      <c r="V170" s="10">
        <v>3559.5</v>
      </c>
      <c r="W170" s="10" t="str">
        <f t="shared" si="49"/>
        <v>Short Paid</v>
      </c>
      <c r="X170" t="s">
        <v>207</v>
      </c>
      <c r="Y170" t="s">
        <v>37</v>
      </c>
      <c r="Z170">
        <v>100104</v>
      </c>
      <c r="AA170" t="s">
        <v>624</v>
      </c>
      <c r="AB170" t="s">
        <v>250</v>
      </c>
      <c r="AC170" s="9">
        <f>COUNTIF(J:J,J170)</f>
        <v>1</v>
      </c>
      <c r="AD170" s="9" t="str">
        <f t="shared" si="50"/>
        <v>Check</v>
      </c>
      <c r="AE170" s="11">
        <f t="shared" ref="AE170" si="53">R170-S170</f>
        <v>-3559.5</v>
      </c>
    </row>
    <row r="171" spans="1:31" x14ac:dyDescent="0.3">
      <c r="A171">
        <v>0</v>
      </c>
      <c r="B171">
        <v>4926262</v>
      </c>
      <c r="C171" t="s">
        <v>91</v>
      </c>
      <c r="D171">
        <v>1135370</v>
      </c>
      <c r="E171" t="s">
        <v>293</v>
      </c>
      <c r="F171" t="s">
        <v>22</v>
      </c>
      <c r="G171" t="s">
        <v>105</v>
      </c>
      <c r="H171" t="s">
        <v>106</v>
      </c>
      <c r="I171" s="9" t="s">
        <v>807</v>
      </c>
      <c r="J171" s="9">
        <v>51159735446</v>
      </c>
      <c r="K171" s="14" t="s">
        <v>654</v>
      </c>
      <c r="L171" s="13" t="s">
        <v>1058</v>
      </c>
      <c r="M171" s="14">
        <v>200</v>
      </c>
      <c r="N171" s="14">
        <v>81.93</v>
      </c>
      <c r="O171" s="10">
        <f t="shared" si="48"/>
        <v>16386</v>
      </c>
      <c r="P171" s="11">
        <v>0</v>
      </c>
      <c r="Q171" s="11">
        <v>34.14</v>
      </c>
      <c r="R171" s="10">
        <f>IF(COUNTIF($J$2:J171,J171)=1,SUMIFS($O:$O,$J:$J,J171)+SUMIFS($P:$P,$J:$J,J171)+SUMIFS($Q:$Q,$J:$J,J171),"")</f>
        <v>16420.14</v>
      </c>
      <c r="S171">
        <v>25382.190000000002</v>
      </c>
      <c r="T171" s="11" t="str">
        <f>IFERROR(INDEX(AD:AD,MATCH(J171,J:J,0)),"")</f>
        <v>Check</v>
      </c>
      <c r="U171" s="12">
        <v>46122</v>
      </c>
      <c r="V171" s="10">
        <v>393.54</v>
      </c>
      <c r="W171" s="10" t="str">
        <f t="shared" si="49"/>
        <v>Short Paid</v>
      </c>
      <c r="X171" t="s">
        <v>207</v>
      </c>
      <c r="Y171" t="s">
        <v>27</v>
      </c>
      <c r="Z171">
        <v>100164</v>
      </c>
      <c r="AA171" t="s">
        <v>234</v>
      </c>
      <c r="AB171" t="s">
        <v>601</v>
      </c>
      <c r="AC171" s="9">
        <f>COUNTIF(J:J,J171)</f>
        <v>1</v>
      </c>
      <c r="AD171" s="9" t="str">
        <f t="shared" si="50"/>
        <v>Check</v>
      </c>
      <c r="AE171" s="11">
        <f t="shared" ref="AE171:AE174" si="54">R171-S171</f>
        <v>-8962.0500000000029</v>
      </c>
    </row>
    <row r="172" spans="1:31" x14ac:dyDescent="0.3">
      <c r="A172">
        <v>0</v>
      </c>
      <c r="B172">
        <v>4982197</v>
      </c>
      <c r="C172" t="s">
        <v>91</v>
      </c>
      <c r="D172">
        <v>1422097</v>
      </c>
      <c r="E172" t="s">
        <v>184</v>
      </c>
      <c r="F172" t="s">
        <v>18</v>
      </c>
      <c r="G172" t="s">
        <v>598</v>
      </c>
      <c r="H172" t="s">
        <v>599</v>
      </c>
      <c r="I172" s="9" t="s">
        <v>840</v>
      </c>
      <c r="J172" s="9">
        <v>51161336085</v>
      </c>
      <c r="K172" s="14" t="s">
        <v>888</v>
      </c>
      <c r="L172" s="13" t="s">
        <v>892</v>
      </c>
      <c r="M172" s="14">
        <v>190</v>
      </c>
      <c r="N172" s="14">
        <v>15.26</v>
      </c>
      <c r="O172" s="10">
        <f t="shared" ref="O172:O187" si="55">M172*N172</f>
        <v>2899.4</v>
      </c>
      <c r="P172" s="11">
        <v>0</v>
      </c>
      <c r="Q172" s="11">
        <v>0</v>
      </c>
      <c r="R172" s="10">
        <f>IF(COUNTIF($J$2:J172,J172)=1,SUMIFS($O:$O,$J:$J,J172)+SUMIFS($P:$P,$J:$J,J172)+SUMIFS($Q:$Q,$J:$J,J172),"")</f>
        <v>2899.4</v>
      </c>
      <c r="S172" s="10">
        <v>2899.4</v>
      </c>
      <c r="T172" s="11" t="str">
        <f>IFERROR(INDEX(AD:AD,MATCH(J172,J:J,0)),"")</f>
        <v>Ok</v>
      </c>
      <c r="U172" s="12">
        <v>46150</v>
      </c>
      <c r="V172" s="10">
        <v>513</v>
      </c>
      <c r="W172" s="10" t="str">
        <f t="shared" ref="W172:W187" si="56">IF(OR(S172="",V172=""),"N/A",IF(S172&lt;&gt;V172,"Short Paid","Not Paid"))</f>
        <v>Short Paid</v>
      </c>
      <c r="X172" t="s">
        <v>207</v>
      </c>
      <c r="Y172" t="s">
        <v>27</v>
      </c>
      <c r="Z172">
        <v>100194</v>
      </c>
      <c r="AA172" t="s">
        <v>231</v>
      </c>
      <c r="AB172" t="s">
        <v>251</v>
      </c>
      <c r="AC172" s="9">
        <f>COUNTIF(J:J,J172)</f>
        <v>1</v>
      </c>
      <c r="AD172" s="9" t="str">
        <f t="shared" ref="AD172:AD187" si="57">IF(AND(R172="",S172=""),"N/A",IF(R172=S172,"Ok","Check"))</f>
        <v>Ok</v>
      </c>
      <c r="AE172" s="11">
        <f t="shared" si="54"/>
        <v>0</v>
      </c>
    </row>
    <row r="173" spans="1:31" x14ac:dyDescent="0.3">
      <c r="A173">
        <v>6</v>
      </c>
      <c r="B173">
        <v>4933775</v>
      </c>
      <c r="C173" t="s">
        <v>91</v>
      </c>
      <c r="D173">
        <v>1648570</v>
      </c>
      <c r="E173" t="s">
        <v>99</v>
      </c>
      <c r="F173" t="s">
        <v>18</v>
      </c>
      <c r="G173" t="s">
        <v>102</v>
      </c>
      <c r="H173" t="s">
        <v>103</v>
      </c>
      <c r="I173" s="9" t="s">
        <v>770</v>
      </c>
      <c r="J173" s="9">
        <v>51156356529</v>
      </c>
      <c r="K173" s="14" t="s">
        <v>654</v>
      </c>
      <c r="L173" s="13" t="s">
        <v>1033</v>
      </c>
      <c r="M173" s="14">
        <v>6462</v>
      </c>
      <c r="N173" s="14">
        <v>2.7822399999999998</v>
      </c>
      <c r="O173" s="10">
        <f t="shared" si="55"/>
        <v>17978.834879999999</v>
      </c>
      <c r="P173" s="11">
        <v>0</v>
      </c>
      <c r="Q173" s="11">
        <v>0</v>
      </c>
      <c r="R173" s="10">
        <f>IF(COUNTIF($J$2:J173,J173)=1,SUMIFS($O:$O,$J:$J,J173)+SUMIFS($P:$P,$J:$J,J173)+SUMIFS($Q:$Q,$J:$J,J173),"")</f>
        <v>17978.834879999999</v>
      </c>
      <c r="S173">
        <v>20962.72</v>
      </c>
      <c r="T173" s="11" t="str">
        <f>IFERROR(INDEX(AD:AD,MATCH(J173,J:J,0)),"")</f>
        <v>Check</v>
      </c>
      <c r="U173" s="12">
        <v>46108</v>
      </c>
      <c r="V173" s="10">
        <v>381.78</v>
      </c>
      <c r="W173" s="10" t="str">
        <f t="shared" si="56"/>
        <v>Short Paid</v>
      </c>
      <c r="X173" t="s">
        <v>207</v>
      </c>
      <c r="Y173" t="s">
        <v>27</v>
      </c>
      <c r="Z173">
        <v>100114</v>
      </c>
      <c r="AA173" t="s">
        <v>238</v>
      </c>
      <c r="AB173" t="s">
        <v>251</v>
      </c>
      <c r="AC173" s="9">
        <f>COUNTIF(J:J,J173)</f>
        <v>1</v>
      </c>
      <c r="AD173" s="9" t="str">
        <f t="shared" si="57"/>
        <v>Check</v>
      </c>
      <c r="AE173" s="11">
        <f t="shared" si="54"/>
        <v>-2983.8851200000026</v>
      </c>
    </row>
    <row r="174" spans="1:31" x14ac:dyDescent="0.3">
      <c r="A174">
        <v>2</v>
      </c>
      <c r="B174">
        <v>4961882</v>
      </c>
      <c r="C174" t="s">
        <v>91</v>
      </c>
      <c r="D174">
        <v>1648570</v>
      </c>
      <c r="E174" t="s">
        <v>99</v>
      </c>
      <c r="F174" t="s">
        <v>18</v>
      </c>
      <c r="G174" t="s">
        <v>111</v>
      </c>
      <c r="H174" t="s">
        <v>112</v>
      </c>
      <c r="I174" s="9" t="s">
        <v>760</v>
      </c>
      <c r="J174" s="9">
        <v>51162069918</v>
      </c>
      <c r="K174" s="14" t="s">
        <v>654</v>
      </c>
      <c r="L174" s="13" t="s">
        <v>1060</v>
      </c>
      <c r="M174" s="14">
        <v>1587</v>
      </c>
      <c r="N174" s="14">
        <v>0.8</v>
      </c>
      <c r="O174" s="10">
        <f t="shared" si="55"/>
        <v>1269.6000000000001</v>
      </c>
      <c r="P174" s="11">
        <v>0</v>
      </c>
      <c r="Q174" s="11">
        <v>0</v>
      </c>
      <c r="R174" s="10">
        <f>IF(COUNTIF($J$2:J174,J174)=1,SUMIFS($O:$O,$J:$J,J174)+SUMIFS($P:$P,$J:$J,J174)+SUMIFS($Q:$Q,$J:$J,J174),"")</f>
        <v>1269.6000000000001</v>
      </c>
      <c r="S174">
        <v>4821.8500000000004</v>
      </c>
      <c r="T174" s="11" t="str">
        <f>IFERROR(INDEX(AD:AD,MATCH(J174,J:J,0)),"")</f>
        <v>Check</v>
      </c>
      <c r="U174" s="12">
        <v>46140</v>
      </c>
      <c r="V174" s="10">
        <v>454.5</v>
      </c>
      <c r="W174" s="10" t="str">
        <f t="shared" si="56"/>
        <v>Short Paid</v>
      </c>
      <c r="X174" t="s">
        <v>207</v>
      </c>
      <c r="Y174" t="s">
        <v>27</v>
      </c>
      <c r="Z174">
        <v>100124</v>
      </c>
      <c r="AA174" t="s">
        <v>230</v>
      </c>
      <c r="AB174" t="s">
        <v>251</v>
      </c>
      <c r="AC174" s="9">
        <f>COUNTIF(J:J,J174)</f>
        <v>1</v>
      </c>
      <c r="AD174" s="9" t="str">
        <f t="shared" si="57"/>
        <v>Check</v>
      </c>
      <c r="AE174" s="11">
        <f t="shared" si="54"/>
        <v>-3552.25</v>
      </c>
    </row>
    <row r="175" spans="1:31" x14ac:dyDescent="0.3">
      <c r="A175">
        <v>7</v>
      </c>
      <c r="B175">
        <v>4925983</v>
      </c>
      <c r="C175" t="s">
        <v>91</v>
      </c>
      <c r="D175">
        <v>1166379</v>
      </c>
      <c r="E175" t="s">
        <v>294</v>
      </c>
      <c r="F175" t="s">
        <v>20</v>
      </c>
      <c r="G175" t="s">
        <v>600</v>
      </c>
      <c r="H175" t="s">
        <v>108</v>
      </c>
      <c r="I175" s="9" t="s">
        <v>672</v>
      </c>
      <c r="J175" s="9">
        <v>51156911757</v>
      </c>
      <c r="K175" s="14" t="s">
        <v>654</v>
      </c>
      <c r="L175" s="13" t="s">
        <v>1035</v>
      </c>
      <c r="M175" s="14">
        <v>940</v>
      </c>
      <c r="N175" s="14">
        <v>0.5</v>
      </c>
      <c r="O175" s="10">
        <f t="shared" si="55"/>
        <v>470</v>
      </c>
      <c r="P175" s="11">
        <v>0</v>
      </c>
      <c r="Q175" s="11">
        <v>0</v>
      </c>
      <c r="R175" s="10">
        <f>IF(COUNTIF($J$2:J175,J175)=1,SUMIFS($O:$O,$J:$J,J175)+SUMIFS($P:$P,$J:$J,J175)+SUMIFS($Q:$Q,$J:$J,J175),"")</f>
        <v>470</v>
      </c>
      <c r="S175">
        <v>1948</v>
      </c>
      <c r="T175" s="11" t="str">
        <f>IFERROR(INDEX(AD:AD,MATCH(J175,J:J,0)),"")</f>
        <v>Check</v>
      </c>
      <c r="U175" s="12">
        <v>46136</v>
      </c>
      <c r="V175" s="10">
        <v>1478</v>
      </c>
      <c r="W175" s="10" t="str">
        <f t="shared" si="56"/>
        <v>Short Paid</v>
      </c>
      <c r="X175" t="s">
        <v>200</v>
      </c>
      <c r="Y175" t="s">
        <v>27</v>
      </c>
      <c r="Z175">
        <v>100153</v>
      </c>
      <c r="AA175" t="s">
        <v>201</v>
      </c>
      <c r="AB175" t="s">
        <v>249</v>
      </c>
      <c r="AC175" s="9">
        <f>COUNTIF(J:J,J175)</f>
        <v>1</v>
      </c>
      <c r="AD175" s="9" t="str">
        <f t="shared" si="57"/>
        <v>Check</v>
      </c>
      <c r="AE175" s="11">
        <f t="shared" ref="AE175:AE187" si="58">R175-S175</f>
        <v>-1478</v>
      </c>
    </row>
    <row r="176" spans="1:31" x14ac:dyDescent="0.3">
      <c r="A176">
        <v>6</v>
      </c>
      <c r="B176">
        <v>4935723</v>
      </c>
      <c r="C176" t="s">
        <v>91</v>
      </c>
      <c r="D176">
        <v>1640970</v>
      </c>
      <c r="E176" t="s">
        <v>295</v>
      </c>
      <c r="F176" t="s">
        <v>24</v>
      </c>
      <c r="G176" t="s">
        <v>109</v>
      </c>
      <c r="H176" t="s">
        <v>110</v>
      </c>
      <c r="I176" s="9" t="s">
        <v>749</v>
      </c>
      <c r="J176" s="9">
        <v>51156241432</v>
      </c>
      <c r="K176" s="14" t="s">
        <v>654</v>
      </c>
      <c r="L176" s="13" t="s">
        <v>1035</v>
      </c>
      <c r="M176" s="14">
        <v>800</v>
      </c>
      <c r="N176" s="14">
        <v>0.5</v>
      </c>
      <c r="O176" s="10">
        <f t="shared" si="55"/>
        <v>400</v>
      </c>
      <c r="P176" s="11">
        <v>0</v>
      </c>
      <c r="Q176" s="11">
        <v>163.74</v>
      </c>
      <c r="R176" s="10">
        <f>IF(COUNTIF($J$2:J176,J176)=1,SUMIFS($O:$O,$J:$J,J176)+SUMIFS($P:$P,$J:$J,J176)+SUMIFS($Q:$Q,$J:$J,J176),"")</f>
        <v>563.74</v>
      </c>
      <c r="S176">
        <v>1270.2</v>
      </c>
      <c r="T176" s="11" t="str">
        <f>IFERROR(INDEX(AD:AD,MATCH(J176,J:J,0)),"")</f>
        <v>Check</v>
      </c>
      <c r="U176" s="12">
        <v>46160</v>
      </c>
      <c r="V176" s="10">
        <v>600</v>
      </c>
      <c r="W176" s="10" t="str">
        <f t="shared" si="56"/>
        <v>Short Paid</v>
      </c>
      <c r="X176" t="s">
        <v>204</v>
      </c>
      <c r="Y176" t="s">
        <v>37</v>
      </c>
      <c r="Z176">
        <v>100227</v>
      </c>
      <c r="AA176" t="s">
        <v>650</v>
      </c>
      <c r="AB176" t="s">
        <v>250</v>
      </c>
      <c r="AC176" s="9">
        <f>COUNTIF(J:J,J176)</f>
        <v>1</v>
      </c>
      <c r="AD176" s="9" t="str">
        <f t="shared" si="57"/>
        <v>Check</v>
      </c>
      <c r="AE176" s="11">
        <f t="shared" si="58"/>
        <v>-706.46</v>
      </c>
    </row>
    <row r="177" spans="1:31" x14ac:dyDescent="0.3">
      <c r="A177">
        <v>93</v>
      </c>
      <c r="B177">
        <v>4564213</v>
      </c>
      <c r="C177" t="s">
        <v>91</v>
      </c>
      <c r="D177">
        <v>1262308</v>
      </c>
      <c r="E177" t="s">
        <v>268</v>
      </c>
      <c r="F177" t="s">
        <v>20</v>
      </c>
      <c r="G177" t="s">
        <v>50</v>
      </c>
      <c r="H177" t="s">
        <v>51</v>
      </c>
      <c r="I177" t="s">
        <v>771</v>
      </c>
      <c r="J177">
        <v>51108086197</v>
      </c>
      <c r="K177" t="s">
        <v>654</v>
      </c>
      <c r="L177" t="s">
        <v>1027</v>
      </c>
      <c r="M177">
        <v>4000</v>
      </c>
      <c r="N177">
        <v>0.4</v>
      </c>
      <c r="O177" s="10">
        <f t="shared" si="55"/>
        <v>1600</v>
      </c>
      <c r="P177">
        <v>0</v>
      </c>
      <c r="Q177">
        <v>0</v>
      </c>
      <c r="R177">
        <v>2797</v>
      </c>
      <c r="S177">
        <v>2799.6</v>
      </c>
      <c r="T177" s="11" t="str">
        <f>IFERROR(INDEX(AD:AD,MATCH(J177,J:J,0)),"")</f>
        <v>Check</v>
      </c>
      <c r="U177" s="12">
        <v>46098</v>
      </c>
      <c r="V177" s="10">
        <v>197.75</v>
      </c>
      <c r="W177" s="10" t="str">
        <f t="shared" si="56"/>
        <v>Short Paid</v>
      </c>
      <c r="X177" t="s">
        <v>207</v>
      </c>
      <c r="Y177" t="s">
        <v>27</v>
      </c>
      <c r="Z177">
        <v>100154</v>
      </c>
      <c r="AA177" t="s">
        <v>224</v>
      </c>
      <c r="AB177" t="s">
        <v>249</v>
      </c>
      <c r="AC177">
        <v>2</v>
      </c>
      <c r="AD177" s="9" t="str">
        <f t="shared" si="57"/>
        <v>Check</v>
      </c>
      <c r="AE177" s="11">
        <f t="shared" si="58"/>
        <v>-2.5999999999999091</v>
      </c>
    </row>
    <row r="178" spans="1:31" x14ac:dyDescent="0.3">
      <c r="A178">
        <v>93</v>
      </c>
      <c r="B178">
        <v>4564213</v>
      </c>
      <c r="C178" t="s">
        <v>91</v>
      </c>
      <c r="D178">
        <v>1262308</v>
      </c>
      <c r="E178" t="s">
        <v>268</v>
      </c>
      <c r="F178" t="s">
        <v>20</v>
      </c>
      <c r="G178" t="s">
        <v>50</v>
      </c>
      <c r="H178" t="s">
        <v>51</v>
      </c>
      <c r="I178" t="s">
        <v>769</v>
      </c>
      <c r="J178">
        <v>51108086197</v>
      </c>
      <c r="K178" t="s">
        <v>654</v>
      </c>
      <c r="L178" t="s">
        <v>1031</v>
      </c>
      <c r="M178">
        <v>7</v>
      </c>
      <c r="N178">
        <v>171</v>
      </c>
      <c r="O178" s="10">
        <f t="shared" si="55"/>
        <v>1197</v>
      </c>
      <c r="P178" t="s">
        <v>1062</v>
      </c>
      <c r="Q178" t="s">
        <v>1062</v>
      </c>
      <c r="R178" t="s">
        <v>1062</v>
      </c>
      <c r="S178" t="s">
        <v>1062</v>
      </c>
      <c r="T178" s="11" t="str">
        <f>IFERROR(INDEX(AD:AD,MATCH(J178,J:J,0)),"")</f>
        <v>Check</v>
      </c>
      <c r="U178" s="12">
        <v>46098</v>
      </c>
      <c r="V178" s="10">
        <v>197.75</v>
      </c>
      <c r="W178" s="10" t="str">
        <f t="shared" si="56"/>
        <v>N/A</v>
      </c>
      <c r="X178" t="s">
        <v>207</v>
      </c>
      <c r="Y178" t="s">
        <v>27</v>
      </c>
      <c r="Z178">
        <v>100154</v>
      </c>
      <c r="AA178" t="s">
        <v>224</v>
      </c>
      <c r="AB178" t="s">
        <v>249</v>
      </c>
      <c r="AC178">
        <v>2</v>
      </c>
      <c r="AD178" s="9" t="str">
        <f t="shared" si="57"/>
        <v>N/A</v>
      </c>
      <c r="AE178" s="11" t="e">
        <f t="shared" si="58"/>
        <v>#VALUE!</v>
      </c>
    </row>
    <row r="179" spans="1:31" x14ac:dyDescent="0.3">
      <c r="A179">
        <v>95</v>
      </c>
      <c r="B179">
        <v>4561987</v>
      </c>
      <c r="C179" t="s">
        <v>91</v>
      </c>
      <c r="D179">
        <v>1176121</v>
      </c>
      <c r="E179" t="s">
        <v>274</v>
      </c>
      <c r="F179" t="s">
        <v>20</v>
      </c>
      <c r="G179" t="s">
        <v>547</v>
      </c>
      <c r="H179" t="s">
        <v>548</v>
      </c>
      <c r="I179" t="s">
        <v>724</v>
      </c>
      <c r="J179">
        <v>50111827685</v>
      </c>
      <c r="K179" t="s">
        <v>697</v>
      </c>
      <c r="L179" t="s">
        <v>939</v>
      </c>
      <c r="M179">
        <v>3</v>
      </c>
      <c r="N179" s="10">
        <v>11.54</v>
      </c>
      <c r="O179" s="10">
        <f t="shared" si="55"/>
        <v>34.619999999999997</v>
      </c>
      <c r="P179" s="10">
        <v>0</v>
      </c>
      <c r="Q179" s="10">
        <v>1737.45</v>
      </c>
      <c r="R179" s="10">
        <f>IF(COUNTIF($J$2:J179,J179)=1,SUMIFS($O:$O,$J:$J,J179)+SUMIFS($P:$P,$J:$J,J179)+SUMIFS($Q:$Q,$J:$J,J179),"")</f>
        <v>13922.070000000002</v>
      </c>
      <c r="S179" s="10">
        <v>13922.070000000002</v>
      </c>
      <c r="T179" s="11" t="str">
        <f>IFERROR(INDEX(AD:AD,MATCH(J179,J:J,0)),"")</f>
        <v>Ok</v>
      </c>
      <c r="U179" s="12">
        <v>46049</v>
      </c>
      <c r="V179" s="10">
        <v>34.619999999999997</v>
      </c>
      <c r="W179" s="10" t="str">
        <f t="shared" si="56"/>
        <v>Short Paid</v>
      </c>
      <c r="X179" t="s">
        <v>207</v>
      </c>
      <c r="Y179" t="s">
        <v>27</v>
      </c>
      <c r="Z179">
        <v>100194</v>
      </c>
      <c r="AA179" t="s">
        <v>231</v>
      </c>
      <c r="AB179" t="s">
        <v>249</v>
      </c>
      <c r="AC179" s="9">
        <v>2</v>
      </c>
      <c r="AD179" s="9" t="str">
        <f t="shared" si="57"/>
        <v>Ok</v>
      </c>
      <c r="AE179" s="11">
        <f t="shared" si="58"/>
        <v>0</v>
      </c>
    </row>
    <row r="180" spans="1:31" x14ac:dyDescent="0.3">
      <c r="A180">
        <v>95</v>
      </c>
      <c r="B180">
        <v>4561987</v>
      </c>
      <c r="C180" t="s">
        <v>91</v>
      </c>
      <c r="D180">
        <v>1176121</v>
      </c>
      <c r="E180" t="s">
        <v>274</v>
      </c>
      <c r="F180" t="s">
        <v>20</v>
      </c>
      <c r="G180" t="s">
        <v>547</v>
      </c>
      <c r="H180" t="s">
        <v>548</v>
      </c>
      <c r="I180" t="s">
        <v>770</v>
      </c>
      <c r="J180">
        <v>50111827685</v>
      </c>
      <c r="K180" t="s">
        <v>798</v>
      </c>
      <c r="L180" t="s">
        <v>940</v>
      </c>
      <c r="M180">
        <v>6075</v>
      </c>
      <c r="N180" s="10">
        <v>2</v>
      </c>
      <c r="O180" s="10">
        <f t="shared" si="55"/>
        <v>12150</v>
      </c>
      <c r="P180" s="10" t="s">
        <v>1062</v>
      </c>
      <c r="Q180" s="10" t="s">
        <v>1062</v>
      </c>
      <c r="R180" s="10" t="str">
        <f>IF(COUNTIF($J$2:J180,J180)=1,SUMIFS($O:$O,$J:$J,J180)+SUMIFS($P:$P,$J:$J,J180)+SUMIFS($Q:$Q,$J:$J,J180),"")</f>
        <v/>
      </c>
      <c r="S180" s="10" t="s">
        <v>1062</v>
      </c>
      <c r="T180" s="11" t="str">
        <f>IFERROR(INDEX(AD:AD,MATCH(J180,J:J,0)),"")</f>
        <v>Ok</v>
      </c>
      <c r="U180" s="12">
        <v>46049</v>
      </c>
      <c r="V180" s="10">
        <v>34.619999999999997</v>
      </c>
      <c r="W180" s="10" t="str">
        <f t="shared" si="56"/>
        <v>N/A</v>
      </c>
      <c r="X180" t="s">
        <v>207</v>
      </c>
      <c r="Y180" t="s">
        <v>27</v>
      </c>
      <c r="Z180">
        <v>100194</v>
      </c>
      <c r="AA180" t="s">
        <v>231</v>
      </c>
      <c r="AB180" t="s">
        <v>249</v>
      </c>
      <c r="AC180" s="9">
        <v>2</v>
      </c>
      <c r="AD180" s="9" t="str">
        <f t="shared" si="57"/>
        <v>N/A</v>
      </c>
      <c r="AE180" s="11" t="e">
        <f t="shared" si="58"/>
        <v>#VALUE!</v>
      </c>
    </row>
    <row r="181" spans="1:31" x14ac:dyDescent="0.3">
      <c r="A181">
        <v>93</v>
      </c>
      <c r="B181">
        <v>4564770</v>
      </c>
      <c r="C181" t="s">
        <v>91</v>
      </c>
      <c r="D181">
        <v>1262308</v>
      </c>
      <c r="E181" t="s">
        <v>268</v>
      </c>
      <c r="F181" t="s">
        <v>20</v>
      </c>
      <c r="G181" t="s">
        <v>296</v>
      </c>
      <c r="H181" t="s">
        <v>297</v>
      </c>
      <c r="I181" t="s">
        <v>763</v>
      </c>
      <c r="J181">
        <v>50112414225</v>
      </c>
      <c r="K181" t="s">
        <v>942</v>
      </c>
      <c r="L181" t="s">
        <v>941</v>
      </c>
      <c r="M181">
        <v>2</v>
      </c>
      <c r="N181" s="10">
        <v>161.25</v>
      </c>
      <c r="O181" s="10">
        <f t="shared" si="55"/>
        <v>322.5</v>
      </c>
      <c r="P181" s="10">
        <v>0</v>
      </c>
      <c r="Q181" s="10" t="s">
        <v>1062</v>
      </c>
      <c r="R181" s="10">
        <f>IF(COUNTIF($J$2:J181,J181)=1,SUMIFS($O:$O,$J:$J,J181)+SUMIFS($P:$P,$J:$J,J181)+SUMIFS($Q:$Q,$J:$J,J181),"")</f>
        <v>323.5</v>
      </c>
      <c r="S181" s="10">
        <v>323.5</v>
      </c>
      <c r="T181" s="11" t="str">
        <f>IFERROR(INDEX(AD:AD,MATCH(J181,J:J,0)),"")</f>
        <v>Ok</v>
      </c>
      <c r="U181" s="12">
        <v>46098</v>
      </c>
      <c r="V181" s="10">
        <v>664.44</v>
      </c>
      <c r="W181" s="10" t="str">
        <f t="shared" si="56"/>
        <v>Short Paid</v>
      </c>
      <c r="X181" t="s">
        <v>207</v>
      </c>
      <c r="Y181" t="s">
        <v>27</v>
      </c>
      <c r="Z181">
        <v>100194</v>
      </c>
      <c r="AA181" t="s">
        <v>231</v>
      </c>
      <c r="AB181" t="s">
        <v>249</v>
      </c>
      <c r="AC181" s="9">
        <v>2</v>
      </c>
      <c r="AD181" s="9" t="str">
        <f t="shared" si="57"/>
        <v>Ok</v>
      </c>
      <c r="AE181" s="11">
        <f t="shared" si="58"/>
        <v>0</v>
      </c>
    </row>
    <row r="182" spans="1:31" x14ac:dyDescent="0.3">
      <c r="A182">
        <v>93</v>
      </c>
      <c r="B182">
        <v>4564770</v>
      </c>
      <c r="C182" t="s">
        <v>91</v>
      </c>
      <c r="D182">
        <v>1262308</v>
      </c>
      <c r="E182" t="s">
        <v>268</v>
      </c>
      <c r="F182" t="s">
        <v>20</v>
      </c>
      <c r="G182" t="s">
        <v>296</v>
      </c>
      <c r="H182" t="s">
        <v>297</v>
      </c>
      <c r="I182" t="s">
        <v>763</v>
      </c>
      <c r="J182">
        <v>50112414225</v>
      </c>
      <c r="K182" t="s">
        <v>669</v>
      </c>
      <c r="L182" t="s">
        <v>943</v>
      </c>
      <c r="M182">
        <v>4</v>
      </c>
      <c r="N182" s="10">
        <v>0.25</v>
      </c>
      <c r="O182" s="10">
        <f t="shared" si="55"/>
        <v>1</v>
      </c>
      <c r="P182" s="10" t="s">
        <v>1062</v>
      </c>
      <c r="Q182" s="10" t="s">
        <v>1062</v>
      </c>
      <c r="R182" s="10" t="str">
        <f>IF(COUNTIF($J$2:J182,J182)=1,SUMIFS($O:$O,$J:$J,J182)+SUMIFS($P:$P,$J:$J,J182)+SUMIFS($Q:$Q,$J:$J,J182),"")</f>
        <v/>
      </c>
      <c r="S182" s="10" t="s">
        <v>1062</v>
      </c>
      <c r="T182" s="11" t="str">
        <f>IFERROR(INDEX(AD:AD,MATCH(J182,J:J,0)),"")</f>
        <v>Ok</v>
      </c>
      <c r="U182" s="12">
        <v>46098</v>
      </c>
      <c r="V182" s="10">
        <v>664.44</v>
      </c>
      <c r="W182" s="10" t="str">
        <f t="shared" si="56"/>
        <v>N/A</v>
      </c>
      <c r="X182" t="s">
        <v>207</v>
      </c>
      <c r="Y182" t="s">
        <v>27</v>
      </c>
      <c r="Z182">
        <v>100194</v>
      </c>
      <c r="AA182" t="s">
        <v>231</v>
      </c>
      <c r="AB182" t="s">
        <v>249</v>
      </c>
      <c r="AC182" s="9">
        <v>2</v>
      </c>
      <c r="AD182" s="9" t="str">
        <f t="shared" si="57"/>
        <v>N/A</v>
      </c>
      <c r="AE182" s="11" t="e">
        <f t="shared" si="58"/>
        <v>#VALUE!</v>
      </c>
    </row>
    <row r="183" spans="1:31" x14ac:dyDescent="0.3">
      <c r="A183">
        <v>93</v>
      </c>
      <c r="B183">
        <v>4565327</v>
      </c>
      <c r="C183" t="s">
        <v>91</v>
      </c>
      <c r="D183">
        <v>1262308</v>
      </c>
      <c r="E183" t="s">
        <v>268</v>
      </c>
      <c r="F183" t="s">
        <v>20</v>
      </c>
      <c r="G183" t="s">
        <v>298</v>
      </c>
      <c r="H183" t="s">
        <v>299</v>
      </c>
      <c r="I183" t="s">
        <v>716</v>
      </c>
      <c r="J183">
        <v>50112845453</v>
      </c>
      <c r="K183" t="s">
        <v>942</v>
      </c>
      <c r="L183" t="s">
        <v>944</v>
      </c>
      <c r="M183">
        <v>1</v>
      </c>
      <c r="N183" s="10">
        <v>906.16</v>
      </c>
      <c r="O183" s="10">
        <f t="shared" si="55"/>
        <v>906.16</v>
      </c>
      <c r="P183" s="10">
        <v>0</v>
      </c>
      <c r="Q183" s="10">
        <v>0</v>
      </c>
      <c r="R183" s="10">
        <f>IF(COUNTIF($J$2:J183,J183)=1,SUMIFS($O:$O,$J:$J,J183)+SUMIFS($P:$P,$J:$J,J183)+SUMIFS($Q:$Q,$J:$J,J183),"")</f>
        <v>24986.66</v>
      </c>
      <c r="S183" s="10">
        <v>38746.660000000003</v>
      </c>
      <c r="T183" s="11" t="str">
        <f>IFERROR(INDEX(AD:AD,MATCH(J183,J:J,0)),"")</f>
        <v>Check</v>
      </c>
      <c r="U183" s="12">
        <v>46098</v>
      </c>
      <c r="V183" s="10">
        <v>1091.58</v>
      </c>
      <c r="W183" s="10" t="str">
        <f t="shared" si="56"/>
        <v>Short Paid</v>
      </c>
      <c r="X183" t="s">
        <v>207</v>
      </c>
      <c r="Y183" t="s">
        <v>27</v>
      </c>
      <c r="Z183">
        <v>100234</v>
      </c>
      <c r="AA183" t="s">
        <v>241</v>
      </c>
      <c r="AB183" t="s">
        <v>249</v>
      </c>
      <c r="AC183" s="9">
        <v>3</v>
      </c>
      <c r="AD183" s="9" t="str">
        <f t="shared" si="57"/>
        <v>Check</v>
      </c>
      <c r="AE183" s="11">
        <f t="shared" si="58"/>
        <v>-13760.000000000004</v>
      </c>
    </row>
    <row r="184" spans="1:31" x14ac:dyDescent="0.3">
      <c r="A184">
        <v>93</v>
      </c>
      <c r="B184">
        <v>4565327</v>
      </c>
      <c r="C184" t="s">
        <v>91</v>
      </c>
      <c r="D184">
        <v>1262308</v>
      </c>
      <c r="E184" t="s">
        <v>268</v>
      </c>
      <c r="F184" t="s">
        <v>20</v>
      </c>
      <c r="G184" t="s">
        <v>298</v>
      </c>
      <c r="H184" t="s">
        <v>299</v>
      </c>
      <c r="I184" t="s">
        <v>716</v>
      </c>
      <c r="J184">
        <v>50112845453</v>
      </c>
      <c r="K184" t="s">
        <v>669</v>
      </c>
      <c r="L184" t="s">
        <v>943</v>
      </c>
      <c r="M184">
        <v>2</v>
      </c>
      <c r="N184" s="10">
        <v>0.25</v>
      </c>
      <c r="O184" s="10">
        <f t="shared" si="55"/>
        <v>0.5</v>
      </c>
      <c r="P184" s="10" t="s">
        <v>1062</v>
      </c>
      <c r="Q184" s="10" t="s">
        <v>1062</v>
      </c>
      <c r="R184" s="10" t="str">
        <f>IF(COUNTIF($J$2:J184,J184)=1,SUMIFS($O:$O,$J:$J,J184)+SUMIFS($P:$P,$J:$J,J184)+SUMIFS($Q:$Q,$J:$J,J184),"")</f>
        <v/>
      </c>
      <c r="S184" s="10" t="s">
        <v>1062</v>
      </c>
      <c r="T184" s="11" t="str">
        <f>IFERROR(INDEX(AD:AD,MATCH(J184,J:J,0)),"")</f>
        <v>Check</v>
      </c>
      <c r="U184" s="12">
        <v>46098</v>
      </c>
      <c r="V184" s="10">
        <v>1091.58</v>
      </c>
      <c r="W184" s="10" t="str">
        <f t="shared" si="56"/>
        <v>N/A</v>
      </c>
      <c r="X184" t="s">
        <v>207</v>
      </c>
      <c r="Y184" t="s">
        <v>27</v>
      </c>
      <c r="Z184">
        <v>100234</v>
      </c>
      <c r="AA184" t="s">
        <v>241</v>
      </c>
      <c r="AB184" t="s">
        <v>249</v>
      </c>
      <c r="AC184" s="9">
        <v>3</v>
      </c>
      <c r="AD184" s="9" t="str">
        <f t="shared" si="57"/>
        <v>N/A</v>
      </c>
      <c r="AE184" s="11" t="e">
        <f t="shared" si="58"/>
        <v>#VALUE!</v>
      </c>
    </row>
    <row r="185" spans="1:31" x14ac:dyDescent="0.3">
      <c r="A185">
        <v>93</v>
      </c>
      <c r="B185">
        <v>4565327</v>
      </c>
      <c r="C185" t="s">
        <v>91</v>
      </c>
      <c r="D185">
        <v>1262308</v>
      </c>
      <c r="E185" t="s">
        <v>268</v>
      </c>
      <c r="F185" t="s">
        <v>20</v>
      </c>
      <c r="G185" t="s">
        <v>298</v>
      </c>
      <c r="H185" t="s">
        <v>299</v>
      </c>
      <c r="I185" t="s">
        <v>791</v>
      </c>
      <c r="J185">
        <v>50112845453</v>
      </c>
      <c r="K185" t="s">
        <v>815</v>
      </c>
      <c r="L185" t="s">
        <v>945</v>
      </c>
      <c r="M185">
        <v>7000</v>
      </c>
      <c r="N185" s="10">
        <v>3.44</v>
      </c>
      <c r="O185" s="10">
        <f t="shared" si="55"/>
        <v>24080</v>
      </c>
      <c r="P185" s="10" t="s">
        <v>1062</v>
      </c>
      <c r="Q185" s="10" t="s">
        <v>1062</v>
      </c>
      <c r="R185" s="10" t="str">
        <f>IF(COUNTIF($J$2:J185,J185)=1,SUMIFS($O:$O,$J:$J,J185)+SUMIFS($P:$P,$J:$J,J185)+SUMIFS($Q:$Q,$J:$J,J185),"")</f>
        <v/>
      </c>
      <c r="S185" s="10" t="s">
        <v>1062</v>
      </c>
      <c r="T185" s="11" t="str">
        <f>IFERROR(INDEX(AD:AD,MATCH(J185,J:J,0)),"")</f>
        <v>Check</v>
      </c>
      <c r="U185" s="12">
        <v>46098</v>
      </c>
      <c r="V185" s="10">
        <v>1091.58</v>
      </c>
      <c r="W185" s="10" t="str">
        <f t="shared" si="56"/>
        <v>N/A</v>
      </c>
      <c r="X185" t="s">
        <v>207</v>
      </c>
      <c r="Y185" t="s">
        <v>27</v>
      </c>
      <c r="Z185">
        <v>100234</v>
      </c>
      <c r="AA185" t="s">
        <v>241</v>
      </c>
      <c r="AB185" t="s">
        <v>249</v>
      </c>
      <c r="AC185" s="9">
        <v>3</v>
      </c>
      <c r="AD185" s="9" t="str">
        <f t="shared" si="57"/>
        <v>N/A</v>
      </c>
      <c r="AE185" s="11" t="e">
        <f t="shared" si="58"/>
        <v>#VALUE!</v>
      </c>
    </row>
    <row r="186" spans="1:31" x14ac:dyDescent="0.3">
      <c r="A186">
        <v>93</v>
      </c>
      <c r="B186">
        <v>4565883</v>
      </c>
      <c r="C186" t="s">
        <v>91</v>
      </c>
      <c r="D186">
        <v>1262308</v>
      </c>
      <c r="E186" t="s">
        <v>268</v>
      </c>
      <c r="F186" t="s">
        <v>20</v>
      </c>
      <c r="G186" t="s">
        <v>549</v>
      </c>
      <c r="H186" t="s">
        <v>550</v>
      </c>
      <c r="I186" t="s">
        <v>692</v>
      </c>
      <c r="J186">
        <v>50112882931</v>
      </c>
      <c r="K186" t="s">
        <v>888</v>
      </c>
      <c r="L186" t="s">
        <v>946</v>
      </c>
      <c r="M186">
        <v>4970</v>
      </c>
      <c r="N186" s="10">
        <v>6.32</v>
      </c>
      <c r="O186" s="10">
        <f t="shared" si="55"/>
        <v>31410.400000000001</v>
      </c>
      <c r="P186" s="10">
        <v>2279.54</v>
      </c>
      <c r="Q186" s="10">
        <v>0</v>
      </c>
      <c r="R186" s="10">
        <f>IF(COUNTIF($J$2:J186,J186)=1,SUMIFS($O:$O,$J:$J,J186)+SUMIFS($P:$P,$J:$J,J186)+SUMIFS($Q:$Q,$J:$J,J186),"")</f>
        <v>34433.94</v>
      </c>
      <c r="S186" s="10">
        <v>34508.299999999996</v>
      </c>
      <c r="T186" s="11" t="str">
        <f>IFERROR(INDEX(AD:AD,MATCH(J186,J:J,0)),"")</f>
        <v>Check</v>
      </c>
      <c r="U186" s="12">
        <v>46044</v>
      </c>
      <c r="V186" s="10">
        <v>6274.13</v>
      </c>
      <c r="W186" s="10" t="str">
        <f t="shared" si="56"/>
        <v>Short Paid</v>
      </c>
      <c r="X186" t="s">
        <v>207</v>
      </c>
      <c r="Y186" t="s">
        <v>27</v>
      </c>
      <c r="Z186">
        <v>100274</v>
      </c>
      <c r="AA186" t="s">
        <v>208</v>
      </c>
      <c r="AB186" t="s">
        <v>249</v>
      </c>
      <c r="AC186" s="9">
        <v>2</v>
      </c>
      <c r="AD186" s="9" t="str">
        <f t="shared" si="57"/>
        <v>Check</v>
      </c>
      <c r="AE186" s="11">
        <f t="shared" si="58"/>
        <v>-74.359999999993306</v>
      </c>
    </row>
    <row r="187" spans="1:31" x14ac:dyDescent="0.3">
      <c r="A187">
        <v>93</v>
      </c>
      <c r="B187">
        <v>4565883</v>
      </c>
      <c r="C187" t="s">
        <v>91</v>
      </c>
      <c r="D187">
        <v>1262308</v>
      </c>
      <c r="E187" t="s">
        <v>268</v>
      </c>
      <c r="F187" t="s">
        <v>20</v>
      </c>
      <c r="G187" t="s">
        <v>549</v>
      </c>
      <c r="H187" t="s">
        <v>550</v>
      </c>
      <c r="I187" t="s">
        <v>844</v>
      </c>
      <c r="J187">
        <v>50112882931</v>
      </c>
      <c r="K187" t="s">
        <v>783</v>
      </c>
      <c r="L187" t="s">
        <v>947</v>
      </c>
      <c r="M187">
        <v>120</v>
      </c>
      <c r="N187" s="10">
        <v>6.2</v>
      </c>
      <c r="O187" s="10">
        <f t="shared" si="55"/>
        <v>744</v>
      </c>
      <c r="P187" s="10" t="s">
        <v>1062</v>
      </c>
      <c r="Q187" s="10" t="s">
        <v>1062</v>
      </c>
      <c r="R187" s="10" t="str">
        <f>IF(COUNTIF($J$2:J187,J187)=1,SUMIFS($O:$O,$J:$J,J187)+SUMIFS($P:$P,$J:$J,J187)+SUMIFS($Q:$Q,$J:$J,J187),"")</f>
        <v/>
      </c>
      <c r="S187" s="10" t="s">
        <v>1062</v>
      </c>
      <c r="T187" s="11" t="str">
        <f>IFERROR(INDEX(AD:AD,MATCH(J187,J:J,0)),"")</f>
        <v>Check</v>
      </c>
      <c r="U187" s="12">
        <v>46044</v>
      </c>
      <c r="V187" s="10">
        <v>6274.13</v>
      </c>
      <c r="W187" s="10" t="str">
        <f t="shared" si="56"/>
        <v>N/A</v>
      </c>
      <c r="X187" t="s">
        <v>207</v>
      </c>
      <c r="Y187" t="s">
        <v>27</v>
      </c>
      <c r="Z187">
        <v>100274</v>
      </c>
      <c r="AA187" t="s">
        <v>208</v>
      </c>
      <c r="AB187" t="s">
        <v>249</v>
      </c>
      <c r="AC187" s="9">
        <v>2</v>
      </c>
      <c r="AD187" s="9" t="str">
        <f t="shared" si="57"/>
        <v>N/A</v>
      </c>
      <c r="AE187" s="11" t="e">
        <f t="shared" si="58"/>
        <v>#VALUE!</v>
      </c>
    </row>
    <row r="188" spans="1:31" x14ac:dyDescent="0.3">
      <c r="A188">
        <v>22</v>
      </c>
      <c r="B188">
        <v>4844724</v>
      </c>
      <c r="C188" t="s">
        <v>91</v>
      </c>
      <c r="D188">
        <v>1430900</v>
      </c>
      <c r="E188" t="s">
        <v>291</v>
      </c>
      <c r="F188" t="s">
        <v>43</v>
      </c>
      <c r="G188" t="s">
        <v>587</v>
      </c>
      <c r="H188" t="s">
        <v>588</v>
      </c>
      <c r="I188" t="s">
        <v>796</v>
      </c>
      <c r="J188">
        <v>50117233749</v>
      </c>
      <c r="K188" t="s">
        <v>665</v>
      </c>
      <c r="L188" t="s">
        <v>948</v>
      </c>
      <c r="M188">
        <v>10000</v>
      </c>
      <c r="N188" s="10">
        <v>3.4099999999999998E-3</v>
      </c>
      <c r="O188" s="10">
        <f t="shared" ref="O188:O191" si="59">M188*N188</f>
        <v>34.1</v>
      </c>
      <c r="P188" s="10">
        <v>0</v>
      </c>
      <c r="Q188" s="10">
        <v>0</v>
      </c>
      <c r="R188" s="10">
        <f>IF(COUNTIF($J$2:J188,J188)=1,SUMIFS($O:$O,$J:$J,J188)+SUMIFS($P:$P,$J:$J,J188)+SUMIFS($Q:$Q,$J:$J,J188),"")</f>
        <v>31192.899999999998</v>
      </c>
      <c r="S188" s="10">
        <v>41850.1</v>
      </c>
      <c r="T188" s="11" t="str">
        <f>IFERROR(INDEX(AD:AD,MATCH(J188,J:J,0)),"")</f>
        <v>Check</v>
      </c>
      <c r="U188" s="12">
        <v>46139</v>
      </c>
      <c r="V188" s="10">
        <v>825</v>
      </c>
      <c r="W188" s="10" t="str">
        <f t="shared" ref="W188:W191" si="60">IF(OR(S188="",V188=""),"N/A",IF(S188&lt;&gt;V188,"Short Paid","Not Paid"))</f>
        <v>Short Paid</v>
      </c>
      <c r="X188" t="s">
        <v>207</v>
      </c>
      <c r="Y188" t="s">
        <v>27</v>
      </c>
      <c r="Z188">
        <v>100114</v>
      </c>
      <c r="AA188" t="s">
        <v>238</v>
      </c>
      <c r="AB188" t="s">
        <v>605</v>
      </c>
      <c r="AC188" s="9">
        <v>4</v>
      </c>
      <c r="AD188" s="9" t="str">
        <f t="shared" ref="AD188:AD191" si="61">IF(AND(R188="",S188=""),"N/A",IF(R188=S188,"Ok","Check"))</f>
        <v>Check</v>
      </c>
      <c r="AE188" s="11">
        <f t="shared" ref="AE188:AE191" si="62">R188-S188</f>
        <v>-10657.2</v>
      </c>
    </row>
    <row r="189" spans="1:31" x14ac:dyDescent="0.3">
      <c r="A189">
        <v>22</v>
      </c>
      <c r="B189">
        <v>4844724</v>
      </c>
      <c r="C189" t="s">
        <v>91</v>
      </c>
      <c r="D189">
        <v>1430900</v>
      </c>
      <c r="E189" t="s">
        <v>291</v>
      </c>
      <c r="F189" t="s">
        <v>43</v>
      </c>
      <c r="G189" t="s">
        <v>587</v>
      </c>
      <c r="H189" t="s">
        <v>588</v>
      </c>
      <c r="I189" t="s">
        <v>796</v>
      </c>
      <c r="J189">
        <v>50117233749</v>
      </c>
      <c r="K189" t="s">
        <v>838</v>
      </c>
      <c r="L189" t="s">
        <v>913</v>
      </c>
      <c r="M189">
        <v>50400</v>
      </c>
      <c r="N189" s="10">
        <v>0.48799999999999999</v>
      </c>
      <c r="O189" s="10">
        <f t="shared" si="59"/>
        <v>24595.200000000001</v>
      </c>
      <c r="P189" s="10" t="s">
        <v>1062</v>
      </c>
      <c r="Q189" s="10" t="s">
        <v>1062</v>
      </c>
      <c r="R189" s="10" t="str">
        <f>IF(COUNTIF($J$2:J189,J189)=1,SUMIFS($O:$O,$J:$J,J189)+SUMIFS($P:$P,$J:$J,J189)+SUMIFS($Q:$Q,$J:$J,J189),"")</f>
        <v/>
      </c>
      <c r="S189" s="10" t="s">
        <v>1062</v>
      </c>
      <c r="T189" s="11" t="str">
        <f>IFERROR(INDEX(AD:AD,MATCH(J189,J:J,0)),"")</f>
        <v>Check</v>
      </c>
      <c r="U189" s="12">
        <v>46139</v>
      </c>
      <c r="V189" s="10">
        <v>825</v>
      </c>
      <c r="W189" s="10" t="str">
        <f t="shared" si="60"/>
        <v>N/A</v>
      </c>
      <c r="X189" t="s">
        <v>207</v>
      </c>
      <c r="Y189" t="s">
        <v>27</v>
      </c>
      <c r="Z189">
        <v>100114</v>
      </c>
      <c r="AA189" t="s">
        <v>238</v>
      </c>
      <c r="AB189" t="s">
        <v>605</v>
      </c>
      <c r="AC189" s="9">
        <v>4</v>
      </c>
      <c r="AD189" s="9" t="str">
        <f t="shared" si="61"/>
        <v>N/A</v>
      </c>
      <c r="AE189" s="11" t="e">
        <f t="shared" si="62"/>
        <v>#VALUE!</v>
      </c>
    </row>
    <row r="190" spans="1:31" x14ac:dyDescent="0.3">
      <c r="A190">
        <v>22</v>
      </c>
      <c r="B190">
        <v>4844724</v>
      </c>
      <c r="C190" t="s">
        <v>91</v>
      </c>
      <c r="D190">
        <v>1430900</v>
      </c>
      <c r="E190" t="s">
        <v>291</v>
      </c>
      <c r="F190" t="s">
        <v>43</v>
      </c>
      <c r="G190" t="s">
        <v>587</v>
      </c>
      <c r="H190" t="s">
        <v>588</v>
      </c>
      <c r="I190" t="s">
        <v>796</v>
      </c>
      <c r="J190">
        <v>50117233749</v>
      </c>
      <c r="K190" t="s">
        <v>686</v>
      </c>
      <c r="L190" t="s">
        <v>949</v>
      </c>
      <c r="M190">
        <v>96000</v>
      </c>
      <c r="N190" s="10">
        <v>2.9100000000000001E-2</v>
      </c>
      <c r="O190" s="10">
        <f t="shared" si="59"/>
        <v>2793.6</v>
      </c>
      <c r="P190" s="10" t="s">
        <v>1062</v>
      </c>
      <c r="Q190" s="10" t="s">
        <v>1062</v>
      </c>
      <c r="R190" s="10" t="str">
        <f>IF(COUNTIF($J$2:J190,J190)=1,SUMIFS($O:$O,$J:$J,J190)+SUMIFS($P:$P,$J:$J,J190)+SUMIFS($Q:$Q,$J:$J,J190),"")</f>
        <v/>
      </c>
      <c r="S190" s="10" t="s">
        <v>1062</v>
      </c>
      <c r="T190" s="11" t="str">
        <f>IFERROR(INDEX(AD:AD,MATCH(J190,J:J,0)),"")</f>
        <v>Check</v>
      </c>
      <c r="U190" s="12">
        <v>46139</v>
      </c>
      <c r="V190" s="10">
        <v>825</v>
      </c>
      <c r="W190" s="10" t="str">
        <f t="shared" si="60"/>
        <v>N/A</v>
      </c>
      <c r="X190" t="s">
        <v>207</v>
      </c>
      <c r="Y190" t="s">
        <v>27</v>
      </c>
      <c r="Z190">
        <v>100114</v>
      </c>
      <c r="AA190" t="s">
        <v>238</v>
      </c>
      <c r="AB190" t="s">
        <v>605</v>
      </c>
      <c r="AC190" s="9">
        <v>4</v>
      </c>
      <c r="AD190" s="9" t="str">
        <f t="shared" si="61"/>
        <v>N/A</v>
      </c>
      <c r="AE190" s="11" t="e">
        <f t="shared" si="62"/>
        <v>#VALUE!</v>
      </c>
    </row>
    <row r="191" spans="1:31" x14ac:dyDescent="0.3">
      <c r="A191">
        <v>22</v>
      </c>
      <c r="B191">
        <v>4844724</v>
      </c>
      <c r="C191" t="s">
        <v>91</v>
      </c>
      <c r="D191">
        <v>1430900</v>
      </c>
      <c r="E191" t="s">
        <v>291</v>
      </c>
      <c r="F191" t="s">
        <v>43</v>
      </c>
      <c r="G191" t="s">
        <v>587</v>
      </c>
      <c r="H191" t="s">
        <v>588</v>
      </c>
      <c r="I191" t="s">
        <v>796</v>
      </c>
      <c r="J191">
        <v>50117233749</v>
      </c>
      <c r="K191" t="s">
        <v>785</v>
      </c>
      <c r="L191" t="s">
        <v>848</v>
      </c>
      <c r="M191">
        <v>13000</v>
      </c>
      <c r="N191" s="10">
        <v>0.28999999999999998</v>
      </c>
      <c r="O191" s="10">
        <f t="shared" si="59"/>
        <v>3769.9999999999995</v>
      </c>
      <c r="P191" s="10" t="s">
        <v>1062</v>
      </c>
      <c r="Q191" s="10" t="s">
        <v>1062</v>
      </c>
      <c r="R191" s="10" t="str">
        <f>IF(COUNTIF($J$2:J191,J191)=1,SUMIFS($O:$O,$J:$J,J191)+SUMIFS($P:$P,$J:$J,J191)+SUMIFS($Q:$Q,$J:$J,J191),"")</f>
        <v/>
      </c>
      <c r="S191" s="10" t="s">
        <v>1062</v>
      </c>
      <c r="T191" s="11" t="str">
        <f>IFERROR(INDEX(AD:AD,MATCH(J191,J:J,0)),"")</f>
        <v>Check</v>
      </c>
      <c r="U191" s="12">
        <v>46139</v>
      </c>
      <c r="V191" s="10">
        <v>825</v>
      </c>
      <c r="W191" s="10" t="str">
        <f t="shared" si="60"/>
        <v>N/A</v>
      </c>
      <c r="X191" t="s">
        <v>207</v>
      </c>
      <c r="Y191" t="s">
        <v>27</v>
      </c>
      <c r="Z191">
        <v>100114</v>
      </c>
      <c r="AA191" t="s">
        <v>238</v>
      </c>
      <c r="AB191" t="s">
        <v>605</v>
      </c>
      <c r="AC191" s="9">
        <v>4</v>
      </c>
      <c r="AD191" s="9" t="str">
        <f t="shared" si="61"/>
        <v>N/A</v>
      </c>
      <c r="AE191" s="11" t="e">
        <f t="shared" si="62"/>
        <v>#VALUE!</v>
      </c>
    </row>
    <row r="192" spans="1:31" x14ac:dyDescent="0.3">
      <c r="A192">
        <v>66</v>
      </c>
      <c r="B192">
        <v>4646029</v>
      </c>
      <c r="C192" t="s">
        <v>91</v>
      </c>
      <c r="D192">
        <v>1422097</v>
      </c>
      <c r="E192" t="s">
        <v>184</v>
      </c>
      <c r="F192" t="s">
        <v>17</v>
      </c>
      <c r="G192" t="s">
        <v>302</v>
      </c>
      <c r="H192" t="s">
        <v>303</v>
      </c>
      <c r="I192" t="s">
        <v>653</v>
      </c>
      <c r="J192">
        <v>51125249803</v>
      </c>
      <c r="K192" t="s">
        <v>783</v>
      </c>
      <c r="L192" t="s">
        <v>951</v>
      </c>
      <c r="M192">
        <v>102</v>
      </c>
      <c r="N192" s="10">
        <v>393.75</v>
      </c>
      <c r="O192" s="10">
        <f t="shared" ref="O192:O193" si="63">M192*N192</f>
        <v>40162.5</v>
      </c>
      <c r="P192" s="10">
        <v>0</v>
      </c>
      <c r="Q192" s="10">
        <v>0</v>
      </c>
      <c r="R192" s="10">
        <f>IF(COUNTIF($J$2:J192,J192)=1,SUMIFS($O:$O,$J:$J,J192)+SUMIFS($P:$P,$J:$J,J192)+SUMIFS($Q:$Q,$J:$J,J192),"")</f>
        <v>41962.5</v>
      </c>
      <c r="S192" s="10">
        <v>41962.5</v>
      </c>
      <c r="T192" s="11" t="str">
        <f>IFERROR(INDEX(AD:AD,MATCH(J192,J:J,0)),"")</f>
        <v>Ok</v>
      </c>
      <c r="U192" s="12">
        <v>45257</v>
      </c>
      <c r="V192" s="10">
        <v>2756.25</v>
      </c>
      <c r="W192" s="10" t="str">
        <f t="shared" ref="W192:W193" si="64">IF(OR(S192="",V192=""),"N/A",IF(S192&lt;&gt;V192,"Short Paid","Not Paid"))</f>
        <v>Short Paid</v>
      </c>
      <c r="X192" t="s">
        <v>207</v>
      </c>
      <c r="Y192" t="s">
        <v>198</v>
      </c>
      <c r="Z192">
        <v>100214</v>
      </c>
      <c r="AA192" t="s">
        <v>640</v>
      </c>
      <c r="AB192" t="s">
        <v>254</v>
      </c>
      <c r="AC192" s="9">
        <v>2</v>
      </c>
      <c r="AD192" s="9" t="str">
        <f t="shared" ref="AD192:AD193" si="65">IF(AND(R192="",S192=""),"N/A",IF(R192=S192,"Ok","Check"))</f>
        <v>Ok</v>
      </c>
      <c r="AE192" s="11">
        <f t="shared" ref="AE192" si="66">R192-S192</f>
        <v>0</v>
      </c>
    </row>
    <row r="193" spans="1:31" x14ac:dyDescent="0.3">
      <c r="A193">
        <v>66</v>
      </c>
      <c r="B193">
        <v>4646029</v>
      </c>
      <c r="C193" t="s">
        <v>91</v>
      </c>
      <c r="D193">
        <v>1422097</v>
      </c>
      <c r="E193" t="s">
        <v>184</v>
      </c>
      <c r="F193" t="s">
        <v>17</v>
      </c>
      <c r="G193" t="s">
        <v>302</v>
      </c>
      <c r="H193" t="s">
        <v>303</v>
      </c>
      <c r="I193" t="s">
        <v>653</v>
      </c>
      <c r="J193">
        <v>51125249803</v>
      </c>
      <c r="K193" t="s">
        <v>783</v>
      </c>
      <c r="L193" t="s">
        <v>952</v>
      </c>
      <c r="M193">
        <v>1</v>
      </c>
      <c r="N193" s="10">
        <v>1800</v>
      </c>
      <c r="O193" s="10">
        <f t="shared" si="63"/>
        <v>1800</v>
      </c>
      <c r="P193" s="10" t="s">
        <v>1062</v>
      </c>
      <c r="Q193" s="10" t="s">
        <v>1062</v>
      </c>
      <c r="R193" s="10" t="str">
        <f>IF(COUNTIF($J$2:J193,J193)=1,SUMIFS($O:$O,$J:$J,J193)+SUMIFS($P:$P,$J:$J,J193)+SUMIFS($Q:$Q,$J:$J,J193),"")</f>
        <v/>
      </c>
      <c r="S193" s="10" t="s">
        <v>1062</v>
      </c>
      <c r="T193" s="11" t="str">
        <f>IFERROR(INDEX(AD:AD,MATCH(J193,J:J,0)),"")</f>
        <v>Ok</v>
      </c>
      <c r="U193" s="12">
        <v>45257</v>
      </c>
      <c r="V193" s="10">
        <v>2756.25</v>
      </c>
      <c r="W193" s="10" t="str">
        <f t="shared" si="64"/>
        <v>N/A</v>
      </c>
      <c r="X193" t="s">
        <v>207</v>
      </c>
      <c r="Y193" t="s">
        <v>198</v>
      </c>
      <c r="Z193">
        <v>100214</v>
      </c>
      <c r="AA193" t="s">
        <v>640</v>
      </c>
      <c r="AB193" t="s">
        <v>254</v>
      </c>
      <c r="AC193" s="9">
        <v>2</v>
      </c>
      <c r="AD193" s="9" t="str">
        <f t="shared" si="65"/>
        <v>N/A</v>
      </c>
      <c r="AE193" s="11" t="e">
        <f t="shared" ref="AE193" si="67">R193-S193</f>
        <v>#VALUE!</v>
      </c>
    </row>
    <row r="194" spans="1:31" x14ac:dyDescent="0.3">
      <c r="A194">
        <v>86</v>
      </c>
      <c r="B194">
        <v>4601504</v>
      </c>
      <c r="C194" t="s">
        <v>91</v>
      </c>
      <c r="D194">
        <v>1545570</v>
      </c>
      <c r="E194" t="s">
        <v>285</v>
      </c>
      <c r="F194" t="s">
        <v>42</v>
      </c>
      <c r="G194" t="s">
        <v>300</v>
      </c>
      <c r="H194" t="s">
        <v>301</v>
      </c>
      <c r="I194" t="s">
        <v>796</v>
      </c>
      <c r="J194">
        <v>51137278193</v>
      </c>
      <c r="K194" t="s">
        <v>834</v>
      </c>
      <c r="L194" t="s">
        <v>833</v>
      </c>
      <c r="M194">
        <v>40000</v>
      </c>
      <c r="N194" s="10">
        <v>1.6049999999999998E-2</v>
      </c>
      <c r="O194" s="10">
        <f t="shared" ref="O194:O195" si="68">M194*N194</f>
        <v>641.99999999999989</v>
      </c>
      <c r="P194" s="10">
        <v>0</v>
      </c>
      <c r="Q194" s="10">
        <v>435.35</v>
      </c>
      <c r="R194" s="10">
        <f>IF(COUNTIF($J$2:J194,J194)=1,SUMIFS($O:$O,$J:$J,J194)+SUMIFS($P:$P,$J:$J,J194)+SUMIFS($Q:$Q,$J:$J,J194),"")</f>
        <v>2906.54</v>
      </c>
      <c r="S194" s="10">
        <v>2918.38</v>
      </c>
      <c r="T194" s="11" t="str">
        <f>IFERROR(INDEX(AD:AD,MATCH(J194,J:J,0)),"")</f>
        <v>Check</v>
      </c>
      <c r="U194" s="12">
        <v>46053</v>
      </c>
      <c r="V194" s="10">
        <v>435.35</v>
      </c>
      <c r="W194" s="10" t="str">
        <f t="shared" ref="W194:W195" si="69">IF(OR(S194="",V194=""),"N/A",IF(S194&lt;&gt;V194,"Short Paid","Not Paid"))</f>
        <v>Short Paid</v>
      </c>
      <c r="X194" t="s">
        <v>207</v>
      </c>
      <c r="Y194" t="s">
        <v>27</v>
      </c>
      <c r="Z194">
        <v>100234</v>
      </c>
      <c r="AA194" t="s">
        <v>241</v>
      </c>
      <c r="AB194" t="s">
        <v>604</v>
      </c>
      <c r="AC194" s="9">
        <v>2</v>
      </c>
      <c r="AD194" s="9" t="str">
        <f t="shared" ref="AD194:AD195" si="70">IF(AND(R194="",S194=""),"N/A",IF(R194=S194,"Ok","Check"))</f>
        <v>Check</v>
      </c>
      <c r="AE194" s="11">
        <f t="shared" ref="AE194:AE195" si="71">R194-S194</f>
        <v>-11.840000000000146</v>
      </c>
    </row>
    <row r="195" spans="1:31" x14ac:dyDescent="0.3">
      <c r="A195">
        <v>86</v>
      </c>
      <c r="B195">
        <v>4601504</v>
      </c>
      <c r="C195" t="s">
        <v>91</v>
      </c>
      <c r="D195">
        <v>1545570</v>
      </c>
      <c r="E195" t="s">
        <v>285</v>
      </c>
      <c r="F195" t="s">
        <v>42</v>
      </c>
      <c r="G195" t="s">
        <v>300</v>
      </c>
      <c r="H195" t="s">
        <v>301</v>
      </c>
      <c r="I195" t="s">
        <v>859</v>
      </c>
      <c r="J195">
        <v>51137278193</v>
      </c>
      <c r="K195" t="s">
        <v>936</v>
      </c>
      <c r="L195" t="s">
        <v>953</v>
      </c>
      <c r="M195">
        <v>23</v>
      </c>
      <c r="N195" s="10">
        <v>79.53</v>
      </c>
      <c r="O195" s="10">
        <f t="shared" si="68"/>
        <v>1829.19</v>
      </c>
      <c r="P195" s="10" t="s">
        <v>1062</v>
      </c>
      <c r="Q195" s="10" t="s">
        <v>1062</v>
      </c>
      <c r="R195" s="10" t="str">
        <f>IF(COUNTIF($J$2:J195,J195)=1,SUMIFS($O:$O,$J:$J,J195)+SUMIFS($P:$P,$J:$J,J195)+SUMIFS($Q:$Q,$J:$J,J195),"")</f>
        <v/>
      </c>
      <c r="S195" s="10" t="s">
        <v>1062</v>
      </c>
      <c r="T195" s="11" t="str">
        <f>IFERROR(INDEX(AD:AD,MATCH(J195,J:J,0)),"")</f>
        <v>Check</v>
      </c>
      <c r="U195" s="12">
        <v>46053</v>
      </c>
      <c r="V195" s="10">
        <v>435.35</v>
      </c>
      <c r="W195" s="10" t="str">
        <f t="shared" si="69"/>
        <v>N/A</v>
      </c>
      <c r="X195" t="s">
        <v>207</v>
      </c>
      <c r="Y195" t="s">
        <v>27</v>
      </c>
      <c r="Z195">
        <v>100234</v>
      </c>
      <c r="AA195" t="s">
        <v>241</v>
      </c>
      <c r="AB195" t="s">
        <v>604</v>
      </c>
      <c r="AC195" s="9">
        <v>2</v>
      </c>
      <c r="AD195" s="9" t="str">
        <f t="shared" si="70"/>
        <v>N/A</v>
      </c>
      <c r="AE195" s="11" t="e">
        <f t="shared" si="71"/>
        <v>#VALUE!</v>
      </c>
    </row>
    <row r="196" spans="1:31" x14ac:dyDescent="0.3">
      <c r="A196">
        <v>64</v>
      </c>
      <c r="B196">
        <v>4654378</v>
      </c>
      <c r="C196" t="s">
        <v>91</v>
      </c>
      <c r="D196">
        <v>1709146</v>
      </c>
      <c r="E196" t="s">
        <v>271</v>
      </c>
      <c r="F196" t="s">
        <v>19</v>
      </c>
      <c r="G196" t="s">
        <v>304</v>
      </c>
      <c r="H196" t="s">
        <v>305</v>
      </c>
      <c r="I196" t="s">
        <v>685</v>
      </c>
      <c r="J196">
        <v>51141711073</v>
      </c>
      <c r="K196" t="s">
        <v>719</v>
      </c>
      <c r="L196" t="s">
        <v>954</v>
      </c>
      <c r="M196">
        <v>1000</v>
      </c>
      <c r="N196" s="10">
        <v>1.1299999999999999</v>
      </c>
      <c r="O196" s="10">
        <f t="shared" ref="O196:O197" si="72">M196*N196</f>
        <v>1130</v>
      </c>
      <c r="P196" s="10">
        <v>0</v>
      </c>
      <c r="Q196" s="10">
        <v>0</v>
      </c>
      <c r="R196" s="10">
        <f>IF(COUNTIF($J$2:J196,J196)=1,SUMIFS($O:$O,$J:$J,J196)+SUMIFS($P:$P,$J:$J,J196)+SUMIFS($Q:$Q,$J:$J,J196),"")</f>
        <v>1358</v>
      </c>
      <c r="S196" s="10">
        <v>1358</v>
      </c>
      <c r="T196" s="11" t="str">
        <f>IFERROR(INDEX(AD:AD,MATCH(J196,J:J,0)),"")</f>
        <v>Ok</v>
      </c>
      <c r="U196" s="12">
        <v>45994</v>
      </c>
      <c r="V196" s="10">
        <v>1130</v>
      </c>
      <c r="W196" s="10" t="str">
        <f t="shared" ref="W196:W197" si="73">IF(OR(S196="",V196=""),"N/A",IF(S196&lt;&gt;V196,"Short Paid","Not Paid"))</f>
        <v>Short Paid</v>
      </c>
      <c r="X196" t="s">
        <v>207</v>
      </c>
      <c r="Y196" t="s">
        <v>27</v>
      </c>
      <c r="Z196">
        <v>100234</v>
      </c>
      <c r="AA196" t="s">
        <v>241</v>
      </c>
      <c r="AB196" t="s">
        <v>252</v>
      </c>
      <c r="AC196" s="9">
        <v>2</v>
      </c>
      <c r="AD196" s="9" t="str">
        <f t="shared" ref="AD196:AD197" si="74">IF(AND(R196="",S196=""),"N/A",IF(R196=S196,"Ok","Check"))</f>
        <v>Ok</v>
      </c>
      <c r="AE196" s="11">
        <f t="shared" ref="AE196:AE197" si="75">R196-S196</f>
        <v>0</v>
      </c>
    </row>
    <row r="197" spans="1:31" x14ac:dyDescent="0.3">
      <c r="A197">
        <v>64</v>
      </c>
      <c r="B197">
        <v>4654378</v>
      </c>
      <c r="C197" t="s">
        <v>91</v>
      </c>
      <c r="D197">
        <v>1709146</v>
      </c>
      <c r="E197" t="s">
        <v>271</v>
      </c>
      <c r="F197" t="s">
        <v>19</v>
      </c>
      <c r="G197" t="s">
        <v>304</v>
      </c>
      <c r="H197" t="s">
        <v>305</v>
      </c>
      <c r="I197" t="s">
        <v>742</v>
      </c>
      <c r="J197">
        <v>51141711073</v>
      </c>
      <c r="K197" t="s">
        <v>699</v>
      </c>
      <c r="L197" t="s">
        <v>802</v>
      </c>
      <c r="M197">
        <v>12000</v>
      </c>
      <c r="N197" s="10">
        <v>1.9E-2</v>
      </c>
      <c r="O197" s="10">
        <f t="shared" si="72"/>
        <v>228</v>
      </c>
      <c r="P197" s="10" t="s">
        <v>1062</v>
      </c>
      <c r="Q197" s="10" t="s">
        <v>1062</v>
      </c>
      <c r="R197" s="10" t="str">
        <f>IF(COUNTIF($J$2:J197,J197)=1,SUMIFS($O:$O,$J:$J,J197)+SUMIFS($P:$P,$J:$J,J197)+SUMIFS($Q:$Q,$J:$J,J197),"")</f>
        <v/>
      </c>
      <c r="S197" s="10" t="s">
        <v>1062</v>
      </c>
      <c r="T197" s="11" t="str">
        <f>IFERROR(INDEX(AD:AD,MATCH(J197,J:J,0)),"")</f>
        <v>Ok</v>
      </c>
      <c r="U197" s="12">
        <v>45994</v>
      </c>
      <c r="V197" s="10">
        <v>1130</v>
      </c>
      <c r="W197" s="10" t="str">
        <f t="shared" si="73"/>
        <v>N/A</v>
      </c>
      <c r="X197" t="s">
        <v>207</v>
      </c>
      <c r="Y197" t="s">
        <v>27</v>
      </c>
      <c r="Z197">
        <v>100234</v>
      </c>
      <c r="AA197" t="s">
        <v>241</v>
      </c>
      <c r="AB197" t="s">
        <v>252</v>
      </c>
      <c r="AC197" s="9">
        <v>2</v>
      </c>
      <c r="AD197" s="9" t="str">
        <f t="shared" si="74"/>
        <v>N/A</v>
      </c>
      <c r="AE197" s="11" t="e">
        <f t="shared" si="75"/>
        <v>#VALUE!</v>
      </c>
    </row>
    <row r="198" spans="1:31" x14ac:dyDescent="0.3">
      <c r="A198">
        <v>53</v>
      </c>
      <c r="B198">
        <v>4676919</v>
      </c>
      <c r="C198" t="s">
        <v>91</v>
      </c>
      <c r="D198">
        <v>1821790</v>
      </c>
      <c r="E198" t="s">
        <v>288</v>
      </c>
      <c r="F198" t="s">
        <v>20</v>
      </c>
      <c r="G198" t="s">
        <v>306</v>
      </c>
      <c r="H198" t="s">
        <v>307</v>
      </c>
      <c r="I198" t="s">
        <v>840</v>
      </c>
      <c r="J198">
        <v>51143754842</v>
      </c>
      <c r="K198" t="s">
        <v>790</v>
      </c>
      <c r="L198" t="s">
        <v>789</v>
      </c>
      <c r="M198">
        <v>42000</v>
      </c>
      <c r="N198" s="10">
        <v>4.0599999999999997E-2</v>
      </c>
      <c r="O198" s="10">
        <f t="shared" ref="O198:O203" si="76">M198*N198</f>
        <v>1705.1999999999998</v>
      </c>
      <c r="P198" s="10">
        <v>85.8</v>
      </c>
      <c r="Q198" s="10">
        <v>0</v>
      </c>
      <c r="R198" s="10">
        <f>IF(COUNTIF($J$2:J198,J198)=1,SUMIFS($O:$O,$J:$J,J198)+SUMIFS($P:$P,$J:$J,J198)+SUMIFS($Q:$Q,$J:$J,J198),"")</f>
        <v>2451</v>
      </c>
      <c r="S198" s="10">
        <v>2451</v>
      </c>
      <c r="T198" s="11" t="str">
        <f>IFERROR(INDEX(AD:AD,MATCH(J198,J:J,0)),"")</f>
        <v>Ok</v>
      </c>
      <c r="U198" s="12">
        <v>46035</v>
      </c>
      <c r="V198" s="10">
        <v>745.8</v>
      </c>
      <c r="W198" s="10" t="str">
        <f t="shared" ref="W198:W203" si="77">IF(OR(S198="",V198=""),"N/A",IF(S198&lt;&gt;V198,"Short Paid","Not Paid"))</f>
        <v>Short Paid</v>
      </c>
      <c r="X198" t="s">
        <v>207</v>
      </c>
      <c r="Y198" t="s">
        <v>27</v>
      </c>
      <c r="Z198">
        <v>100244</v>
      </c>
      <c r="AA198" t="s">
        <v>214</v>
      </c>
      <c r="AB198" t="s">
        <v>249</v>
      </c>
      <c r="AC198" s="9">
        <v>2</v>
      </c>
      <c r="AD198" s="9" t="str">
        <f t="shared" ref="AD198:AD203" si="78">IF(AND(R198="",S198=""),"N/A",IF(R198=S198,"Ok","Check"))</f>
        <v>Ok</v>
      </c>
      <c r="AE198" s="11">
        <f t="shared" ref="AE198:AE203" si="79">R198-S198</f>
        <v>0</v>
      </c>
    </row>
    <row r="199" spans="1:31" x14ac:dyDescent="0.3">
      <c r="A199">
        <v>53</v>
      </c>
      <c r="B199">
        <v>4676919</v>
      </c>
      <c r="C199" t="s">
        <v>91</v>
      </c>
      <c r="D199">
        <v>1821790</v>
      </c>
      <c r="E199" t="s">
        <v>288</v>
      </c>
      <c r="F199" t="s">
        <v>20</v>
      </c>
      <c r="G199" t="s">
        <v>306</v>
      </c>
      <c r="H199" t="s">
        <v>307</v>
      </c>
      <c r="I199" t="s">
        <v>684</v>
      </c>
      <c r="J199">
        <v>51143754842</v>
      </c>
      <c r="K199" t="s">
        <v>929</v>
      </c>
      <c r="L199" t="s">
        <v>955</v>
      </c>
      <c r="M199">
        <v>3000</v>
      </c>
      <c r="N199" s="10">
        <v>0.22</v>
      </c>
      <c r="O199" s="10">
        <f t="shared" si="76"/>
        <v>660</v>
      </c>
      <c r="P199" s="10" t="s">
        <v>1062</v>
      </c>
      <c r="Q199" s="10" t="s">
        <v>1062</v>
      </c>
      <c r="R199" s="10" t="str">
        <f>IF(COUNTIF($J$2:J199,J199)=1,SUMIFS($O:$O,$J:$J,J199)+SUMIFS($P:$P,$J:$J,J199)+SUMIFS($Q:$Q,$J:$J,J199),"")</f>
        <v/>
      </c>
      <c r="S199" s="10" t="s">
        <v>1062</v>
      </c>
      <c r="T199" s="11" t="str">
        <f>IFERROR(INDEX(AD:AD,MATCH(J199,J:J,0)),"")</f>
        <v>Ok</v>
      </c>
      <c r="U199" s="12">
        <v>46035</v>
      </c>
      <c r="V199" s="10">
        <v>745.8</v>
      </c>
      <c r="W199" s="10" t="str">
        <f t="shared" si="77"/>
        <v>N/A</v>
      </c>
      <c r="X199" t="s">
        <v>207</v>
      </c>
      <c r="Y199" t="s">
        <v>27</v>
      </c>
      <c r="Z199">
        <v>100244</v>
      </c>
      <c r="AA199" t="s">
        <v>214</v>
      </c>
      <c r="AB199" t="s">
        <v>249</v>
      </c>
      <c r="AC199" s="9">
        <v>2</v>
      </c>
      <c r="AD199" s="9" t="str">
        <f t="shared" si="78"/>
        <v>N/A</v>
      </c>
      <c r="AE199" s="11" t="e">
        <f t="shared" si="79"/>
        <v>#VALUE!</v>
      </c>
    </row>
    <row r="200" spans="1:31" x14ac:dyDescent="0.3">
      <c r="A200">
        <v>49</v>
      </c>
      <c r="B200">
        <v>4689720</v>
      </c>
      <c r="C200" t="s">
        <v>91</v>
      </c>
      <c r="D200">
        <v>1262308</v>
      </c>
      <c r="E200" t="s">
        <v>268</v>
      </c>
      <c r="F200" t="s">
        <v>18</v>
      </c>
      <c r="G200" t="s">
        <v>310</v>
      </c>
      <c r="H200" t="s">
        <v>311</v>
      </c>
      <c r="I200" t="s">
        <v>745</v>
      </c>
      <c r="J200">
        <v>51144460886</v>
      </c>
      <c r="K200" t="s">
        <v>888</v>
      </c>
      <c r="L200" t="s">
        <v>956</v>
      </c>
      <c r="M200">
        <v>600</v>
      </c>
      <c r="N200" s="10">
        <v>22.02</v>
      </c>
      <c r="O200" s="10">
        <f t="shared" si="76"/>
        <v>13212</v>
      </c>
      <c r="P200" s="10">
        <v>924.84</v>
      </c>
      <c r="Q200" s="10">
        <v>0</v>
      </c>
      <c r="R200" s="10">
        <f>IF(COUNTIF($J$2:J200,J200)=1,SUMIFS($O:$O,$J:$J,J200)+SUMIFS($P:$P,$J:$J,J200)+SUMIFS($Q:$Q,$J:$J,J200),"")</f>
        <v>18675.84</v>
      </c>
      <c r="S200" s="10">
        <v>18675.84</v>
      </c>
      <c r="T200" s="11" t="str">
        <f>IFERROR(INDEX(AD:AD,MATCH(J200,J:J,0)),"")</f>
        <v>Ok</v>
      </c>
      <c r="U200" s="12">
        <v>46050</v>
      </c>
      <c r="V200" s="10">
        <v>2640.84</v>
      </c>
      <c r="W200" s="10" t="str">
        <f t="shared" si="77"/>
        <v>Short Paid</v>
      </c>
      <c r="X200" t="s">
        <v>207</v>
      </c>
      <c r="Y200" t="s">
        <v>27</v>
      </c>
      <c r="Z200">
        <v>100164</v>
      </c>
      <c r="AA200" t="s">
        <v>234</v>
      </c>
      <c r="AB200" t="s">
        <v>251</v>
      </c>
      <c r="AC200" s="9">
        <v>2</v>
      </c>
      <c r="AD200" s="9" t="str">
        <f t="shared" si="78"/>
        <v>Ok</v>
      </c>
      <c r="AE200" s="11">
        <f t="shared" si="79"/>
        <v>0</v>
      </c>
    </row>
    <row r="201" spans="1:31" x14ac:dyDescent="0.3">
      <c r="A201">
        <v>49</v>
      </c>
      <c r="B201">
        <v>4689720</v>
      </c>
      <c r="C201" t="s">
        <v>91</v>
      </c>
      <c r="D201">
        <v>1262308</v>
      </c>
      <c r="E201" t="s">
        <v>268</v>
      </c>
      <c r="F201" t="s">
        <v>18</v>
      </c>
      <c r="G201" t="s">
        <v>310</v>
      </c>
      <c r="H201" t="s">
        <v>311</v>
      </c>
      <c r="I201" t="s">
        <v>750</v>
      </c>
      <c r="J201">
        <v>51144460886</v>
      </c>
      <c r="K201" t="s">
        <v>876</v>
      </c>
      <c r="L201" t="s">
        <v>957</v>
      </c>
      <c r="M201">
        <v>100000</v>
      </c>
      <c r="N201" s="10">
        <v>4.5390000000000007E-2</v>
      </c>
      <c r="O201" s="10">
        <f t="shared" si="76"/>
        <v>4539.0000000000009</v>
      </c>
      <c r="P201" s="10" t="s">
        <v>1062</v>
      </c>
      <c r="Q201" s="10" t="s">
        <v>1062</v>
      </c>
      <c r="R201" s="10" t="str">
        <f>IF(COUNTIF($J$2:J201,J201)=1,SUMIFS($O:$O,$J:$J,J201)+SUMIFS($P:$P,$J:$J,J201)+SUMIFS($Q:$Q,$J:$J,J201),"")</f>
        <v/>
      </c>
      <c r="S201" s="10" t="s">
        <v>1062</v>
      </c>
      <c r="T201" s="11" t="str">
        <f>IFERROR(INDEX(AD:AD,MATCH(J201,J:J,0)),"")</f>
        <v>Ok</v>
      </c>
      <c r="U201" s="12">
        <v>46050</v>
      </c>
      <c r="V201" s="10">
        <v>2640.84</v>
      </c>
      <c r="W201" s="10" t="str">
        <f t="shared" si="77"/>
        <v>N/A</v>
      </c>
      <c r="X201" t="s">
        <v>207</v>
      </c>
      <c r="Y201" t="s">
        <v>27</v>
      </c>
      <c r="Z201">
        <v>100164</v>
      </c>
      <c r="AA201" t="s">
        <v>234</v>
      </c>
      <c r="AB201" t="s">
        <v>251</v>
      </c>
      <c r="AC201" s="9">
        <v>2</v>
      </c>
      <c r="AD201" s="9" t="str">
        <f t="shared" si="78"/>
        <v>N/A</v>
      </c>
      <c r="AE201" s="11" t="e">
        <f t="shared" si="79"/>
        <v>#VALUE!</v>
      </c>
    </row>
    <row r="202" spans="1:31" x14ac:dyDescent="0.3">
      <c r="A202">
        <v>50</v>
      </c>
      <c r="B202">
        <v>4687215</v>
      </c>
      <c r="C202" t="s">
        <v>91</v>
      </c>
      <c r="D202">
        <v>1262308</v>
      </c>
      <c r="E202" t="s">
        <v>268</v>
      </c>
      <c r="F202" t="s">
        <v>18</v>
      </c>
      <c r="G202" t="s">
        <v>308</v>
      </c>
      <c r="H202" t="s">
        <v>309</v>
      </c>
      <c r="I202" t="s">
        <v>761</v>
      </c>
      <c r="J202">
        <v>51144559865</v>
      </c>
      <c r="K202" t="s">
        <v>888</v>
      </c>
      <c r="L202" t="s">
        <v>956</v>
      </c>
      <c r="M202">
        <v>200</v>
      </c>
      <c r="N202" s="10">
        <v>22.02</v>
      </c>
      <c r="O202" s="10">
        <f t="shared" si="76"/>
        <v>4404</v>
      </c>
      <c r="P202" s="10">
        <v>616.55999999999995</v>
      </c>
      <c r="Q202" s="10">
        <v>0</v>
      </c>
      <c r="R202" s="10">
        <f>IF(COUNTIF($J$2:J202,J202)=1,SUMIFS($O:$O,$J:$J,J202)+SUMIFS($P:$P,$J:$J,J202)+SUMIFS($Q:$Q,$J:$J,J202),"")</f>
        <v>12158.26</v>
      </c>
      <c r="S202" s="10">
        <v>16562.259999999998</v>
      </c>
      <c r="T202" s="11" t="str">
        <f>IFERROR(INDEX(AD:AD,MATCH(J202,J:J,0)),"")</f>
        <v>Check</v>
      </c>
      <c r="U202" s="12">
        <v>46045</v>
      </c>
      <c r="V202" s="10">
        <v>1760.56</v>
      </c>
      <c r="W202" s="10" t="str">
        <f t="shared" si="77"/>
        <v>Short Paid</v>
      </c>
      <c r="X202" t="s">
        <v>207</v>
      </c>
      <c r="Y202" t="s">
        <v>27</v>
      </c>
      <c r="Z202">
        <v>100194</v>
      </c>
      <c r="AA202" t="s">
        <v>231</v>
      </c>
      <c r="AB202" t="s">
        <v>251</v>
      </c>
      <c r="AC202" s="9">
        <v>2</v>
      </c>
      <c r="AD202" s="9" t="str">
        <f t="shared" si="78"/>
        <v>Check</v>
      </c>
      <c r="AE202" s="11">
        <f t="shared" si="79"/>
        <v>-4403.9999999999982</v>
      </c>
    </row>
    <row r="203" spans="1:31" x14ac:dyDescent="0.3">
      <c r="A203">
        <v>50</v>
      </c>
      <c r="B203">
        <v>4687215</v>
      </c>
      <c r="C203" t="s">
        <v>91</v>
      </c>
      <c r="D203">
        <v>1262308</v>
      </c>
      <c r="E203" t="s">
        <v>268</v>
      </c>
      <c r="F203" t="s">
        <v>18</v>
      </c>
      <c r="G203" t="s">
        <v>308</v>
      </c>
      <c r="H203" t="s">
        <v>309</v>
      </c>
      <c r="I203" t="s">
        <v>672</v>
      </c>
      <c r="J203">
        <v>51144559865</v>
      </c>
      <c r="K203" t="s">
        <v>831</v>
      </c>
      <c r="L203" t="s">
        <v>861</v>
      </c>
      <c r="M203">
        <v>1000</v>
      </c>
      <c r="N203" s="10">
        <v>7.1376999999999997</v>
      </c>
      <c r="O203" s="10">
        <f t="shared" si="76"/>
        <v>7137.7</v>
      </c>
      <c r="P203" s="10" t="s">
        <v>1062</v>
      </c>
      <c r="Q203" s="10" t="s">
        <v>1062</v>
      </c>
      <c r="R203" s="10" t="str">
        <f>IF(COUNTIF($J$2:J203,J203)=1,SUMIFS($O:$O,$J:$J,J203)+SUMIFS($P:$P,$J:$J,J203)+SUMIFS($Q:$Q,$J:$J,J203),"")</f>
        <v/>
      </c>
      <c r="S203" s="10" t="s">
        <v>1062</v>
      </c>
      <c r="T203" s="11" t="str">
        <f>IFERROR(INDEX(AD:AD,MATCH(J203,J:J,0)),"")</f>
        <v>Check</v>
      </c>
      <c r="U203" s="12">
        <v>46045</v>
      </c>
      <c r="V203" s="10">
        <v>1760.56</v>
      </c>
      <c r="W203" s="10" t="str">
        <f t="shared" si="77"/>
        <v>N/A</v>
      </c>
      <c r="X203" t="s">
        <v>207</v>
      </c>
      <c r="Y203" t="s">
        <v>27</v>
      </c>
      <c r="Z203">
        <v>100194</v>
      </c>
      <c r="AA203" t="s">
        <v>231</v>
      </c>
      <c r="AB203" t="s">
        <v>251</v>
      </c>
      <c r="AC203" s="9">
        <v>2</v>
      </c>
      <c r="AD203" s="9" t="str">
        <f t="shared" si="78"/>
        <v>N/A</v>
      </c>
      <c r="AE203" s="11" t="e">
        <f t="shared" si="79"/>
        <v>#VALUE!</v>
      </c>
    </row>
    <row r="204" spans="1:31" x14ac:dyDescent="0.3">
      <c r="A204">
        <v>42</v>
      </c>
      <c r="B204">
        <v>4704747</v>
      </c>
      <c r="C204" t="s">
        <v>91</v>
      </c>
      <c r="D204">
        <v>1422097</v>
      </c>
      <c r="E204" t="s">
        <v>184</v>
      </c>
      <c r="F204" t="s">
        <v>19</v>
      </c>
      <c r="G204" t="s">
        <v>312</v>
      </c>
      <c r="H204" t="s">
        <v>313</v>
      </c>
      <c r="I204" t="s">
        <v>680</v>
      </c>
      <c r="J204">
        <v>51146265602</v>
      </c>
      <c r="K204" t="s">
        <v>707</v>
      </c>
      <c r="L204" t="s">
        <v>823</v>
      </c>
      <c r="M204">
        <v>5000</v>
      </c>
      <c r="N204" s="10">
        <v>0.24890000000000001</v>
      </c>
      <c r="O204" s="10">
        <f t="shared" ref="O204:O205" si="80">M204*N204</f>
        <v>1244.5</v>
      </c>
      <c r="P204" s="10">
        <v>0</v>
      </c>
      <c r="Q204" s="10">
        <v>22.8</v>
      </c>
      <c r="R204" s="10">
        <f>IF(COUNTIF($J$2:J204,J204)=1,SUMIFS($O:$O,$J:$J,J204)+SUMIFS($P:$P,$J:$J,J204)+SUMIFS($Q:$Q,$J:$J,J204),"")</f>
        <v>1387.3</v>
      </c>
      <c r="S204" s="10">
        <v>1387.3</v>
      </c>
      <c r="T204" s="11" t="str">
        <f>IFERROR(INDEX(AD:AD,MATCH(J204,J:J,0)),"")</f>
        <v>Ok</v>
      </c>
      <c r="U204" s="12">
        <v>46086</v>
      </c>
      <c r="V204" s="10">
        <v>22.8</v>
      </c>
      <c r="W204" s="10" t="str">
        <f t="shared" ref="W204:W205" si="81">IF(OR(S204="",V204=""),"N/A",IF(S204&lt;&gt;V204,"Short Paid","Not Paid"))</f>
        <v>Short Paid</v>
      </c>
      <c r="X204" t="s">
        <v>207</v>
      </c>
      <c r="Y204" t="s">
        <v>27</v>
      </c>
      <c r="Z204">
        <v>100244</v>
      </c>
      <c r="AA204" t="s">
        <v>214</v>
      </c>
      <c r="AB204" t="s">
        <v>252</v>
      </c>
      <c r="AC204" s="9">
        <v>2</v>
      </c>
      <c r="AD204" s="9" t="str">
        <f t="shared" ref="AD204:AD205" si="82">IF(AND(R204="",S204=""),"N/A",IF(R204=S204,"Ok","Check"))</f>
        <v>Ok</v>
      </c>
      <c r="AE204" s="11">
        <f t="shared" ref="AE204:AE205" si="83">R204-S204</f>
        <v>0</v>
      </c>
    </row>
    <row r="205" spans="1:31" x14ac:dyDescent="0.3">
      <c r="A205">
        <v>42</v>
      </c>
      <c r="B205">
        <v>4704747</v>
      </c>
      <c r="C205" t="s">
        <v>91</v>
      </c>
      <c r="D205">
        <v>1422097</v>
      </c>
      <c r="E205" t="s">
        <v>184</v>
      </c>
      <c r="F205" t="s">
        <v>19</v>
      </c>
      <c r="G205" t="s">
        <v>312</v>
      </c>
      <c r="H205" t="s">
        <v>313</v>
      </c>
      <c r="I205" t="s">
        <v>702</v>
      </c>
      <c r="J205">
        <v>51146265602</v>
      </c>
      <c r="K205" t="s">
        <v>699</v>
      </c>
      <c r="L205" t="s">
        <v>958</v>
      </c>
      <c r="M205">
        <v>2000</v>
      </c>
      <c r="N205" s="10">
        <v>0.06</v>
      </c>
      <c r="O205" s="10">
        <f t="shared" si="80"/>
        <v>120</v>
      </c>
      <c r="P205" s="10" t="s">
        <v>1062</v>
      </c>
      <c r="Q205" s="10" t="s">
        <v>1062</v>
      </c>
      <c r="R205" s="10" t="str">
        <f>IF(COUNTIF($J$2:J205,J205)=1,SUMIFS($O:$O,$J:$J,J205)+SUMIFS($P:$P,$J:$J,J205)+SUMIFS($Q:$Q,$J:$J,J205),"")</f>
        <v/>
      </c>
      <c r="S205" s="10" t="s">
        <v>1062</v>
      </c>
      <c r="T205" s="11" t="str">
        <f>IFERROR(INDEX(AD:AD,MATCH(J205,J:J,0)),"")</f>
        <v>Ok</v>
      </c>
      <c r="U205" s="12">
        <v>46086</v>
      </c>
      <c r="V205" s="10">
        <v>22.8</v>
      </c>
      <c r="W205" s="10" t="str">
        <f t="shared" si="81"/>
        <v>N/A</v>
      </c>
      <c r="X205" t="s">
        <v>207</v>
      </c>
      <c r="Y205" t="s">
        <v>27</v>
      </c>
      <c r="Z205">
        <v>100244</v>
      </c>
      <c r="AA205" t="s">
        <v>214</v>
      </c>
      <c r="AB205" t="s">
        <v>252</v>
      </c>
      <c r="AC205" s="9">
        <v>2</v>
      </c>
      <c r="AD205" s="9" t="str">
        <f t="shared" si="82"/>
        <v>N/A</v>
      </c>
      <c r="AE205" s="11" t="e">
        <f t="shared" si="83"/>
        <v>#VALUE!</v>
      </c>
    </row>
    <row r="206" spans="1:31" x14ac:dyDescent="0.3">
      <c r="A206">
        <v>42</v>
      </c>
      <c r="B206">
        <v>4701686</v>
      </c>
      <c r="C206" t="s">
        <v>91</v>
      </c>
      <c r="D206">
        <v>1262308</v>
      </c>
      <c r="E206" t="s">
        <v>268</v>
      </c>
      <c r="F206" t="s">
        <v>20</v>
      </c>
      <c r="G206" t="s">
        <v>573</v>
      </c>
      <c r="H206" t="s">
        <v>574</v>
      </c>
      <c r="I206" t="s">
        <v>821</v>
      </c>
      <c r="J206">
        <v>51147960163</v>
      </c>
      <c r="K206" t="s">
        <v>740</v>
      </c>
      <c r="L206" t="s">
        <v>960</v>
      </c>
      <c r="M206">
        <v>14000</v>
      </c>
      <c r="N206" s="10">
        <v>0.10059999999999999</v>
      </c>
      <c r="O206" s="10">
        <f t="shared" ref="O206:O207" si="84">M206*N206</f>
        <v>1408.3999999999999</v>
      </c>
      <c r="P206" s="10">
        <v>0</v>
      </c>
      <c r="Q206" s="10">
        <v>267.60000000000002</v>
      </c>
      <c r="R206" s="10">
        <f>IF(COUNTIF($J$2:J206,J206)=1,SUMIFS($O:$O,$J:$J,J206)+SUMIFS($P:$P,$J:$J,J206)+SUMIFS($Q:$Q,$J:$J,J206),"")</f>
        <v>2163.5</v>
      </c>
      <c r="S206" s="10">
        <v>2651</v>
      </c>
      <c r="T206" s="11" t="str">
        <f>IFERROR(INDEX(AD:AD,MATCH(J206,J:J,0)),"")</f>
        <v>Check</v>
      </c>
      <c r="U206" s="12">
        <v>46034</v>
      </c>
      <c r="V206" s="10">
        <v>1676</v>
      </c>
      <c r="W206" s="10" t="str">
        <f t="shared" ref="W206:W207" si="85">IF(OR(S206="",V206=""),"N/A",IF(S206&lt;&gt;V206,"Short Paid","Not Paid"))</f>
        <v>Short Paid</v>
      </c>
      <c r="X206" t="s">
        <v>207</v>
      </c>
      <c r="Y206" t="s">
        <v>27</v>
      </c>
      <c r="Z206">
        <v>100234</v>
      </c>
      <c r="AA206" t="s">
        <v>241</v>
      </c>
      <c r="AB206" t="s">
        <v>249</v>
      </c>
      <c r="AC206" s="9">
        <v>2</v>
      </c>
      <c r="AD206" s="9" t="str">
        <f t="shared" ref="AD206:AD207" si="86">IF(AND(R206="",S206=""),"N/A",IF(R206=S206,"Ok","Check"))</f>
        <v>Check</v>
      </c>
      <c r="AE206" s="11">
        <f t="shared" ref="AE206:AE207" si="87">R206-S206</f>
        <v>-487.5</v>
      </c>
    </row>
    <row r="207" spans="1:31" x14ac:dyDescent="0.3">
      <c r="A207">
        <v>42</v>
      </c>
      <c r="B207">
        <v>4701686</v>
      </c>
      <c r="C207" t="s">
        <v>91</v>
      </c>
      <c r="D207">
        <v>1262308</v>
      </c>
      <c r="E207" t="s">
        <v>268</v>
      </c>
      <c r="F207" t="s">
        <v>20</v>
      </c>
      <c r="G207" t="s">
        <v>573</v>
      </c>
      <c r="H207" t="s">
        <v>574</v>
      </c>
      <c r="I207" t="s">
        <v>684</v>
      </c>
      <c r="J207">
        <v>51147960163</v>
      </c>
      <c r="K207" t="s">
        <v>697</v>
      </c>
      <c r="L207" t="s">
        <v>961</v>
      </c>
      <c r="M207">
        <v>2500</v>
      </c>
      <c r="N207" s="10">
        <v>0.19500000000000001</v>
      </c>
      <c r="O207" s="10">
        <f t="shared" si="84"/>
        <v>487.5</v>
      </c>
      <c r="P207" s="10" t="s">
        <v>1062</v>
      </c>
      <c r="Q207" s="10" t="s">
        <v>1062</v>
      </c>
      <c r="R207" s="10" t="str">
        <f>IF(COUNTIF($J$2:J207,J207)=1,SUMIFS($O:$O,$J:$J,J207)+SUMIFS($P:$P,$J:$J,J207)+SUMIFS($Q:$Q,$J:$J,J207),"")</f>
        <v/>
      </c>
      <c r="S207" s="10" t="s">
        <v>1062</v>
      </c>
      <c r="T207" s="11" t="str">
        <f>IFERROR(INDEX(AD:AD,MATCH(J207,J:J,0)),"")</f>
        <v>Check</v>
      </c>
      <c r="U207" s="12">
        <v>46034</v>
      </c>
      <c r="V207" s="10">
        <v>1676</v>
      </c>
      <c r="W207" s="10" t="str">
        <f t="shared" si="85"/>
        <v>N/A</v>
      </c>
      <c r="X207" t="s">
        <v>207</v>
      </c>
      <c r="Y207" t="s">
        <v>27</v>
      </c>
      <c r="Z207">
        <v>100234</v>
      </c>
      <c r="AA207" t="s">
        <v>241</v>
      </c>
      <c r="AB207" t="s">
        <v>249</v>
      </c>
      <c r="AC207" s="9">
        <v>2</v>
      </c>
      <c r="AD207" s="9" t="str">
        <f t="shared" si="86"/>
        <v>N/A</v>
      </c>
      <c r="AE207" s="11" t="e">
        <f t="shared" si="87"/>
        <v>#VALUE!</v>
      </c>
    </row>
    <row r="208" spans="1:31" x14ac:dyDescent="0.3">
      <c r="A208">
        <v>38</v>
      </c>
      <c r="B208">
        <v>4729793</v>
      </c>
      <c r="C208" t="s">
        <v>91</v>
      </c>
      <c r="D208">
        <v>1099677</v>
      </c>
      <c r="E208" t="s">
        <v>290</v>
      </c>
      <c r="F208" t="s">
        <v>20</v>
      </c>
      <c r="G208" t="s">
        <v>316</v>
      </c>
      <c r="H208" t="s">
        <v>317</v>
      </c>
      <c r="I208" t="s">
        <v>772</v>
      </c>
      <c r="J208">
        <v>51148683842</v>
      </c>
      <c r="K208" t="s">
        <v>681</v>
      </c>
      <c r="L208" t="s">
        <v>962</v>
      </c>
      <c r="M208">
        <v>400</v>
      </c>
      <c r="N208" s="10">
        <v>11.11</v>
      </c>
      <c r="O208" s="10">
        <f t="shared" ref="O208:O211" si="88">M208*N208</f>
        <v>4444</v>
      </c>
      <c r="P208" s="10">
        <v>259.43</v>
      </c>
      <c r="Q208" s="10">
        <v>0</v>
      </c>
      <c r="R208" s="10">
        <f>IF(COUNTIF($J$2:J208,J208)=1,SUMIFS($O:$O,$J:$J,J208)+SUMIFS($P:$P,$J:$J,J208)+SUMIFS($Q:$Q,$J:$J,J208),"")</f>
        <v>7272.5300000000007</v>
      </c>
      <c r="S208" s="10">
        <v>7291.84</v>
      </c>
      <c r="T208" s="11" t="str">
        <f>IFERROR(INDEX(AD:AD,MATCH(J208,J:J,0)),"")</f>
        <v>Check</v>
      </c>
      <c r="U208" s="12">
        <v>46129</v>
      </c>
      <c r="V208" s="10">
        <v>4722.74</v>
      </c>
      <c r="W208" s="10" t="str">
        <f t="shared" ref="W208:W211" si="89">IF(OR(S208="",V208=""),"N/A",IF(S208&lt;&gt;V208,"Short Paid","Not Paid"))</f>
        <v>Short Paid</v>
      </c>
      <c r="X208" t="s">
        <v>207</v>
      </c>
      <c r="Y208" t="s">
        <v>27</v>
      </c>
      <c r="Z208">
        <v>100244</v>
      </c>
      <c r="AA208" t="s">
        <v>214</v>
      </c>
      <c r="AB208" t="s">
        <v>249</v>
      </c>
      <c r="AC208" s="9">
        <v>2</v>
      </c>
      <c r="AD208" s="9" t="str">
        <f t="shared" ref="AD208:AD211" si="90">IF(AND(R208="",S208=""),"N/A",IF(R208=S208,"Ok","Check"))</f>
        <v>Check</v>
      </c>
      <c r="AE208" s="11">
        <f t="shared" ref="AE208:AE213" si="91">R208-S208</f>
        <v>-19.309999999999491</v>
      </c>
    </row>
    <row r="209" spans="1:31" x14ac:dyDescent="0.3">
      <c r="A209">
        <v>38</v>
      </c>
      <c r="B209">
        <v>4729793</v>
      </c>
      <c r="C209" t="s">
        <v>91</v>
      </c>
      <c r="D209">
        <v>1099677</v>
      </c>
      <c r="E209" t="s">
        <v>290</v>
      </c>
      <c r="F209" t="s">
        <v>20</v>
      </c>
      <c r="G209" t="s">
        <v>316</v>
      </c>
      <c r="H209" t="s">
        <v>317</v>
      </c>
      <c r="I209" t="s">
        <v>797</v>
      </c>
      <c r="J209">
        <v>51148683842</v>
      </c>
      <c r="K209" t="s">
        <v>756</v>
      </c>
      <c r="L209" t="s">
        <v>755</v>
      </c>
      <c r="M209">
        <v>23000</v>
      </c>
      <c r="N209" s="10">
        <v>0.11169999999999999</v>
      </c>
      <c r="O209" s="10">
        <f t="shared" si="88"/>
        <v>2569.1</v>
      </c>
      <c r="P209" s="10" t="s">
        <v>1062</v>
      </c>
      <c r="Q209" s="10" t="s">
        <v>1062</v>
      </c>
      <c r="R209" s="10" t="str">
        <f>IF(COUNTIF($J$2:J209,J209)=1,SUMIFS($O:$O,$J:$J,J209)+SUMIFS($P:$P,$J:$J,J209)+SUMIFS($Q:$Q,$J:$J,J209),"")</f>
        <v/>
      </c>
      <c r="S209" s="10" t="s">
        <v>1062</v>
      </c>
      <c r="T209" s="11" t="str">
        <f>IFERROR(INDEX(AD:AD,MATCH(J209,J:J,0)),"")</f>
        <v>Check</v>
      </c>
      <c r="U209" s="12">
        <v>46129</v>
      </c>
      <c r="V209" s="10">
        <v>4722.74</v>
      </c>
      <c r="W209" s="10" t="str">
        <f t="shared" si="89"/>
        <v>N/A</v>
      </c>
      <c r="X209" t="s">
        <v>207</v>
      </c>
      <c r="Y209" t="s">
        <v>27</v>
      </c>
      <c r="Z209">
        <v>100244</v>
      </c>
      <c r="AA209" t="s">
        <v>214</v>
      </c>
      <c r="AB209" t="s">
        <v>249</v>
      </c>
      <c r="AC209" s="9">
        <v>2</v>
      </c>
      <c r="AD209" s="9" t="str">
        <f t="shared" si="90"/>
        <v>N/A</v>
      </c>
      <c r="AE209" s="11" t="e">
        <f t="shared" si="91"/>
        <v>#VALUE!</v>
      </c>
    </row>
    <row r="210" spans="1:31" x14ac:dyDescent="0.3">
      <c r="A210">
        <v>38</v>
      </c>
      <c r="B210">
        <v>4729515</v>
      </c>
      <c r="C210" t="s">
        <v>91</v>
      </c>
      <c r="D210">
        <v>1099677</v>
      </c>
      <c r="E210" t="s">
        <v>290</v>
      </c>
      <c r="F210" t="s">
        <v>20</v>
      </c>
      <c r="G210" t="s">
        <v>314</v>
      </c>
      <c r="H210" t="s">
        <v>315</v>
      </c>
      <c r="I210" t="s">
        <v>775</v>
      </c>
      <c r="J210">
        <v>51148710043</v>
      </c>
      <c r="K210" t="s">
        <v>699</v>
      </c>
      <c r="L210" t="s">
        <v>802</v>
      </c>
      <c r="M210">
        <v>16000</v>
      </c>
      <c r="N210" s="10">
        <v>1.8200000000000001E-2</v>
      </c>
      <c r="O210" s="10">
        <f t="shared" si="88"/>
        <v>291.2</v>
      </c>
      <c r="P210" s="10">
        <v>316.47000000000003</v>
      </c>
      <c r="Q210" s="10">
        <v>0</v>
      </c>
      <c r="R210" s="10">
        <f>IF(COUNTIF($J$2:J210,J210)=1,SUMIFS($O:$O,$J:$J,J210)+SUMIFS($P:$P,$J:$J,J210)+SUMIFS($Q:$Q,$J:$J,J210),"")</f>
        <v>6042.67</v>
      </c>
      <c r="S210" s="10">
        <v>6052.33</v>
      </c>
      <c r="T210" s="11" t="str">
        <f>IFERROR(INDEX(AD:AD,MATCH(J210,J:J,0)),"")</f>
        <v>Check</v>
      </c>
      <c r="U210" s="12">
        <v>46129</v>
      </c>
      <c r="V210" s="10">
        <v>5761.13</v>
      </c>
      <c r="W210" s="10" t="str">
        <f t="shared" si="89"/>
        <v>Short Paid</v>
      </c>
      <c r="X210" t="s">
        <v>207</v>
      </c>
      <c r="Y210" t="s">
        <v>27</v>
      </c>
      <c r="Z210">
        <v>100234</v>
      </c>
      <c r="AA210" t="s">
        <v>241</v>
      </c>
      <c r="AB210" t="s">
        <v>249</v>
      </c>
      <c r="AC210" s="9">
        <v>2</v>
      </c>
      <c r="AD210" s="9" t="str">
        <f t="shared" si="90"/>
        <v>Check</v>
      </c>
      <c r="AE210" s="11">
        <f t="shared" si="91"/>
        <v>-9.6599999999998545</v>
      </c>
    </row>
    <row r="211" spans="1:31" x14ac:dyDescent="0.3">
      <c r="A211">
        <v>38</v>
      </c>
      <c r="B211">
        <v>4729515</v>
      </c>
      <c r="C211" t="s">
        <v>91</v>
      </c>
      <c r="D211">
        <v>1099677</v>
      </c>
      <c r="E211" t="s">
        <v>290</v>
      </c>
      <c r="F211" t="s">
        <v>20</v>
      </c>
      <c r="G211" t="s">
        <v>314</v>
      </c>
      <c r="H211" t="s">
        <v>315</v>
      </c>
      <c r="I211" t="s">
        <v>748</v>
      </c>
      <c r="J211">
        <v>51148710043</v>
      </c>
      <c r="K211" t="s">
        <v>681</v>
      </c>
      <c r="L211" t="s">
        <v>963</v>
      </c>
      <c r="M211">
        <v>500</v>
      </c>
      <c r="N211" s="10">
        <v>10.87</v>
      </c>
      <c r="O211" s="10">
        <f t="shared" si="88"/>
        <v>5435</v>
      </c>
      <c r="P211" s="10" t="s">
        <v>1062</v>
      </c>
      <c r="Q211" s="10" t="s">
        <v>1062</v>
      </c>
      <c r="R211" s="10" t="str">
        <f>IF(COUNTIF($J$2:J211,J211)=1,SUMIFS($O:$O,$J:$J,J211)+SUMIFS($P:$P,$J:$J,J211)+SUMIFS($Q:$Q,$J:$J,J211),"")</f>
        <v/>
      </c>
      <c r="S211" s="10" t="s">
        <v>1062</v>
      </c>
      <c r="T211" s="11" t="str">
        <f>IFERROR(INDEX(AD:AD,MATCH(J211,J:J,0)),"")</f>
        <v>Check</v>
      </c>
      <c r="U211" s="12">
        <v>46129</v>
      </c>
      <c r="V211" s="10">
        <v>5761.13</v>
      </c>
      <c r="W211" s="10" t="str">
        <f t="shared" si="89"/>
        <v>N/A</v>
      </c>
      <c r="X211" t="s">
        <v>207</v>
      </c>
      <c r="Y211" t="s">
        <v>27</v>
      </c>
      <c r="Z211">
        <v>100234</v>
      </c>
      <c r="AA211" t="s">
        <v>241</v>
      </c>
      <c r="AB211" t="s">
        <v>249</v>
      </c>
      <c r="AC211" s="9">
        <v>2</v>
      </c>
      <c r="AD211" s="9" t="str">
        <f t="shared" si="90"/>
        <v>N/A</v>
      </c>
      <c r="AE211" s="11" t="e">
        <f t="shared" si="91"/>
        <v>#VALUE!</v>
      </c>
    </row>
    <row r="212" spans="1:31" x14ac:dyDescent="0.3">
      <c r="A212">
        <v>35</v>
      </c>
      <c r="B212">
        <v>4745655</v>
      </c>
      <c r="C212" t="s">
        <v>91</v>
      </c>
      <c r="D212">
        <v>1262308</v>
      </c>
      <c r="E212" t="s">
        <v>268</v>
      </c>
      <c r="F212" t="s">
        <v>18</v>
      </c>
      <c r="G212" t="s">
        <v>318</v>
      </c>
      <c r="H212" t="s">
        <v>319</v>
      </c>
      <c r="I212" t="s">
        <v>762</v>
      </c>
      <c r="J212">
        <v>51149102505</v>
      </c>
      <c r="K212" t="s">
        <v>888</v>
      </c>
      <c r="L212" t="s">
        <v>964</v>
      </c>
      <c r="M212">
        <v>35</v>
      </c>
      <c r="N212" s="10">
        <v>71.39</v>
      </c>
      <c r="O212" s="10">
        <f t="shared" ref="O212:O217" si="92">M212*N212</f>
        <v>2498.65</v>
      </c>
      <c r="P212" s="10">
        <v>174.91</v>
      </c>
      <c r="Q212" s="10">
        <v>0</v>
      </c>
      <c r="R212" s="10">
        <f>IF(COUNTIF($J$2:J212,J212)=1,SUMIFS($O:$O,$J:$J,J212)+SUMIFS($P:$P,$J:$J,J212)+SUMIFS($Q:$Q,$J:$J,J212),"")</f>
        <v>9765.56</v>
      </c>
      <c r="S212" s="10">
        <v>9765.56</v>
      </c>
      <c r="T212" s="11" t="str">
        <f>IFERROR(INDEX(AD:AD,MATCH(J212,J:J,0)),"")</f>
        <v>Ok</v>
      </c>
      <c r="U212" s="12">
        <v>46063</v>
      </c>
      <c r="V212" s="10">
        <v>1120.6099999999999</v>
      </c>
      <c r="W212" s="10" t="str">
        <f t="shared" ref="W212:W217" si="93">IF(OR(S212="",V212=""),"N/A",IF(S212&lt;&gt;V212,"Short Paid","Not Paid"))</f>
        <v>Short Paid</v>
      </c>
      <c r="X212" t="s">
        <v>207</v>
      </c>
      <c r="Y212" t="s">
        <v>27</v>
      </c>
      <c r="Z212">
        <v>100194</v>
      </c>
      <c r="AA212" t="s">
        <v>231</v>
      </c>
      <c r="AB212" t="s">
        <v>251</v>
      </c>
      <c r="AC212" s="9">
        <v>2</v>
      </c>
      <c r="AD212" s="9" t="str">
        <f t="shared" ref="AD212:AD217" si="94">IF(AND(R212="",S212=""),"N/A",IF(R212=S212,"Ok","Check"))</f>
        <v>Ok</v>
      </c>
      <c r="AE212" s="11">
        <f t="shared" si="91"/>
        <v>0</v>
      </c>
    </row>
    <row r="213" spans="1:31" x14ac:dyDescent="0.3">
      <c r="A213">
        <v>35</v>
      </c>
      <c r="B213">
        <v>4745655</v>
      </c>
      <c r="C213" t="s">
        <v>91</v>
      </c>
      <c r="D213">
        <v>1262308</v>
      </c>
      <c r="E213" t="s">
        <v>268</v>
      </c>
      <c r="F213" t="s">
        <v>18</v>
      </c>
      <c r="G213" t="s">
        <v>318</v>
      </c>
      <c r="H213" t="s">
        <v>319</v>
      </c>
      <c r="I213" t="s">
        <v>671</v>
      </c>
      <c r="J213">
        <v>51149102505</v>
      </c>
      <c r="K213" t="s">
        <v>719</v>
      </c>
      <c r="L213" t="s">
        <v>965</v>
      </c>
      <c r="M213">
        <v>6000</v>
      </c>
      <c r="N213" s="10">
        <v>1.1819999999999999</v>
      </c>
      <c r="O213" s="10">
        <f t="shared" si="92"/>
        <v>7092</v>
      </c>
      <c r="P213" s="10" t="s">
        <v>1062</v>
      </c>
      <c r="Q213" s="10" t="s">
        <v>1062</v>
      </c>
      <c r="R213" s="10" t="str">
        <f>IF(COUNTIF($J$2:J213,J213)=1,SUMIFS($O:$O,$J:$J,J213)+SUMIFS($P:$P,$J:$J,J213)+SUMIFS($Q:$Q,$J:$J,J213),"")</f>
        <v/>
      </c>
      <c r="S213" s="10" t="s">
        <v>1062</v>
      </c>
      <c r="T213" s="11" t="str">
        <f>IFERROR(INDEX(AD:AD,MATCH(J213,J:J,0)),"")</f>
        <v>Ok</v>
      </c>
      <c r="U213" s="12">
        <v>46063</v>
      </c>
      <c r="V213" s="10">
        <v>1120.6099999999999</v>
      </c>
      <c r="W213" s="10" t="str">
        <f t="shared" si="93"/>
        <v>N/A</v>
      </c>
      <c r="X213" t="s">
        <v>207</v>
      </c>
      <c r="Y213" t="s">
        <v>27</v>
      </c>
      <c r="Z213">
        <v>100194</v>
      </c>
      <c r="AA213" t="s">
        <v>231</v>
      </c>
      <c r="AB213" t="s">
        <v>251</v>
      </c>
      <c r="AC213" s="9">
        <v>2</v>
      </c>
      <c r="AD213" s="9" t="str">
        <f t="shared" si="94"/>
        <v>N/A</v>
      </c>
      <c r="AE213" s="11" t="e">
        <f t="shared" si="91"/>
        <v>#VALUE!</v>
      </c>
    </row>
    <row r="214" spans="1:31" x14ac:dyDescent="0.3">
      <c r="A214">
        <v>30</v>
      </c>
      <c r="B214">
        <v>4759291</v>
      </c>
      <c r="C214" t="s">
        <v>91</v>
      </c>
      <c r="D214">
        <v>1187239</v>
      </c>
      <c r="E214" t="s">
        <v>279</v>
      </c>
      <c r="F214" t="s">
        <v>20</v>
      </c>
      <c r="G214" t="s">
        <v>325</v>
      </c>
      <c r="H214" t="s">
        <v>326</v>
      </c>
      <c r="I214" t="s">
        <v>816</v>
      </c>
      <c r="J214">
        <v>51149229286</v>
      </c>
      <c r="K214" t="s">
        <v>786</v>
      </c>
      <c r="L214" t="s">
        <v>966</v>
      </c>
      <c r="M214">
        <v>5000</v>
      </c>
      <c r="N214" s="10">
        <v>0.38080000000000003</v>
      </c>
      <c r="O214" s="10">
        <f t="shared" si="92"/>
        <v>1904.0000000000002</v>
      </c>
      <c r="P214" s="10">
        <v>0</v>
      </c>
      <c r="Q214" s="10">
        <v>180.88</v>
      </c>
      <c r="R214" s="10">
        <f>IF(COUNTIF($J$2:J214,J214)=1,SUMIFS($O:$O,$J:$J,J214)+SUMIFS($P:$P,$J:$J,J214)+SUMIFS($Q:$Q,$J:$J,J214),"")</f>
        <v>110297.88000000002</v>
      </c>
      <c r="S214" s="10">
        <v>110297.88</v>
      </c>
      <c r="T214" s="11" t="str">
        <f>IFERROR(INDEX(AD:AD,MATCH(J214,J:J,0)),"")</f>
        <v>Ok</v>
      </c>
      <c r="U214" s="12">
        <v>45993</v>
      </c>
      <c r="V214" s="10">
        <v>2084.88</v>
      </c>
      <c r="W214" s="10" t="str">
        <f t="shared" si="93"/>
        <v>Short Paid</v>
      </c>
      <c r="X214" t="s">
        <v>207</v>
      </c>
      <c r="Y214" t="s">
        <v>27</v>
      </c>
      <c r="Z214">
        <v>100164</v>
      </c>
      <c r="AA214" t="s">
        <v>234</v>
      </c>
      <c r="AB214" t="s">
        <v>249</v>
      </c>
      <c r="AC214" s="9">
        <v>2</v>
      </c>
      <c r="AD214" s="9" t="str">
        <f t="shared" si="94"/>
        <v>Ok</v>
      </c>
      <c r="AE214" s="11">
        <f t="shared" ref="AE214:AE217" si="95">R214-S214</f>
        <v>0</v>
      </c>
    </row>
    <row r="215" spans="1:31" x14ac:dyDescent="0.3">
      <c r="A215">
        <v>30</v>
      </c>
      <c r="B215">
        <v>4759291</v>
      </c>
      <c r="C215" t="s">
        <v>91</v>
      </c>
      <c r="D215">
        <v>1187239</v>
      </c>
      <c r="E215" t="s">
        <v>279</v>
      </c>
      <c r="F215" t="s">
        <v>20</v>
      </c>
      <c r="G215" t="s">
        <v>325</v>
      </c>
      <c r="H215" t="s">
        <v>326</v>
      </c>
      <c r="I215" t="s">
        <v>855</v>
      </c>
      <c r="J215">
        <v>51149229286</v>
      </c>
      <c r="K215" t="s">
        <v>657</v>
      </c>
      <c r="L215" t="s">
        <v>853</v>
      </c>
      <c r="M215">
        <v>50</v>
      </c>
      <c r="N215" s="10">
        <v>2164.2600000000002</v>
      </c>
      <c r="O215" s="10">
        <f t="shared" si="92"/>
        <v>108213.00000000001</v>
      </c>
      <c r="P215" s="10" t="s">
        <v>1062</v>
      </c>
      <c r="Q215" s="10" t="s">
        <v>1062</v>
      </c>
      <c r="R215" s="10" t="str">
        <f>IF(COUNTIF($J$2:J215,J215)=1,SUMIFS($O:$O,$J:$J,J215)+SUMIFS($P:$P,$J:$J,J215)+SUMIFS($Q:$Q,$J:$J,J215),"")</f>
        <v/>
      </c>
      <c r="S215" s="10" t="s">
        <v>1062</v>
      </c>
      <c r="T215" s="11" t="str">
        <f>IFERROR(INDEX(AD:AD,MATCH(J215,J:J,0)),"")</f>
        <v>Ok</v>
      </c>
      <c r="U215" s="12">
        <v>45993</v>
      </c>
      <c r="V215" s="10">
        <v>2084.88</v>
      </c>
      <c r="W215" s="10" t="str">
        <f t="shared" si="93"/>
        <v>N/A</v>
      </c>
      <c r="X215" t="s">
        <v>207</v>
      </c>
      <c r="Y215" t="s">
        <v>27</v>
      </c>
      <c r="Z215">
        <v>100164</v>
      </c>
      <c r="AA215" t="s">
        <v>234</v>
      </c>
      <c r="AB215" t="s">
        <v>249</v>
      </c>
      <c r="AC215" s="9">
        <v>2</v>
      </c>
      <c r="AD215" s="9" t="str">
        <f t="shared" si="94"/>
        <v>N/A</v>
      </c>
      <c r="AE215" s="11" t="e">
        <f t="shared" si="95"/>
        <v>#VALUE!</v>
      </c>
    </row>
    <row r="216" spans="1:31" x14ac:dyDescent="0.3">
      <c r="A216">
        <v>35</v>
      </c>
      <c r="B216">
        <v>4745933</v>
      </c>
      <c r="C216" t="s">
        <v>91</v>
      </c>
      <c r="D216">
        <v>1262308</v>
      </c>
      <c r="E216" t="s">
        <v>268</v>
      </c>
      <c r="F216" t="s">
        <v>18</v>
      </c>
      <c r="G216" t="s">
        <v>320</v>
      </c>
      <c r="H216" t="s">
        <v>321</v>
      </c>
      <c r="I216" t="s">
        <v>796</v>
      </c>
      <c r="J216">
        <v>51150008984</v>
      </c>
      <c r="K216" t="s">
        <v>707</v>
      </c>
      <c r="L216" t="s">
        <v>823</v>
      </c>
      <c r="M216">
        <v>4000</v>
      </c>
      <c r="N216" s="10">
        <v>0.24890000000000001</v>
      </c>
      <c r="O216" s="10">
        <f t="shared" si="92"/>
        <v>995.6</v>
      </c>
      <c r="P216" s="10">
        <v>1399.0100000000002</v>
      </c>
      <c r="Q216" s="10">
        <v>0</v>
      </c>
      <c r="R216" s="10">
        <f>IF(COUNTIF($J$2:J216,J216)=1,SUMIFS($O:$O,$J:$J,J216)+SUMIFS($P:$P,$J:$J,J216)+SUMIFS($Q:$Q,$J:$J,J216),"")</f>
        <v>12362.52</v>
      </c>
      <c r="S216" s="10">
        <v>22380.519999999997</v>
      </c>
      <c r="T216" s="11" t="str">
        <f>IFERROR(INDEX(AD:AD,MATCH(J216,J:J,0)),"")</f>
        <v>Check</v>
      </c>
      <c r="U216" s="12">
        <v>46063</v>
      </c>
      <c r="V216" s="10">
        <v>3992.51</v>
      </c>
      <c r="W216" s="10" t="str">
        <f t="shared" si="93"/>
        <v>Short Paid</v>
      </c>
      <c r="X216" t="s">
        <v>207</v>
      </c>
      <c r="Y216" t="s">
        <v>27</v>
      </c>
      <c r="Z216">
        <v>100204</v>
      </c>
      <c r="AA216" t="s">
        <v>240</v>
      </c>
      <c r="AB216" t="s">
        <v>251</v>
      </c>
      <c r="AC216" s="9">
        <v>2</v>
      </c>
      <c r="AD216" s="9" t="str">
        <f t="shared" si="94"/>
        <v>Check</v>
      </c>
      <c r="AE216" s="11">
        <f t="shared" si="95"/>
        <v>-10017.999999999996</v>
      </c>
    </row>
    <row r="217" spans="1:31" x14ac:dyDescent="0.3">
      <c r="A217">
        <v>35</v>
      </c>
      <c r="B217">
        <v>4745933</v>
      </c>
      <c r="C217" t="s">
        <v>91</v>
      </c>
      <c r="D217">
        <v>1262308</v>
      </c>
      <c r="E217" t="s">
        <v>268</v>
      </c>
      <c r="F217" t="s">
        <v>18</v>
      </c>
      <c r="G217" t="s">
        <v>320</v>
      </c>
      <c r="H217" t="s">
        <v>321</v>
      </c>
      <c r="I217" t="s">
        <v>820</v>
      </c>
      <c r="J217">
        <v>51150008984</v>
      </c>
      <c r="K217" t="s">
        <v>888</v>
      </c>
      <c r="L217" t="s">
        <v>969</v>
      </c>
      <c r="M217">
        <v>199</v>
      </c>
      <c r="N217" s="10">
        <v>50.09</v>
      </c>
      <c r="O217" s="10">
        <f t="shared" si="92"/>
        <v>9967.91</v>
      </c>
      <c r="P217" s="10" t="s">
        <v>1062</v>
      </c>
      <c r="Q217" s="10" t="s">
        <v>1062</v>
      </c>
      <c r="R217" s="10" t="str">
        <f>IF(COUNTIF($J$2:J217,J217)=1,SUMIFS($O:$O,$J:$J,J217)+SUMIFS($P:$P,$J:$J,J217)+SUMIFS($Q:$Q,$J:$J,J217),"")</f>
        <v/>
      </c>
      <c r="S217" s="10" t="s">
        <v>1062</v>
      </c>
      <c r="T217" s="11" t="str">
        <f>IFERROR(INDEX(AD:AD,MATCH(J217,J:J,0)),"")</f>
        <v>Check</v>
      </c>
      <c r="U217" s="12">
        <v>46063</v>
      </c>
      <c r="V217" s="10">
        <v>3992.51</v>
      </c>
      <c r="W217" s="10" t="str">
        <f t="shared" si="93"/>
        <v>N/A</v>
      </c>
      <c r="X217" t="s">
        <v>207</v>
      </c>
      <c r="Y217" t="s">
        <v>27</v>
      </c>
      <c r="Z217">
        <v>100204</v>
      </c>
      <c r="AA217" t="s">
        <v>240</v>
      </c>
      <c r="AB217" t="s">
        <v>251</v>
      </c>
      <c r="AC217" s="9">
        <v>2</v>
      </c>
      <c r="AD217" s="9" t="str">
        <f t="shared" si="94"/>
        <v>N/A</v>
      </c>
      <c r="AE217" s="11" t="e">
        <f t="shared" si="95"/>
        <v>#VALUE!</v>
      </c>
    </row>
    <row r="218" spans="1:31" x14ac:dyDescent="0.3">
      <c r="A218">
        <v>28</v>
      </c>
      <c r="B218">
        <v>4772370</v>
      </c>
      <c r="C218" t="s">
        <v>91</v>
      </c>
      <c r="D218">
        <v>1535517</v>
      </c>
      <c r="E218" t="s">
        <v>1024</v>
      </c>
      <c r="F218" t="s">
        <v>18</v>
      </c>
      <c r="G218" t="s">
        <v>329</v>
      </c>
      <c r="H218" t="s">
        <v>330</v>
      </c>
      <c r="I218" t="s">
        <v>832</v>
      </c>
      <c r="J218">
        <v>51151372639</v>
      </c>
      <c r="K218" t="s">
        <v>707</v>
      </c>
      <c r="L218" t="s">
        <v>818</v>
      </c>
      <c r="M218">
        <v>2000</v>
      </c>
      <c r="N218" s="10">
        <v>0.21</v>
      </c>
      <c r="O218" s="10">
        <f t="shared" ref="O218:O219" si="96">M218*N218</f>
        <v>420</v>
      </c>
      <c r="P218" s="10">
        <v>0</v>
      </c>
      <c r="Q218" s="10">
        <v>0</v>
      </c>
      <c r="R218" s="10">
        <f>IF(COUNTIF($J$2:J218,J218)=1,SUMIFS($O:$O,$J:$J,J218)+SUMIFS($P:$P,$J:$J,J218)+SUMIFS($Q:$Q,$J:$J,J218),"")</f>
        <v>18201.12</v>
      </c>
      <c r="S218" s="10">
        <v>19469.12</v>
      </c>
      <c r="T218" s="11" t="str">
        <f>IFERROR(INDEX(AD:AD,MATCH(J218,J:J,0)),"")</f>
        <v>Check</v>
      </c>
      <c r="U218" s="12">
        <v>46127</v>
      </c>
      <c r="V218" s="10">
        <v>17789.12</v>
      </c>
      <c r="W218" s="10" t="str">
        <f t="shared" ref="W218:W219" si="97">IF(OR(S218="",V218=""),"N/A",IF(S218&lt;&gt;V218,"Short Paid","Not Paid"))</f>
        <v>Short Paid</v>
      </c>
      <c r="X218" t="s">
        <v>207</v>
      </c>
      <c r="Y218" t="s">
        <v>27</v>
      </c>
      <c r="Z218">
        <v>100114</v>
      </c>
      <c r="AA218" t="s">
        <v>238</v>
      </c>
      <c r="AB218" t="s">
        <v>251</v>
      </c>
      <c r="AC218" s="9">
        <v>2</v>
      </c>
      <c r="AD218" s="9" t="str">
        <f t="shared" ref="AD218:AD219" si="98">IF(AND(R218="",S218=""),"N/A",IF(R218=S218,"Ok","Check"))</f>
        <v>Check</v>
      </c>
      <c r="AE218" s="11">
        <f t="shared" ref="AE218:AE219" si="99">R218-S218</f>
        <v>-1268</v>
      </c>
    </row>
    <row r="219" spans="1:31" x14ac:dyDescent="0.3">
      <c r="A219">
        <v>28</v>
      </c>
      <c r="B219">
        <v>4772370</v>
      </c>
      <c r="C219" t="s">
        <v>91</v>
      </c>
      <c r="D219">
        <v>1535517</v>
      </c>
      <c r="E219" t="s">
        <v>1024</v>
      </c>
      <c r="F219" t="s">
        <v>18</v>
      </c>
      <c r="G219" t="s">
        <v>329</v>
      </c>
      <c r="H219" t="s">
        <v>330</v>
      </c>
      <c r="I219" t="s">
        <v>852</v>
      </c>
      <c r="J219">
        <v>51151372639</v>
      </c>
      <c r="K219" t="s">
        <v>971</v>
      </c>
      <c r="L219" t="s">
        <v>970</v>
      </c>
      <c r="M219">
        <v>108</v>
      </c>
      <c r="N219" s="10">
        <v>164.64</v>
      </c>
      <c r="O219" s="10">
        <f t="shared" si="96"/>
        <v>17781.12</v>
      </c>
      <c r="P219" s="10" t="s">
        <v>1062</v>
      </c>
      <c r="Q219" s="10" t="s">
        <v>1062</v>
      </c>
      <c r="R219" s="10" t="str">
        <f>IF(COUNTIF($J$2:J219,J219)=1,SUMIFS($O:$O,$J:$J,J219)+SUMIFS($P:$P,$J:$J,J219)+SUMIFS($Q:$Q,$J:$J,J219),"")</f>
        <v/>
      </c>
      <c r="S219" s="10" t="s">
        <v>1062</v>
      </c>
      <c r="T219" s="11" t="str">
        <f>IFERROR(INDEX(AD:AD,MATCH(J219,J:J,0)),"")</f>
        <v>Check</v>
      </c>
      <c r="U219" s="12">
        <v>46127</v>
      </c>
      <c r="V219" s="10">
        <v>17789.12</v>
      </c>
      <c r="W219" s="10" t="str">
        <f t="shared" si="97"/>
        <v>N/A</v>
      </c>
      <c r="X219" t="s">
        <v>207</v>
      </c>
      <c r="Y219" t="s">
        <v>27</v>
      </c>
      <c r="Z219">
        <v>100114</v>
      </c>
      <c r="AA219" t="s">
        <v>238</v>
      </c>
      <c r="AB219" t="s">
        <v>251</v>
      </c>
      <c r="AC219" s="9">
        <v>2</v>
      </c>
      <c r="AD219" s="9" t="str">
        <f t="shared" si="98"/>
        <v>N/A</v>
      </c>
      <c r="AE219" s="11" t="e">
        <f t="shared" si="99"/>
        <v>#VALUE!</v>
      </c>
    </row>
    <row r="220" spans="1:31" x14ac:dyDescent="0.3">
      <c r="A220">
        <v>30</v>
      </c>
      <c r="B220">
        <v>4758178</v>
      </c>
      <c r="C220" t="s">
        <v>91</v>
      </c>
      <c r="D220">
        <v>1507117</v>
      </c>
      <c r="E220" t="s">
        <v>92</v>
      </c>
      <c r="F220" t="s">
        <v>24</v>
      </c>
      <c r="G220" t="s">
        <v>581</v>
      </c>
      <c r="H220" t="s">
        <v>582</v>
      </c>
      <c r="I220" t="s">
        <v>796</v>
      </c>
      <c r="J220">
        <v>51152578810</v>
      </c>
      <c r="K220" t="s">
        <v>768</v>
      </c>
      <c r="L220" t="s">
        <v>973</v>
      </c>
      <c r="M220">
        <v>100</v>
      </c>
      <c r="N220" s="10">
        <v>502.42</v>
      </c>
      <c r="O220" s="10">
        <f t="shared" ref="O220:O229" si="100">M220*N220</f>
        <v>50242</v>
      </c>
      <c r="P220" s="10">
        <v>0</v>
      </c>
      <c r="Q220" s="10">
        <v>0</v>
      </c>
      <c r="R220" s="10">
        <f>IF(COUNTIF($J$2:J220,J220)=1,SUMIFS($O:$O,$J:$J,J220)+SUMIFS($P:$P,$J:$J,J220)+SUMIFS($Q:$Q,$J:$J,J220),"")</f>
        <v>51965.17</v>
      </c>
      <c r="S220" s="10">
        <v>52788.34</v>
      </c>
      <c r="T220" s="11" t="str">
        <f>IFERROR(INDEX(AD:AD,MATCH(J220,J:J,0)),"")</f>
        <v>Check</v>
      </c>
      <c r="U220" s="12">
        <v>46062</v>
      </c>
      <c r="V220" s="10">
        <v>900</v>
      </c>
      <c r="W220" s="10" t="str">
        <f t="shared" ref="W220:W229" si="101">IF(OR(S220="",V220=""),"N/A",IF(S220&lt;&gt;V220,"Short Paid","Not Paid"))</f>
        <v>Short Paid</v>
      </c>
      <c r="X220" t="s">
        <v>207</v>
      </c>
      <c r="Y220" t="s">
        <v>37</v>
      </c>
      <c r="Z220">
        <v>100104</v>
      </c>
      <c r="AA220" t="s">
        <v>624</v>
      </c>
      <c r="AB220" t="s">
        <v>250</v>
      </c>
      <c r="AC220" s="9">
        <v>3</v>
      </c>
      <c r="AD220" s="9" t="str">
        <f t="shared" ref="AD220:AD229" si="102">IF(AND(R220="",S220=""),"N/A",IF(R220=S220,"Ok","Check"))</f>
        <v>Check</v>
      </c>
      <c r="AE220" s="11">
        <f t="shared" ref="AE220:AE229" si="103">R220-S220</f>
        <v>-823.16999999999825</v>
      </c>
    </row>
    <row r="221" spans="1:31" x14ac:dyDescent="0.3">
      <c r="A221">
        <v>30</v>
      </c>
      <c r="B221">
        <v>4758178</v>
      </c>
      <c r="C221" t="s">
        <v>91</v>
      </c>
      <c r="D221">
        <v>1507117</v>
      </c>
      <c r="E221" t="s">
        <v>92</v>
      </c>
      <c r="F221" t="s">
        <v>24</v>
      </c>
      <c r="G221" t="s">
        <v>581</v>
      </c>
      <c r="H221" t="s">
        <v>582</v>
      </c>
      <c r="I221" t="s">
        <v>796</v>
      </c>
      <c r="J221">
        <v>51152578810</v>
      </c>
      <c r="K221" t="s">
        <v>768</v>
      </c>
      <c r="L221" t="s">
        <v>972</v>
      </c>
      <c r="M221">
        <v>1</v>
      </c>
      <c r="N221" s="10">
        <v>900</v>
      </c>
      <c r="O221" s="10">
        <f t="shared" si="100"/>
        <v>900</v>
      </c>
      <c r="P221" s="10" t="s">
        <v>1062</v>
      </c>
      <c r="Q221" s="10" t="s">
        <v>1062</v>
      </c>
      <c r="R221" s="10" t="str">
        <f>IF(COUNTIF($J$2:J221,J221)=1,SUMIFS($O:$O,$J:$J,J221)+SUMIFS($P:$P,$J:$J,J221)+SUMIFS($Q:$Q,$J:$J,J221),"")</f>
        <v/>
      </c>
      <c r="S221" s="10" t="s">
        <v>1062</v>
      </c>
      <c r="T221" s="11" t="str">
        <f>IFERROR(INDEX(AD:AD,MATCH(J221,J:J,0)),"")</f>
        <v>Check</v>
      </c>
      <c r="U221" s="12">
        <v>46062</v>
      </c>
      <c r="V221" s="10">
        <v>900</v>
      </c>
      <c r="W221" s="10" t="str">
        <f t="shared" si="101"/>
        <v>N/A</v>
      </c>
      <c r="X221" t="s">
        <v>207</v>
      </c>
      <c r="Y221" t="s">
        <v>37</v>
      </c>
      <c r="Z221">
        <v>100104</v>
      </c>
      <c r="AA221" t="s">
        <v>624</v>
      </c>
      <c r="AB221" t="s">
        <v>250</v>
      </c>
      <c r="AC221" s="9">
        <v>3</v>
      </c>
      <c r="AD221" s="9" t="str">
        <f t="shared" si="102"/>
        <v>N/A</v>
      </c>
      <c r="AE221" s="11" t="e">
        <f t="shared" si="103"/>
        <v>#VALUE!</v>
      </c>
    </row>
    <row r="222" spans="1:31" x14ac:dyDescent="0.3">
      <c r="A222">
        <v>30</v>
      </c>
      <c r="B222">
        <v>4758178</v>
      </c>
      <c r="C222" t="s">
        <v>91</v>
      </c>
      <c r="D222">
        <v>1507117</v>
      </c>
      <c r="E222" t="s">
        <v>92</v>
      </c>
      <c r="F222" t="s">
        <v>24</v>
      </c>
      <c r="G222" t="s">
        <v>581</v>
      </c>
      <c r="H222" t="s">
        <v>582</v>
      </c>
      <c r="I222" t="s">
        <v>841</v>
      </c>
      <c r="J222">
        <v>51152578810</v>
      </c>
      <c r="K222" t="s">
        <v>735</v>
      </c>
      <c r="L222" t="s">
        <v>843</v>
      </c>
      <c r="M222">
        <v>1000</v>
      </c>
      <c r="N222" s="10">
        <v>0.82316999999999996</v>
      </c>
      <c r="O222" s="10">
        <f t="shared" si="100"/>
        <v>823.17</v>
      </c>
      <c r="P222" s="10" t="s">
        <v>1062</v>
      </c>
      <c r="Q222" s="10" t="s">
        <v>1062</v>
      </c>
      <c r="R222" s="10" t="str">
        <f>IF(COUNTIF($J$2:J222,J222)=1,SUMIFS($O:$O,$J:$J,J222)+SUMIFS($P:$P,$J:$J,J222)+SUMIFS($Q:$Q,$J:$J,J222),"")</f>
        <v/>
      </c>
      <c r="S222" s="10" t="s">
        <v>1062</v>
      </c>
      <c r="T222" s="11" t="str">
        <f>IFERROR(INDEX(AD:AD,MATCH(J222,J:J,0)),"")</f>
        <v>Check</v>
      </c>
      <c r="U222" s="12">
        <v>46062</v>
      </c>
      <c r="V222" s="10">
        <v>900</v>
      </c>
      <c r="W222" s="10" t="str">
        <f t="shared" si="101"/>
        <v>N/A</v>
      </c>
      <c r="X222" t="s">
        <v>207</v>
      </c>
      <c r="Y222" t="s">
        <v>37</v>
      </c>
      <c r="Z222">
        <v>100104</v>
      </c>
      <c r="AA222" t="s">
        <v>624</v>
      </c>
      <c r="AB222" t="s">
        <v>250</v>
      </c>
      <c r="AC222" s="9">
        <v>3</v>
      </c>
      <c r="AD222" s="9" t="str">
        <f t="shared" si="102"/>
        <v>N/A</v>
      </c>
      <c r="AE222" s="11" t="e">
        <f t="shared" si="103"/>
        <v>#VALUE!</v>
      </c>
    </row>
    <row r="223" spans="1:31" x14ac:dyDescent="0.3">
      <c r="A223">
        <v>27</v>
      </c>
      <c r="B223">
        <v>4788789</v>
      </c>
      <c r="C223" t="s">
        <v>91</v>
      </c>
      <c r="D223">
        <v>1422097</v>
      </c>
      <c r="E223" t="s">
        <v>184</v>
      </c>
      <c r="F223" t="s">
        <v>19</v>
      </c>
      <c r="G223" t="s">
        <v>331</v>
      </c>
      <c r="H223" t="s">
        <v>332</v>
      </c>
      <c r="I223" t="s">
        <v>753</v>
      </c>
      <c r="J223">
        <v>51153020430</v>
      </c>
      <c r="K223" t="s">
        <v>834</v>
      </c>
      <c r="L223" t="s">
        <v>967</v>
      </c>
      <c r="M223">
        <v>400000</v>
      </c>
      <c r="N223" s="10">
        <v>4.1000000000000003E-3</v>
      </c>
      <c r="O223" s="10">
        <f t="shared" si="100"/>
        <v>1640.0000000000002</v>
      </c>
      <c r="P223" s="10">
        <v>0</v>
      </c>
      <c r="Q223" s="10">
        <v>57</v>
      </c>
      <c r="R223" s="10">
        <f>IF(COUNTIF($J$2:J223,J223)=1,SUMIFS($O:$O,$J:$J,J223)+SUMIFS($P:$P,$J:$J,J223)+SUMIFS($Q:$Q,$J:$J,J223),"")</f>
        <v>3617.14</v>
      </c>
      <c r="S223" s="10">
        <v>3617.1400000000003</v>
      </c>
      <c r="T223" s="11" t="str">
        <f>IFERROR(INDEX(AD:AD,MATCH(J223,J:J,0)),"")</f>
        <v>Ok</v>
      </c>
      <c r="U223" s="12">
        <v>46094</v>
      </c>
      <c r="V223" s="10">
        <v>600</v>
      </c>
      <c r="W223" s="10" t="str">
        <f t="shared" si="101"/>
        <v>Short Paid</v>
      </c>
      <c r="X223" t="s">
        <v>207</v>
      </c>
      <c r="Y223" t="s">
        <v>27</v>
      </c>
      <c r="Z223">
        <v>100284</v>
      </c>
      <c r="AA223" t="s">
        <v>616</v>
      </c>
      <c r="AB223" t="s">
        <v>252</v>
      </c>
      <c r="AC223" s="9">
        <v>3</v>
      </c>
      <c r="AD223" s="9" t="str">
        <f t="shared" si="102"/>
        <v>Ok</v>
      </c>
      <c r="AE223" s="11">
        <f t="shared" si="103"/>
        <v>0</v>
      </c>
    </row>
    <row r="224" spans="1:31" x14ac:dyDescent="0.3">
      <c r="A224">
        <v>27</v>
      </c>
      <c r="B224">
        <v>4788789</v>
      </c>
      <c r="C224" t="s">
        <v>91</v>
      </c>
      <c r="D224">
        <v>1422097</v>
      </c>
      <c r="E224" t="s">
        <v>184</v>
      </c>
      <c r="F224" t="s">
        <v>19</v>
      </c>
      <c r="G224" t="s">
        <v>331</v>
      </c>
      <c r="H224" t="s">
        <v>332</v>
      </c>
      <c r="I224" t="s">
        <v>673</v>
      </c>
      <c r="J224">
        <v>51153020430</v>
      </c>
      <c r="K224" t="s">
        <v>757</v>
      </c>
      <c r="L224" t="s">
        <v>928</v>
      </c>
      <c r="M224">
        <v>1</v>
      </c>
      <c r="N224" s="10">
        <v>600</v>
      </c>
      <c r="O224" s="10">
        <f t="shared" si="100"/>
        <v>600</v>
      </c>
      <c r="P224" s="10" t="s">
        <v>1062</v>
      </c>
      <c r="Q224" s="10" t="s">
        <v>1062</v>
      </c>
      <c r="R224" s="10" t="str">
        <f>IF(COUNTIF($J$2:J224,J224)=1,SUMIFS($O:$O,$J:$J,J224)+SUMIFS($P:$P,$J:$J,J224)+SUMIFS($Q:$Q,$J:$J,J224),"")</f>
        <v/>
      </c>
      <c r="S224" s="10" t="s">
        <v>1062</v>
      </c>
      <c r="T224" s="11" t="str">
        <f>IFERROR(INDEX(AD:AD,MATCH(J224,J:J,0)),"")</f>
        <v>Ok</v>
      </c>
      <c r="U224" s="12">
        <v>46094</v>
      </c>
      <c r="V224" s="10">
        <v>600</v>
      </c>
      <c r="W224" s="10" t="str">
        <f t="shared" si="101"/>
        <v>N/A</v>
      </c>
      <c r="X224" t="s">
        <v>207</v>
      </c>
      <c r="Y224" t="s">
        <v>27</v>
      </c>
      <c r="Z224">
        <v>100284</v>
      </c>
      <c r="AA224" t="s">
        <v>616</v>
      </c>
      <c r="AB224" t="s">
        <v>252</v>
      </c>
      <c r="AC224" s="9">
        <v>3</v>
      </c>
      <c r="AD224" s="9" t="str">
        <f t="shared" si="102"/>
        <v>N/A</v>
      </c>
      <c r="AE224" s="11" t="e">
        <f t="shared" si="103"/>
        <v>#VALUE!</v>
      </c>
    </row>
    <row r="225" spans="1:31" x14ac:dyDescent="0.3">
      <c r="A225">
        <v>27</v>
      </c>
      <c r="B225">
        <v>4788789</v>
      </c>
      <c r="C225" t="s">
        <v>91</v>
      </c>
      <c r="D225">
        <v>1422097</v>
      </c>
      <c r="E225" t="s">
        <v>184</v>
      </c>
      <c r="F225" t="s">
        <v>19</v>
      </c>
      <c r="G225" t="s">
        <v>331</v>
      </c>
      <c r="H225" t="s">
        <v>332</v>
      </c>
      <c r="I225" t="s">
        <v>673</v>
      </c>
      <c r="J225">
        <v>51153020430</v>
      </c>
      <c r="K225" t="s">
        <v>757</v>
      </c>
      <c r="L225" t="s">
        <v>974</v>
      </c>
      <c r="M225">
        <v>149</v>
      </c>
      <c r="N225" s="10">
        <v>8.86</v>
      </c>
      <c r="O225" s="10">
        <f t="shared" si="100"/>
        <v>1320.1399999999999</v>
      </c>
      <c r="P225" s="10" t="s">
        <v>1062</v>
      </c>
      <c r="Q225" s="10" t="s">
        <v>1062</v>
      </c>
      <c r="R225" s="10" t="str">
        <f>IF(COUNTIF($J$2:J225,J225)=1,SUMIFS($O:$O,$J:$J,J225)+SUMIFS($P:$P,$J:$J,J225)+SUMIFS($Q:$Q,$J:$J,J225),"")</f>
        <v/>
      </c>
      <c r="S225" s="10" t="s">
        <v>1062</v>
      </c>
      <c r="T225" s="11" t="str">
        <f>IFERROR(INDEX(AD:AD,MATCH(J225,J:J,0)),"")</f>
        <v>Ok</v>
      </c>
      <c r="U225" s="12">
        <v>46094</v>
      </c>
      <c r="V225" s="10">
        <v>600</v>
      </c>
      <c r="W225" s="10" t="str">
        <f t="shared" si="101"/>
        <v>N/A</v>
      </c>
      <c r="X225" t="s">
        <v>207</v>
      </c>
      <c r="Y225" t="s">
        <v>27</v>
      </c>
      <c r="Z225">
        <v>100284</v>
      </c>
      <c r="AA225" t="s">
        <v>616</v>
      </c>
      <c r="AB225" t="s">
        <v>252</v>
      </c>
      <c r="AC225" s="9">
        <v>3</v>
      </c>
      <c r="AD225" s="9" t="str">
        <f t="shared" si="102"/>
        <v>N/A</v>
      </c>
      <c r="AE225" s="11" t="e">
        <f t="shared" si="103"/>
        <v>#VALUE!</v>
      </c>
    </row>
    <row r="226" spans="1:31" x14ac:dyDescent="0.3">
      <c r="A226">
        <v>15</v>
      </c>
      <c r="B226">
        <v>4873666</v>
      </c>
      <c r="C226" t="s">
        <v>91</v>
      </c>
      <c r="D226">
        <v>1860581</v>
      </c>
      <c r="E226" t="s">
        <v>292</v>
      </c>
      <c r="F226" t="s">
        <v>19</v>
      </c>
      <c r="G226" t="s">
        <v>338</v>
      </c>
      <c r="H226" t="s">
        <v>339</v>
      </c>
      <c r="I226" t="s">
        <v>828</v>
      </c>
      <c r="J226">
        <v>51153071505</v>
      </c>
      <c r="K226" t="s">
        <v>830</v>
      </c>
      <c r="L226" t="s">
        <v>975</v>
      </c>
      <c r="M226">
        <v>1000</v>
      </c>
      <c r="N226" s="10">
        <v>2.8799999999999999E-2</v>
      </c>
      <c r="O226" s="10">
        <f t="shared" si="100"/>
        <v>28.8</v>
      </c>
      <c r="P226" s="10">
        <v>707.15</v>
      </c>
      <c r="Q226" s="10">
        <v>1602.8</v>
      </c>
      <c r="R226" s="10">
        <f>IF(COUNTIF($J$2:J226,J226)=1,SUMIFS($O:$O,$J:$J,J226)+SUMIFS($P:$P,$J:$J,J226)+SUMIFS($Q:$Q,$J:$J,J226),"")</f>
        <v>9307.4499999999989</v>
      </c>
      <c r="S226" s="10">
        <v>9307.4499999999989</v>
      </c>
      <c r="T226" s="11" t="str">
        <f>IFERROR(INDEX(AD:AD,MATCH(J226,J:J,0)),"")</f>
        <v>Ok</v>
      </c>
      <c r="U226" s="12">
        <v>46105</v>
      </c>
      <c r="V226" s="10">
        <v>28.8</v>
      </c>
      <c r="W226" s="10" t="str">
        <f t="shared" si="101"/>
        <v>Short Paid</v>
      </c>
      <c r="X226" t="s">
        <v>207</v>
      </c>
      <c r="Y226" t="s">
        <v>27</v>
      </c>
      <c r="Z226">
        <v>100194</v>
      </c>
      <c r="AA226" t="s">
        <v>231</v>
      </c>
      <c r="AB226" t="s">
        <v>252</v>
      </c>
      <c r="AC226" s="9">
        <v>2</v>
      </c>
      <c r="AD226" s="9" t="str">
        <f t="shared" si="102"/>
        <v>Ok</v>
      </c>
      <c r="AE226" s="11">
        <f t="shared" si="103"/>
        <v>0</v>
      </c>
    </row>
    <row r="227" spans="1:31" x14ac:dyDescent="0.3">
      <c r="A227">
        <v>15</v>
      </c>
      <c r="B227">
        <v>4873666</v>
      </c>
      <c r="C227" t="s">
        <v>91</v>
      </c>
      <c r="D227">
        <v>1860581</v>
      </c>
      <c r="E227" t="s">
        <v>292</v>
      </c>
      <c r="F227" t="s">
        <v>19</v>
      </c>
      <c r="G227" t="s">
        <v>338</v>
      </c>
      <c r="H227" t="s">
        <v>339</v>
      </c>
      <c r="I227" t="s">
        <v>684</v>
      </c>
      <c r="J227">
        <v>51153071505</v>
      </c>
      <c r="K227" t="s">
        <v>851</v>
      </c>
      <c r="L227" t="s">
        <v>850</v>
      </c>
      <c r="M227">
        <v>9000</v>
      </c>
      <c r="N227" s="10">
        <v>0.77429999999999999</v>
      </c>
      <c r="O227" s="10">
        <f t="shared" si="100"/>
        <v>6968.7</v>
      </c>
      <c r="P227" s="10" t="s">
        <v>1062</v>
      </c>
      <c r="Q227" s="10" t="s">
        <v>1062</v>
      </c>
      <c r="R227" s="10" t="str">
        <f>IF(COUNTIF($J$2:J227,J227)=1,SUMIFS($O:$O,$J:$J,J227)+SUMIFS($P:$P,$J:$J,J227)+SUMIFS($Q:$Q,$J:$J,J227),"")</f>
        <v/>
      </c>
      <c r="S227" s="10" t="s">
        <v>1062</v>
      </c>
      <c r="T227" s="11" t="str">
        <f>IFERROR(INDEX(AD:AD,MATCH(J227,J:J,0)),"")</f>
        <v>Ok</v>
      </c>
      <c r="U227" s="12">
        <v>46105</v>
      </c>
      <c r="V227" s="10">
        <v>28.8</v>
      </c>
      <c r="W227" s="10" t="str">
        <f t="shared" si="101"/>
        <v>N/A</v>
      </c>
      <c r="X227" t="s">
        <v>207</v>
      </c>
      <c r="Y227" t="s">
        <v>27</v>
      </c>
      <c r="Z227">
        <v>100194</v>
      </c>
      <c r="AA227" t="s">
        <v>231</v>
      </c>
      <c r="AB227" t="s">
        <v>252</v>
      </c>
      <c r="AC227" s="9">
        <v>2</v>
      </c>
      <c r="AD227" s="9" t="str">
        <f t="shared" si="102"/>
        <v>N/A</v>
      </c>
      <c r="AE227" s="11" t="e">
        <f t="shared" si="103"/>
        <v>#VALUE!</v>
      </c>
    </row>
    <row r="228" spans="1:31" x14ac:dyDescent="0.3">
      <c r="A228">
        <v>30</v>
      </c>
      <c r="B228">
        <v>4758734</v>
      </c>
      <c r="C228" t="s">
        <v>91</v>
      </c>
      <c r="D228">
        <v>1023669</v>
      </c>
      <c r="E228" t="s">
        <v>277</v>
      </c>
      <c r="F228" t="s">
        <v>24</v>
      </c>
      <c r="G228" t="s">
        <v>583</v>
      </c>
      <c r="H228" t="s">
        <v>322</v>
      </c>
      <c r="I228" t="s">
        <v>839</v>
      </c>
      <c r="J228">
        <v>51153175068</v>
      </c>
      <c r="K228" t="s">
        <v>657</v>
      </c>
      <c r="L228" t="s">
        <v>690</v>
      </c>
      <c r="M228">
        <v>1</v>
      </c>
      <c r="N228" s="10">
        <v>5361.31</v>
      </c>
      <c r="O228" s="10">
        <f t="shared" si="100"/>
        <v>5361.31</v>
      </c>
      <c r="P228" s="10">
        <v>0</v>
      </c>
      <c r="Q228" s="10">
        <v>0</v>
      </c>
      <c r="R228" s="10">
        <f>IF(COUNTIF($J$2:J228,J228)=1,SUMIFS($O:$O,$J:$J,J228)+SUMIFS($P:$P,$J:$J,J228)+SUMIFS($Q:$Q,$J:$J,J228),"")</f>
        <v>6080.51</v>
      </c>
      <c r="S228" s="10">
        <v>6080.51</v>
      </c>
      <c r="T228" s="11" t="str">
        <f>IFERROR(INDEX(AD:AD,MATCH(J228,J:J,0)),"")</f>
        <v>Ok</v>
      </c>
      <c r="U228" s="12">
        <v>46064</v>
      </c>
      <c r="V228" s="10">
        <v>108.09</v>
      </c>
      <c r="W228" s="10" t="str">
        <f t="shared" si="101"/>
        <v>Short Paid</v>
      </c>
      <c r="X228" t="s">
        <v>207</v>
      </c>
      <c r="Y228" t="s">
        <v>37</v>
      </c>
      <c r="Z228">
        <v>100144</v>
      </c>
      <c r="AA228" t="s">
        <v>623</v>
      </c>
      <c r="AB228" t="s">
        <v>250</v>
      </c>
      <c r="AC228" s="9">
        <v>2</v>
      </c>
      <c r="AD228" s="9" t="str">
        <f t="shared" si="102"/>
        <v>Ok</v>
      </c>
      <c r="AE228" s="11">
        <f t="shared" si="103"/>
        <v>0</v>
      </c>
    </row>
    <row r="229" spans="1:31" x14ac:dyDescent="0.3">
      <c r="A229">
        <v>30</v>
      </c>
      <c r="B229">
        <v>4758734</v>
      </c>
      <c r="C229" t="s">
        <v>91</v>
      </c>
      <c r="D229">
        <v>1023669</v>
      </c>
      <c r="E229" t="s">
        <v>277</v>
      </c>
      <c r="F229" t="s">
        <v>24</v>
      </c>
      <c r="G229" t="s">
        <v>583</v>
      </c>
      <c r="H229" t="s">
        <v>322</v>
      </c>
      <c r="I229" t="s">
        <v>780</v>
      </c>
      <c r="J229">
        <v>51153175068</v>
      </c>
      <c r="K229" t="s">
        <v>667</v>
      </c>
      <c r="L229" t="s">
        <v>976</v>
      </c>
      <c r="M229">
        <v>1000</v>
      </c>
      <c r="N229" s="10">
        <v>0.71919999999999995</v>
      </c>
      <c r="O229" s="10">
        <f t="shared" si="100"/>
        <v>719.19999999999993</v>
      </c>
      <c r="P229" s="10" t="s">
        <v>1062</v>
      </c>
      <c r="Q229" s="10" t="s">
        <v>1062</v>
      </c>
      <c r="R229" s="10" t="str">
        <f>IF(COUNTIF($J$2:J229,J229)=1,SUMIFS($O:$O,$J:$J,J229)+SUMIFS($P:$P,$J:$J,J229)+SUMIFS($Q:$Q,$J:$J,J229),"")</f>
        <v/>
      </c>
      <c r="S229" s="10" t="s">
        <v>1062</v>
      </c>
      <c r="T229" s="11" t="str">
        <f>IFERROR(INDEX(AD:AD,MATCH(J229,J:J,0)),"")</f>
        <v>Ok</v>
      </c>
      <c r="U229" s="12">
        <v>46064</v>
      </c>
      <c r="V229" s="10">
        <v>108.09</v>
      </c>
      <c r="W229" s="10" t="str">
        <f t="shared" si="101"/>
        <v>N/A</v>
      </c>
      <c r="X229" t="s">
        <v>207</v>
      </c>
      <c r="Y229" t="s">
        <v>37</v>
      </c>
      <c r="Z229">
        <v>100144</v>
      </c>
      <c r="AA229" t="s">
        <v>623</v>
      </c>
      <c r="AB229" t="s">
        <v>250</v>
      </c>
      <c r="AC229" s="9">
        <v>2</v>
      </c>
      <c r="AD229" s="9" t="str">
        <f t="shared" si="102"/>
        <v>N/A</v>
      </c>
      <c r="AE229" s="11" t="e">
        <f t="shared" si="103"/>
        <v>#VALUE!</v>
      </c>
    </row>
    <row r="230" spans="1:31" x14ac:dyDescent="0.3">
      <c r="A230">
        <v>9</v>
      </c>
      <c r="B230">
        <v>4908730</v>
      </c>
      <c r="C230" t="s">
        <v>91</v>
      </c>
      <c r="D230">
        <v>1259030</v>
      </c>
      <c r="E230" t="s">
        <v>265</v>
      </c>
      <c r="F230" t="s">
        <v>19</v>
      </c>
      <c r="G230" t="s">
        <v>589</v>
      </c>
      <c r="H230" t="s">
        <v>590</v>
      </c>
      <c r="I230" t="s">
        <v>685</v>
      </c>
      <c r="J230">
        <v>51153579299</v>
      </c>
      <c r="K230" t="s">
        <v>842</v>
      </c>
      <c r="L230" t="s">
        <v>977</v>
      </c>
      <c r="M230">
        <v>150</v>
      </c>
      <c r="N230" s="10">
        <v>3.73</v>
      </c>
      <c r="O230" s="10">
        <f t="shared" ref="O230:O238" si="104">M230*N230</f>
        <v>559.5</v>
      </c>
      <c r="P230" s="10">
        <v>69.89</v>
      </c>
      <c r="Q230" s="10">
        <v>467.74999999999994</v>
      </c>
      <c r="R230" s="10">
        <f>IF(COUNTIF($J$2:J230,J230)=1,SUMIFS($O:$O,$J:$J,J230)+SUMIFS($P:$P,$J:$J,J230)+SUMIFS($Q:$Q,$J:$J,J230),"")</f>
        <v>5071.54</v>
      </c>
      <c r="S230" s="10">
        <v>5205.9399999999996</v>
      </c>
      <c r="T230" s="11" t="str">
        <f>IFERROR(INDEX(AD:AD,MATCH(J230,J:J,0)),"")</f>
        <v>Check</v>
      </c>
      <c r="U230" s="12">
        <v>46128</v>
      </c>
      <c r="V230" s="10">
        <v>4598.45</v>
      </c>
      <c r="W230" s="10" t="str">
        <f t="shared" ref="W230:W238" si="105">IF(OR(S230="",V230=""),"N/A",IF(S230&lt;&gt;V230,"Short Paid","Not Paid"))</f>
        <v>Short Paid</v>
      </c>
      <c r="X230" t="s">
        <v>207</v>
      </c>
      <c r="Y230" t="s">
        <v>27</v>
      </c>
      <c r="Z230">
        <v>100114</v>
      </c>
      <c r="AA230" t="s">
        <v>238</v>
      </c>
      <c r="AB230" t="s">
        <v>252</v>
      </c>
      <c r="AC230" s="9">
        <v>5</v>
      </c>
      <c r="AD230" s="9" t="str">
        <f t="shared" ref="AD230:AD238" si="106">IF(AND(R230="",S230=""),"N/A",IF(R230=S230,"Ok","Check"))</f>
        <v>Check</v>
      </c>
      <c r="AE230" s="11">
        <f t="shared" ref="AE230:AE238" si="107">R230-S230</f>
        <v>-134.39999999999964</v>
      </c>
    </row>
    <row r="231" spans="1:31" x14ac:dyDescent="0.3">
      <c r="A231">
        <v>9</v>
      </c>
      <c r="B231">
        <v>4908730</v>
      </c>
      <c r="C231" t="s">
        <v>91</v>
      </c>
      <c r="D231">
        <v>1259030</v>
      </c>
      <c r="E231" t="s">
        <v>265</v>
      </c>
      <c r="F231" t="s">
        <v>19</v>
      </c>
      <c r="G231" t="s">
        <v>589</v>
      </c>
      <c r="H231" t="s">
        <v>590</v>
      </c>
      <c r="I231" t="s">
        <v>685</v>
      </c>
      <c r="J231">
        <v>51153579299</v>
      </c>
      <c r="K231" t="s">
        <v>759</v>
      </c>
      <c r="L231" t="s">
        <v>978</v>
      </c>
      <c r="M231">
        <v>1000</v>
      </c>
      <c r="N231" s="10">
        <v>1.1499999999999999</v>
      </c>
      <c r="O231" s="10">
        <f t="shared" si="104"/>
        <v>1150</v>
      </c>
      <c r="P231" s="10" t="s">
        <v>1062</v>
      </c>
      <c r="Q231" s="10" t="s">
        <v>1062</v>
      </c>
      <c r="R231" s="10" t="str">
        <f>IF(COUNTIF($J$2:J231,J231)=1,SUMIFS($O:$O,$J:$J,J231)+SUMIFS($P:$P,$J:$J,J231)+SUMIFS($Q:$Q,$J:$J,J231),"")</f>
        <v/>
      </c>
      <c r="S231" s="10" t="s">
        <v>1062</v>
      </c>
      <c r="T231" s="11" t="str">
        <f>IFERROR(INDEX(AD:AD,MATCH(J231,J:J,0)),"")</f>
        <v>Check</v>
      </c>
      <c r="U231" s="12">
        <v>46128</v>
      </c>
      <c r="V231" s="10">
        <v>4598.45</v>
      </c>
      <c r="W231" s="10" t="str">
        <f t="shared" si="105"/>
        <v>N/A</v>
      </c>
      <c r="X231" t="s">
        <v>207</v>
      </c>
      <c r="Y231" t="s">
        <v>27</v>
      </c>
      <c r="Z231">
        <v>100114</v>
      </c>
      <c r="AA231" t="s">
        <v>238</v>
      </c>
      <c r="AB231" t="s">
        <v>252</v>
      </c>
      <c r="AC231" s="9">
        <v>5</v>
      </c>
      <c r="AD231" s="9" t="str">
        <f t="shared" si="106"/>
        <v>N/A</v>
      </c>
      <c r="AE231" s="11" t="e">
        <f t="shared" si="107"/>
        <v>#VALUE!</v>
      </c>
    </row>
    <row r="232" spans="1:31" x14ac:dyDescent="0.3">
      <c r="A232">
        <v>9</v>
      </c>
      <c r="B232">
        <v>4908730</v>
      </c>
      <c r="C232" t="s">
        <v>91</v>
      </c>
      <c r="D232">
        <v>1259030</v>
      </c>
      <c r="E232" t="s">
        <v>265</v>
      </c>
      <c r="F232" t="s">
        <v>19</v>
      </c>
      <c r="G232" t="s">
        <v>589</v>
      </c>
      <c r="H232" t="s">
        <v>590</v>
      </c>
      <c r="I232" t="s">
        <v>685</v>
      </c>
      <c r="J232">
        <v>51153579299</v>
      </c>
      <c r="K232" t="s">
        <v>719</v>
      </c>
      <c r="L232" t="s">
        <v>979</v>
      </c>
      <c r="M232">
        <v>1960</v>
      </c>
      <c r="N232" s="10">
        <v>0.17</v>
      </c>
      <c r="O232" s="10">
        <f t="shared" si="104"/>
        <v>333.20000000000005</v>
      </c>
      <c r="P232" s="10" t="s">
        <v>1062</v>
      </c>
      <c r="Q232" s="10" t="s">
        <v>1062</v>
      </c>
      <c r="R232" s="10" t="str">
        <f>IF(COUNTIF($J$2:J232,J232)=1,SUMIFS($O:$O,$J:$J,J232)+SUMIFS($P:$P,$J:$J,J232)+SUMIFS($Q:$Q,$J:$J,J232),"")</f>
        <v/>
      </c>
      <c r="S232" s="10" t="s">
        <v>1062</v>
      </c>
      <c r="T232" s="11" t="str">
        <f>IFERROR(INDEX(AD:AD,MATCH(J232,J:J,0)),"")</f>
        <v>Check</v>
      </c>
      <c r="U232" s="12">
        <v>46128</v>
      </c>
      <c r="V232" s="10">
        <v>4598.45</v>
      </c>
      <c r="W232" s="10" t="str">
        <f t="shared" si="105"/>
        <v>N/A</v>
      </c>
      <c r="X232" t="s">
        <v>207</v>
      </c>
      <c r="Y232" t="s">
        <v>27</v>
      </c>
      <c r="Z232">
        <v>100114</v>
      </c>
      <c r="AA232" t="s">
        <v>238</v>
      </c>
      <c r="AB232" t="s">
        <v>252</v>
      </c>
      <c r="AC232" s="9">
        <v>5</v>
      </c>
      <c r="AD232" s="9" t="str">
        <f t="shared" si="106"/>
        <v>N/A</v>
      </c>
      <c r="AE232" s="11" t="e">
        <f t="shared" si="107"/>
        <v>#VALUE!</v>
      </c>
    </row>
    <row r="233" spans="1:31" x14ac:dyDescent="0.3">
      <c r="A233">
        <v>9</v>
      </c>
      <c r="B233">
        <v>4908730</v>
      </c>
      <c r="C233" t="s">
        <v>91</v>
      </c>
      <c r="D233">
        <v>1259030</v>
      </c>
      <c r="E233" t="s">
        <v>265</v>
      </c>
      <c r="F233" t="s">
        <v>19</v>
      </c>
      <c r="G233" t="s">
        <v>589</v>
      </c>
      <c r="H233" t="s">
        <v>590</v>
      </c>
      <c r="I233" t="s">
        <v>685</v>
      </c>
      <c r="J233">
        <v>51153579299</v>
      </c>
      <c r="K233" t="s">
        <v>683</v>
      </c>
      <c r="L233" t="s">
        <v>980</v>
      </c>
      <c r="M233">
        <v>30000</v>
      </c>
      <c r="N233" s="10">
        <v>6.9599999999999995E-2</v>
      </c>
      <c r="O233" s="10">
        <f t="shared" si="104"/>
        <v>2088</v>
      </c>
      <c r="P233" s="10" t="s">
        <v>1062</v>
      </c>
      <c r="Q233" s="10" t="s">
        <v>1062</v>
      </c>
      <c r="R233" s="10" t="str">
        <f>IF(COUNTIF($J$2:J233,J233)=1,SUMIFS($O:$O,$J:$J,J233)+SUMIFS($P:$P,$J:$J,J233)+SUMIFS($Q:$Q,$J:$J,J233),"")</f>
        <v/>
      </c>
      <c r="S233" s="10" t="s">
        <v>1062</v>
      </c>
      <c r="T233" s="11" t="str">
        <f>IFERROR(INDEX(AD:AD,MATCH(J233,J:J,0)),"")</f>
        <v>Check</v>
      </c>
      <c r="U233" s="12">
        <v>46128</v>
      </c>
      <c r="V233" s="10">
        <v>4598.45</v>
      </c>
      <c r="W233" s="10" t="str">
        <f t="shared" si="105"/>
        <v>N/A</v>
      </c>
      <c r="X233" t="s">
        <v>207</v>
      </c>
      <c r="Y233" t="s">
        <v>27</v>
      </c>
      <c r="Z233">
        <v>100114</v>
      </c>
      <c r="AA233" t="s">
        <v>238</v>
      </c>
      <c r="AB233" t="s">
        <v>252</v>
      </c>
      <c r="AC233" s="9">
        <v>5</v>
      </c>
      <c r="AD233" s="9" t="str">
        <f t="shared" si="106"/>
        <v>N/A</v>
      </c>
      <c r="AE233" s="11" t="e">
        <f t="shared" si="107"/>
        <v>#VALUE!</v>
      </c>
    </row>
    <row r="234" spans="1:31" x14ac:dyDescent="0.3">
      <c r="A234">
        <v>9</v>
      </c>
      <c r="B234">
        <v>4908730</v>
      </c>
      <c r="C234" t="s">
        <v>91</v>
      </c>
      <c r="D234">
        <v>1259030</v>
      </c>
      <c r="E234" t="s">
        <v>265</v>
      </c>
      <c r="F234" t="s">
        <v>19</v>
      </c>
      <c r="G234" t="s">
        <v>589</v>
      </c>
      <c r="H234" t="s">
        <v>590</v>
      </c>
      <c r="I234" t="s">
        <v>671</v>
      </c>
      <c r="J234">
        <v>51153579299</v>
      </c>
      <c r="K234" t="s">
        <v>711</v>
      </c>
      <c r="L234" t="s">
        <v>877</v>
      </c>
      <c r="M234">
        <v>90000</v>
      </c>
      <c r="N234" s="10">
        <v>4.4799999999999996E-3</v>
      </c>
      <c r="O234" s="10">
        <f t="shared" si="104"/>
        <v>403.2</v>
      </c>
      <c r="P234" s="10" t="s">
        <v>1062</v>
      </c>
      <c r="Q234" s="10" t="s">
        <v>1062</v>
      </c>
      <c r="R234" s="10" t="str">
        <f>IF(COUNTIF($J$2:J234,J234)=1,SUMIFS($O:$O,$J:$J,J234)+SUMIFS($P:$P,$J:$J,J234)+SUMIFS($Q:$Q,$J:$J,J234),"")</f>
        <v/>
      </c>
      <c r="S234" s="10" t="s">
        <v>1062</v>
      </c>
      <c r="T234" s="11" t="str">
        <f>IFERROR(INDEX(AD:AD,MATCH(J234,J:J,0)),"")</f>
        <v>Check</v>
      </c>
      <c r="U234" s="12">
        <v>46128</v>
      </c>
      <c r="V234" s="10">
        <v>4598.45</v>
      </c>
      <c r="W234" s="10" t="str">
        <f t="shared" si="105"/>
        <v>N/A</v>
      </c>
      <c r="X234" t="s">
        <v>207</v>
      </c>
      <c r="Y234" t="s">
        <v>27</v>
      </c>
      <c r="Z234">
        <v>100114</v>
      </c>
      <c r="AA234" t="s">
        <v>238</v>
      </c>
      <c r="AB234" t="s">
        <v>252</v>
      </c>
      <c r="AC234" s="9">
        <v>5</v>
      </c>
      <c r="AD234" s="9" t="str">
        <f t="shared" si="106"/>
        <v>N/A</v>
      </c>
      <c r="AE234" s="11" t="e">
        <f t="shared" si="107"/>
        <v>#VALUE!</v>
      </c>
    </row>
    <row r="235" spans="1:31" x14ac:dyDescent="0.3">
      <c r="A235">
        <v>29</v>
      </c>
      <c r="B235">
        <v>4761517</v>
      </c>
      <c r="C235" t="s">
        <v>91</v>
      </c>
      <c r="D235">
        <v>1262308</v>
      </c>
      <c r="E235" t="s">
        <v>268</v>
      </c>
      <c r="F235" t="s">
        <v>24</v>
      </c>
      <c r="G235" t="s">
        <v>327</v>
      </c>
      <c r="H235" t="s">
        <v>328</v>
      </c>
      <c r="I235" t="s">
        <v>808</v>
      </c>
      <c r="J235">
        <v>51153876918</v>
      </c>
      <c r="K235" t="s">
        <v>706</v>
      </c>
      <c r="L235" t="s">
        <v>981</v>
      </c>
      <c r="M235">
        <v>2</v>
      </c>
      <c r="N235" s="10">
        <v>1258</v>
      </c>
      <c r="O235" s="10">
        <f t="shared" si="104"/>
        <v>2516</v>
      </c>
      <c r="P235" s="10">
        <v>1431.6</v>
      </c>
      <c r="Q235" s="10">
        <v>0</v>
      </c>
      <c r="R235" s="10">
        <f>IF(COUNTIF($J$2:J235,J235)=1,SUMIFS($O:$O,$J:$J,J235)+SUMIFS($P:$P,$J:$J,J235)+SUMIFS($Q:$Q,$J:$J,J235),"")</f>
        <v>24399.079999999998</v>
      </c>
      <c r="S235" s="10">
        <v>24399.08</v>
      </c>
      <c r="T235" s="11" t="str">
        <f>IFERROR(INDEX(AD:AD,MATCH(J235,J:J,0)),"")</f>
        <v>Ok</v>
      </c>
      <c r="U235" s="12">
        <v>46066</v>
      </c>
      <c r="V235" s="10">
        <v>4067.1</v>
      </c>
      <c r="W235" s="10" t="str">
        <f t="shared" si="105"/>
        <v>Short Paid</v>
      </c>
      <c r="X235" t="s">
        <v>207</v>
      </c>
      <c r="Y235" t="s">
        <v>37</v>
      </c>
      <c r="Z235">
        <v>100184</v>
      </c>
      <c r="AA235" t="s">
        <v>627</v>
      </c>
      <c r="AB235" t="s">
        <v>250</v>
      </c>
      <c r="AC235" s="9">
        <v>2</v>
      </c>
      <c r="AD235" s="9" t="str">
        <f t="shared" si="106"/>
        <v>Ok</v>
      </c>
      <c r="AE235" s="11">
        <f t="shared" si="107"/>
        <v>0</v>
      </c>
    </row>
    <row r="236" spans="1:31" x14ac:dyDescent="0.3">
      <c r="A236">
        <v>29</v>
      </c>
      <c r="B236">
        <v>4761517</v>
      </c>
      <c r="C236" t="s">
        <v>91</v>
      </c>
      <c r="D236">
        <v>1262308</v>
      </c>
      <c r="E236" t="s">
        <v>268</v>
      </c>
      <c r="F236" t="s">
        <v>24</v>
      </c>
      <c r="G236" t="s">
        <v>327</v>
      </c>
      <c r="H236" t="s">
        <v>328</v>
      </c>
      <c r="I236" t="s">
        <v>661</v>
      </c>
      <c r="J236">
        <v>51153876918</v>
      </c>
      <c r="K236" t="s">
        <v>888</v>
      </c>
      <c r="L236" t="s">
        <v>982</v>
      </c>
      <c r="M236">
        <v>5271</v>
      </c>
      <c r="N236" s="10">
        <v>3.88</v>
      </c>
      <c r="O236" s="10">
        <f t="shared" si="104"/>
        <v>20451.48</v>
      </c>
      <c r="P236" s="10" t="s">
        <v>1062</v>
      </c>
      <c r="Q236" s="10" t="s">
        <v>1062</v>
      </c>
      <c r="R236" s="10" t="str">
        <f>IF(COUNTIF($J$2:J236,J236)=1,SUMIFS($O:$O,$J:$J,J236)+SUMIFS($P:$P,$J:$J,J236)+SUMIFS($Q:$Q,$J:$J,J236),"")</f>
        <v/>
      </c>
      <c r="S236" s="10" t="s">
        <v>1062</v>
      </c>
      <c r="T236" s="11" t="str">
        <f>IFERROR(INDEX(AD:AD,MATCH(J236,J:J,0)),"")</f>
        <v>Ok</v>
      </c>
      <c r="U236" s="12">
        <v>46066</v>
      </c>
      <c r="V236" s="10">
        <v>4067.1</v>
      </c>
      <c r="W236" s="10" t="str">
        <f t="shared" si="105"/>
        <v>N/A</v>
      </c>
      <c r="X236" t="s">
        <v>207</v>
      </c>
      <c r="Y236" t="s">
        <v>37</v>
      </c>
      <c r="Z236">
        <v>100184</v>
      </c>
      <c r="AA236" t="s">
        <v>627</v>
      </c>
      <c r="AB236" t="s">
        <v>250</v>
      </c>
      <c r="AC236" s="9">
        <v>2</v>
      </c>
      <c r="AD236" s="9" t="str">
        <f t="shared" si="106"/>
        <v>N/A</v>
      </c>
      <c r="AE236" s="11" t="e">
        <f t="shared" si="107"/>
        <v>#VALUE!</v>
      </c>
    </row>
    <row r="237" spans="1:31" x14ac:dyDescent="0.3">
      <c r="A237">
        <v>30</v>
      </c>
      <c r="B237">
        <v>4759013</v>
      </c>
      <c r="C237" t="s">
        <v>91</v>
      </c>
      <c r="D237">
        <v>1187239</v>
      </c>
      <c r="E237" t="s">
        <v>279</v>
      </c>
      <c r="F237" t="s">
        <v>20</v>
      </c>
      <c r="G237" t="s">
        <v>323</v>
      </c>
      <c r="H237" t="s">
        <v>324</v>
      </c>
      <c r="I237" t="s">
        <v>846</v>
      </c>
      <c r="J237">
        <v>51153964327</v>
      </c>
      <c r="K237" t="s">
        <v>854</v>
      </c>
      <c r="L237" t="s">
        <v>983</v>
      </c>
      <c r="M237">
        <v>250</v>
      </c>
      <c r="N237" s="10">
        <v>4</v>
      </c>
      <c r="O237" s="10">
        <f t="shared" si="104"/>
        <v>1000</v>
      </c>
      <c r="P237" s="10">
        <v>0</v>
      </c>
      <c r="Q237" s="10">
        <v>190</v>
      </c>
      <c r="R237" s="10">
        <f>IF(COUNTIF($J$2:J237,J237)=1,SUMIFS($O:$O,$J:$J,J237)+SUMIFS($P:$P,$J:$J,J237)+SUMIFS($Q:$Q,$J:$J,J237),"")</f>
        <v>48860</v>
      </c>
      <c r="S237" s="10">
        <v>48860</v>
      </c>
      <c r="T237" s="11" t="str">
        <f>IFERROR(INDEX(AD:AD,MATCH(J237,J:J,0)),"")</f>
        <v>Ok</v>
      </c>
      <c r="U237" s="12">
        <v>46064</v>
      </c>
      <c r="V237" s="10">
        <v>1190</v>
      </c>
      <c r="W237" s="10" t="str">
        <f t="shared" si="105"/>
        <v>Short Paid</v>
      </c>
      <c r="X237" t="s">
        <v>207</v>
      </c>
      <c r="Y237" t="s">
        <v>27</v>
      </c>
      <c r="Z237">
        <v>100154</v>
      </c>
      <c r="AA237" t="s">
        <v>224</v>
      </c>
      <c r="AB237" t="s">
        <v>249</v>
      </c>
      <c r="AC237" s="9">
        <v>2</v>
      </c>
      <c r="AD237" s="9" t="str">
        <f t="shared" si="106"/>
        <v>Ok</v>
      </c>
      <c r="AE237" s="11">
        <f t="shared" si="107"/>
        <v>0</v>
      </c>
    </row>
    <row r="238" spans="1:31" x14ac:dyDescent="0.3">
      <c r="A238">
        <v>30</v>
      </c>
      <c r="B238">
        <v>4759013</v>
      </c>
      <c r="C238" t="s">
        <v>91</v>
      </c>
      <c r="D238">
        <v>1187239</v>
      </c>
      <c r="E238" t="s">
        <v>279</v>
      </c>
      <c r="F238" t="s">
        <v>20</v>
      </c>
      <c r="G238" t="s">
        <v>323</v>
      </c>
      <c r="H238" t="s">
        <v>324</v>
      </c>
      <c r="I238" t="s">
        <v>702</v>
      </c>
      <c r="J238">
        <v>51153964327</v>
      </c>
      <c r="K238" t="s">
        <v>657</v>
      </c>
      <c r="L238" t="s">
        <v>984</v>
      </c>
      <c r="M238">
        <v>15</v>
      </c>
      <c r="N238" s="10">
        <v>3178</v>
      </c>
      <c r="O238" s="10">
        <f t="shared" si="104"/>
        <v>47670</v>
      </c>
      <c r="P238" s="10" t="s">
        <v>1062</v>
      </c>
      <c r="Q238" s="10" t="s">
        <v>1062</v>
      </c>
      <c r="R238" s="10" t="str">
        <f>IF(COUNTIF($J$2:J238,J238)=1,SUMIFS($O:$O,$J:$J,J238)+SUMIFS($P:$P,$J:$J,J238)+SUMIFS($Q:$Q,$J:$J,J238),"")</f>
        <v/>
      </c>
      <c r="S238" s="10" t="s">
        <v>1062</v>
      </c>
      <c r="T238" s="11" t="str">
        <f>IFERROR(INDEX(AD:AD,MATCH(J238,J:J,0)),"")</f>
        <v>Ok</v>
      </c>
      <c r="U238" s="12">
        <v>46064</v>
      </c>
      <c r="V238" s="10">
        <v>1190</v>
      </c>
      <c r="W238" s="10" t="str">
        <f t="shared" si="105"/>
        <v>N/A</v>
      </c>
      <c r="X238" t="s">
        <v>207</v>
      </c>
      <c r="Y238" t="s">
        <v>27</v>
      </c>
      <c r="Z238">
        <v>100154</v>
      </c>
      <c r="AA238" t="s">
        <v>224</v>
      </c>
      <c r="AB238" t="s">
        <v>249</v>
      </c>
      <c r="AC238" s="9">
        <v>2</v>
      </c>
      <c r="AD238" s="9" t="str">
        <f t="shared" si="106"/>
        <v>N/A</v>
      </c>
      <c r="AE238" s="11" t="e">
        <f t="shared" si="107"/>
        <v>#VALUE!</v>
      </c>
    </row>
    <row r="239" spans="1:31" x14ac:dyDescent="0.3">
      <c r="A239">
        <v>15</v>
      </c>
      <c r="B239">
        <v>4874223</v>
      </c>
      <c r="C239" t="s">
        <v>91</v>
      </c>
      <c r="D239">
        <v>1180001</v>
      </c>
      <c r="E239" t="s">
        <v>276</v>
      </c>
      <c r="F239" t="s">
        <v>20</v>
      </c>
      <c r="G239" t="s">
        <v>340</v>
      </c>
      <c r="H239" t="s">
        <v>341</v>
      </c>
      <c r="I239" t="s">
        <v>691</v>
      </c>
      <c r="J239">
        <v>51154911653</v>
      </c>
      <c r="K239" t="s">
        <v>782</v>
      </c>
      <c r="L239" t="s">
        <v>985</v>
      </c>
      <c r="M239">
        <v>460000</v>
      </c>
      <c r="N239" s="10">
        <v>5.4999999999999997E-3</v>
      </c>
      <c r="O239" s="10">
        <f t="shared" ref="O239:O252" si="108">M239*N239</f>
        <v>2530</v>
      </c>
      <c r="P239" s="10">
        <v>392.86</v>
      </c>
      <c r="Q239" s="10">
        <v>1371.1499999999999</v>
      </c>
      <c r="R239" s="10">
        <f>IF(COUNTIF($J$2:J239,J239)=1,SUMIFS($O:$O,$J:$J,J239)+SUMIFS($P:$P,$J:$J,J239)+SUMIFS($Q:$Q,$J:$J,J239),"")</f>
        <v>8165.5099999999993</v>
      </c>
      <c r="S239" s="10">
        <v>8165.51</v>
      </c>
      <c r="T239" s="11" t="str">
        <f>IFERROR(INDEX(AD:AD,MATCH(J239,J:J,0)),"")</f>
        <v>Ok</v>
      </c>
      <c r="U239" s="12">
        <v>46027</v>
      </c>
      <c r="V239" s="10">
        <v>3010.7</v>
      </c>
      <c r="W239" s="10" t="str">
        <f t="shared" ref="W239:W252" si="109">IF(OR(S239="",V239=""),"N/A",IF(S239&lt;&gt;V239,"Short Paid","Not Paid"))</f>
        <v>Short Paid</v>
      </c>
      <c r="X239" t="s">
        <v>207</v>
      </c>
      <c r="Y239" t="s">
        <v>27</v>
      </c>
      <c r="Z239">
        <v>100234</v>
      </c>
      <c r="AA239" t="s">
        <v>241</v>
      </c>
      <c r="AB239" t="s">
        <v>249</v>
      </c>
      <c r="AC239" s="9">
        <v>2</v>
      </c>
      <c r="AD239" s="9" t="str">
        <f t="shared" ref="AD239:AD252" si="110">IF(AND(R239="",S239=""),"N/A",IF(R239=S239,"Ok","Check"))</f>
        <v>Ok</v>
      </c>
      <c r="AE239" s="11">
        <f t="shared" ref="AE239:AE252" si="111">R239-S239</f>
        <v>0</v>
      </c>
    </row>
    <row r="240" spans="1:31" x14ac:dyDescent="0.3">
      <c r="A240">
        <v>15</v>
      </c>
      <c r="B240">
        <v>4874223</v>
      </c>
      <c r="C240" t="s">
        <v>91</v>
      </c>
      <c r="D240">
        <v>1180001</v>
      </c>
      <c r="E240" t="s">
        <v>276</v>
      </c>
      <c r="F240" t="s">
        <v>20</v>
      </c>
      <c r="G240" t="s">
        <v>340</v>
      </c>
      <c r="H240" t="s">
        <v>341</v>
      </c>
      <c r="I240" t="s">
        <v>675</v>
      </c>
      <c r="J240">
        <v>51154911653</v>
      </c>
      <c r="K240" t="s">
        <v>851</v>
      </c>
      <c r="L240" t="s">
        <v>850</v>
      </c>
      <c r="M240">
        <v>5000</v>
      </c>
      <c r="N240" s="10">
        <v>0.77429999999999999</v>
      </c>
      <c r="O240" s="10">
        <f t="shared" si="108"/>
        <v>3871.5</v>
      </c>
      <c r="P240" s="10" t="s">
        <v>1062</v>
      </c>
      <c r="Q240" s="10" t="s">
        <v>1062</v>
      </c>
      <c r="R240" s="10" t="str">
        <f>IF(COUNTIF($J$2:J240,J240)=1,SUMIFS($O:$O,$J:$J,J240)+SUMIFS($P:$P,$J:$J,J240)+SUMIFS($Q:$Q,$J:$J,J240),"")</f>
        <v/>
      </c>
      <c r="S240" s="10" t="s">
        <v>1062</v>
      </c>
      <c r="T240" s="11" t="str">
        <f>IFERROR(INDEX(AD:AD,MATCH(J240,J:J,0)),"")</f>
        <v>Ok</v>
      </c>
      <c r="U240" s="12">
        <v>46027</v>
      </c>
      <c r="V240" s="10">
        <v>3010.7</v>
      </c>
      <c r="W240" s="10" t="str">
        <f t="shared" si="109"/>
        <v>N/A</v>
      </c>
      <c r="X240" t="s">
        <v>207</v>
      </c>
      <c r="Y240" t="s">
        <v>27</v>
      </c>
      <c r="Z240">
        <v>100234</v>
      </c>
      <c r="AA240" t="s">
        <v>241</v>
      </c>
      <c r="AB240" t="s">
        <v>249</v>
      </c>
      <c r="AC240" s="9">
        <v>2</v>
      </c>
      <c r="AD240" s="9" t="str">
        <f t="shared" si="110"/>
        <v>N/A</v>
      </c>
      <c r="AE240" s="11" t="e">
        <f t="shared" si="111"/>
        <v>#VALUE!</v>
      </c>
    </row>
    <row r="241" spans="1:31" x14ac:dyDescent="0.3">
      <c r="A241">
        <v>17</v>
      </c>
      <c r="B241">
        <v>4863091</v>
      </c>
      <c r="C241" t="s">
        <v>91</v>
      </c>
      <c r="D241">
        <v>1819614</v>
      </c>
      <c r="E241" t="s">
        <v>1025</v>
      </c>
      <c r="F241" t="s">
        <v>19</v>
      </c>
      <c r="G241" t="s">
        <v>334</v>
      </c>
      <c r="H241" t="s">
        <v>335</v>
      </c>
      <c r="I241" t="s">
        <v>807</v>
      </c>
      <c r="J241">
        <v>51155103683</v>
      </c>
      <c r="K241" t="s">
        <v>657</v>
      </c>
      <c r="L241" t="s">
        <v>864</v>
      </c>
      <c r="M241">
        <v>85000</v>
      </c>
      <c r="N241" s="10">
        <v>6.7199999999999996E-2</v>
      </c>
      <c r="O241" s="10">
        <f t="shared" si="108"/>
        <v>5712</v>
      </c>
      <c r="P241" s="10">
        <v>0</v>
      </c>
      <c r="Q241" s="10">
        <v>458.02</v>
      </c>
      <c r="R241" s="10">
        <f>IF(COUNTIF($J$2:J241,J241)=1,SUMIFS($O:$O,$J:$J,J241)+SUMIFS($P:$P,$J:$J,J241)+SUMIFS($Q:$Q,$J:$J,J241),"")</f>
        <v>21977.43</v>
      </c>
      <c r="S241" s="10">
        <v>33440.07</v>
      </c>
      <c r="T241" s="11" t="str">
        <f>IFERROR(INDEX(AD:AD,MATCH(J241,J:J,0)),"")</f>
        <v>Check</v>
      </c>
      <c r="U241" s="12">
        <v>46059</v>
      </c>
      <c r="V241" s="10">
        <v>27728.07</v>
      </c>
      <c r="W241" s="10" t="str">
        <f t="shared" si="109"/>
        <v>Short Paid</v>
      </c>
      <c r="X241" t="s">
        <v>207</v>
      </c>
      <c r="Y241" t="s">
        <v>27</v>
      </c>
      <c r="Z241">
        <v>100234</v>
      </c>
      <c r="AA241" t="s">
        <v>241</v>
      </c>
      <c r="AB241" t="s">
        <v>252</v>
      </c>
      <c r="AC241" s="9">
        <v>12</v>
      </c>
      <c r="AD241" s="9" t="str">
        <f t="shared" si="110"/>
        <v>Check</v>
      </c>
      <c r="AE241" s="11">
        <f t="shared" si="111"/>
        <v>-11462.64</v>
      </c>
    </row>
    <row r="242" spans="1:31" x14ac:dyDescent="0.3">
      <c r="A242">
        <v>17</v>
      </c>
      <c r="B242">
        <v>4863091</v>
      </c>
      <c r="C242" t="s">
        <v>91</v>
      </c>
      <c r="D242">
        <v>1819614</v>
      </c>
      <c r="E242" t="s">
        <v>1025</v>
      </c>
      <c r="F242" t="s">
        <v>19</v>
      </c>
      <c r="G242" t="s">
        <v>334</v>
      </c>
      <c r="H242" t="s">
        <v>335</v>
      </c>
      <c r="I242" t="s">
        <v>689</v>
      </c>
      <c r="J242">
        <v>51155103683</v>
      </c>
      <c r="K242" t="s">
        <v>707</v>
      </c>
      <c r="L242" t="s">
        <v>986</v>
      </c>
      <c r="M242">
        <v>1000</v>
      </c>
      <c r="N242" s="10">
        <v>0.21625</v>
      </c>
      <c r="O242" s="10">
        <f t="shared" si="108"/>
        <v>216.25</v>
      </c>
      <c r="P242" s="10" t="s">
        <v>1062</v>
      </c>
      <c r="Q242" s="10" t="s">
        <v>1062</v>
      </c>
      <c r="R242" s="10" t="str">
        <f>IF(COUNTIF($J$2:J242,J242)=1,SUMIFS($O:$O,$J:$J,J242)+SUMIFS($P:$P,$J:$J,J242)+SUMIFS($Q:$Q,$J:$J,J242),"")</f>
        <v/>
      </c>
      <c r="S242" s="10" t="s">
        <v>1062</v>
      </c>
      <c r="T242" s="11" t="str">
        <f>IFERROR(INDEX(AD:AD,MATCH(J242,J:J,0)),"")</f>
        <v>Check</v>
      </c>
      <c r="U242" s="12">
        <v>46059</v>
      </c>
      <c r="V242" s="10">
        <v>27728.07</v>
      </c>
      <c r="W242" s="10" t="str">
        <f t="shared" si="109"/>
        <v>N/A</v>
      </c>
      <c r="X242" t="s">
        <v>207</v>
      </c>
      <c r="Y242" t="s">
        <v>27</v>
      </c>
      <c r="Z242">
        <v>100234</v>
      </c>
      <c r="AA242" t="s">
        <v>241</v>
      </c>
      <c r="AB242" t="s">
        <v>252</v>
      </c>
      <c r="AC242" s="9">
        <v>12</v>
      </c>
      <c r="AD242" s="9" t="str">
        <f t="shared" si="110"/>
        <v>N/A</v>
      </c>
      <c r="AE242" s="11" t="e">
        <f t="shared" si="111"/>
        <v>#VALUE!</v>
      </c>
    </row>
    <row r="243" spans="1:31" x14ac:dyDescent="0.3">
      <c r="A243">
        <v>17</v>
      </c>
      <c r="B243">
        <v>4863091</v>
      </c>
      <c r="C243" t="s">
        <v>91</v>
      </c>
      <c r="D243">
        <v>1819614</v>
      </c>
      <c r="E243" t="s">
        <v>1025</v>
      </c>
      <c r="F243" t="s">
        <v>19</v>
      </c>
      <c r="G243" t="s">
        <v>334</v>
      </c>
      <c r="H243" t="s">
        <v>335</v>
      </c>
      <c r="I243" t="s">
        <v>689</v>
      </c>
      <c r="J243">
        <v>51155103683</v>
      </c>
      <c r="K243" t="s">
        <v>781</v>
      </c>
      <c r="L243" t="s">
        <v>987</v>
      </c>
      <c r="M243">
        <v>12000</v>
      </c>
      <c r="N243" s="10">
        <v>2.333E-2</v>
      </c>
      <c r="O243" s="10">
        <f t="shared" si="108"/>
        <v>279.95999999999998</v>
      </c>
      <c r="P243" s="10" t="s">
        <v>1062</v>
      </c>
      <c r="Q243" s="10" t="s">
        <v>1062</v>
      </c>
      <c r="R243" s="10" t="str">
        <f>IF(COUNTIF($J$2:J243,J243)=1,SUMIFS($O:$O,$J:$J,J243)+SUMIFS($P:$P,$J:$J,J243)+SUMIFS($Q:$Q,$J:$J,J243),"")</f>
        <v/>
      </c>
      <c r="S243" s="10" t="s">
        <v>1062</v>
      </c>
      <c r="T243" s="11" t="str">
        <f>IFERROR(INDEX(AD:AD,MATCH(J243,J:J,0)),"")</f>
        <v>Check</v>
      </c>
      <c r="U243" s="12">
        <v>46059</v>
      </c>
      <c r="V243" s="10">
        <v>27728.07</v>
      </c>
      <c r="W243" s="10" t="str">
        <f t="shared" si="109"/>
        <v>N/A</v>
      </c>
      <c r="X243" t="s">
        <v>207</v>
      </c>
      <c r="Y243" t="s">
        <v>27</v>
      </c>
      <c r="Z243">
        <v>100234</v>
      </c>
      <c r="AA243" t="s">
        <v>241</v>
      </c>
      <c r="AB243" t="s">
        <v>252</v>
      </c>
      <c r="AC243" s="9">
        <v>12</v>
      </c>
      <c r="AD243" s="9" t="str">
        <f t="shared" si="110"/>
        <v>N/A</v>
      </c>
      <c r="AE243" s="11" t="e">
        <f t="shared" si="111"/>
        <v>#VALUE!</v>
      </c>
    </row>
    <row r="244" spans="1:31" x14ac:dyDescent="0.3">
      <c r="A244">
        <v>17</v>
      </c>
      <c r="B244">
        <v>4863091</v>
      </c>
      <c r="C244" t="s">
        <v>91</v>
      </c>
      <c r="D244">
        <v>1819614</v>
      </c>
      <c r="E244" t="s">
        <v>1025</v>
      </c>
      <c r="F244" t="s">
        <v>19</v>
      </c>
      <c r="G244" t="s">
        <v>334</v>
      </c>
      <c r="H244" t="s">
        <v>335</v>
      </c>
      <c r="I244" t="s">
        <v>689</v>
      </c>
      <c r="J244">
        <v>51155103683</v>
      </c>
      <c r="K244" t="s">
        <v>699</v>
      </c>
      <c r="L244" t="s">
        <v>988</v>
      </c>
      <c r="M244">
        <v>30000</v>
      </c>
      <c r="N244" s="10">
        <v>0.1129</v>
      </c>
      <c r="O244" s="10">
        <f t="shared" si="108"/>
        <v>3387</v>
      </c>
      <c r="P244" s="10" t="s">
        <v>1062</v>
      </c>
      <c r="Q244" s="10" t="s">
        <v>1062</v>
      </c>
      <c r="R244" s="10" t="str">
        <f>IF(COUNTIF($J$2:J244,J244)=1,SUMIFS($O:$O,$J:$J,J244)+SUMIFS($P:$P,$J:$J,J244)+SUMIFS($Q:$Q,$J:$J,J244),"")</f>
        <v/>
      </c>
      <c r="S244" s="10" t="s">
        <v>1062</v>
      </c>
      <c r="T244" s="11" t="str">
        <f>IFERROR(INDEX(AD:AD,MATCH(J244,J:J,0)),"")</f>
        <v>Check</v>
      </c>
      <c r="U244" s="12">
        <v>46059</v>
      </c>
      <c r="V244" s="10">
        <v>27728.07</v>
      </c>
      <c r="W244" s="10" t="str">
        <f t="shared" si="109"/>
        <v>N/A</v>
      </c>
      <c r="X244" t="s">
        <v>207</v>
      </c>
      <c r="Y244" t="s">
        <v>27</v>
      </c>
      <c r="Z244">
        <v>100234</v>
      </c>
      <c r="AA244" t="s">
        <v>241</v>
      </c>
      <c r="AB244" t="s">
        <v>252</v>
      </c>
      <c r="AC244" s="9">
        <v>12</v>
      </c>
      <c r="AD244" s="9" t="str">
        <f t="shared" si="110"/>
        <v>N/A</v>
      </c>
      <c r="AE244" s="11" t="e">
        <f t="shared" si="111"/>
        <v>#VALUE!</v>
      </c>
    </row>
    <row r="245" spans="1:31" x14ac:dyDescent="0.3">
      <c r="A245">
        <v>17</v>
      </c>
      <c r="B245">
        <v>4863091</v>
      </c>
      <c r="C245" t="s">
        <v>91</v>
      </c>
      <c r="D245">
        <v>1819614</v>
      </c>
      <c r="E245" t="s">
        <v>1025</v>
      </c>
      <c r="F245" t="s">
        <v>19</v>
      </c>
      <c r="G245" t="s">
        <v>334</v>
      </c>
      <c r="H245" t="s">
        <v>335</v>
      </c>
      <c r="I245" t="s">
        <v>689</v>
      </c>
      <c r="J245">
        <v>51155103683</v>
      </c>
      <c r="K245" t="s">
        <v>786</v>
      </c>
      <c r="L245" t="s">
        <v>989</v>
      </c>
      <c r="M245">
        <v>250000</v>
      </c>
      <c r="N245" s="10">
        <v>2.47E-3</v>
      </c>
      <c r="O245" s="10">
        <f t="shared" si="108"/>
        <v>617.5</v>
      </c>
      <c r="P245" s="10" t="s">
        <v>1062</v>
      </c>
      <c r="Q245" s="10" t="s">
        <v>1062</v>
      </c>
      <c r="R245" s="10" t="str">
        <f>IF(COUNTIF($J$2:J245,J245)=1,SUMIFS($O:$O,$J:$J,J245)+SUMIFS($P:$P,$J:$J,J245)+SUMIFS($Q:$Q,$J:$J,J245),"")</f>
        <v/>
      </c>
      <c r="S245" s="10" t="s">
        <v>1062</v>
      </c>
      <c r="T245" s="11" t="str">
        <f>IFERROR(INDEX(AD:AD,MATCH(J245,J:J,0)),"")</f>
        <v>Check</v>
      </c>
      <c r="U245" s="12">
        <v>46059</v>
      </c>
      <c r="V245" s="10">
        <v>27728.07</v>
      </c>
      <c r="W245" s="10" t="str">
        <f t="shared" si="109"/>
        <v>N/A</v>
      </c>
      <c r="X245" t="s">
        <v>207</v>
      </c>
      <c r="Y245" t="s">
        <v>27</v>
      </c>
      <c r="Z245">
        <v>100234</v>
      </c>
      <c r="AA245" t="s">
        <v>241</v>
      </c>
      <c r="AB245" t="s">
        <v>252</v>
      </c>
      <c r="AC245" s="9">
        <v>12</v>
      </c>
      <c r="AD245" s="9" t="str">
        <f t="shared" si="110"/>
        <v>N/A</v>
      </c>
      <c r="AE245" s="11" t="e">
        <f t="shared" si="111"/>
        <v>#VALUE!</v>
      </c>
    </row>
    <row r="246" spans="1:31" x14ac:dyDescent="0.3">
      <c r="A246">
        <v>17</v>
      </c>
      <c r="B246">
        <v>4863091</v>
      </c>
      <c r="C246" t="s">
        <v>91</v>
      </c>
      <c r="D246">
        <v>1819614</v>
      </c>
      <c r="E246" t="s">
        <v>1025</v>
      </c>
      <c r="F246" t="s">
        <v>19</v>
      </c>
      <c r="G246" t="s">
        <v>334</v>
      </c>
      <c r="H246" t="s">
        <v>335</v>
      </c>
      <c r="I246" t="s">
        <v>689</v>
      </c>
      <c r="J246">
        <v>51155103683</v>
      </c>
      <c r="K246" t="s">
        <v>786</v>
      </c>
      <c r="L246" t="s">
        <v>990</v>
      </c>
      <c r="M246">
        <v>120000</v>
      </c>
      <c r="N246" s="10">
        <v>1.1199999999999999E-3</v>
      </c>
      <c r="O246" s="10">
        <f t="shared" si="108"/>
        <v>134.39999999999998</v>
      </c>
      <c r="P246" s="10" t="s">
        <v>1062</v>
      </c>
      <c r="Q246" s="10" t="s">
        <v>1062</v>
      </c>
      <c r="R246" s="10" t="str">
        <f>IF(COUNTIF($J$2:J246,J246)=1,SUMIFS($O:$O,$J:$J,J246)+SUMIFS($P:$P,$J:$J,J246)+SUMIFS($Q:$Q,$J:$J,J246),"")</f>
        <v/>
      </c>
      <c r="S246" s="10" t="s">
        <v>1062</v>
      </c>
      <c r="T246" s="11" t="str">
        <f>IFERROR(INDEX(AD:AD,MATCH(J246,J:J,0)),"")</f>
        <v>Check</v>
      </c>
      <c r="U246" s="12">
        <v>46059</v>
      </c>
      <c r="V246" s="10">
        <v>27728.07</v>
      </c>
      <c r="W246" s="10" t="str">
        <f t="shared" si="109"/>
        <v>N/A</v>
      </c>
      <c r="X246" t="s">
        <v>207</v>
      </c>
      <c r="Y246" t="s">
        <v>27</v>
      </c>
      <c r="Z246">
        <v>100234</v>
      </c>
      <c r="AA246" t="s">
        <v>241</v>
      </c>
      <c r="AB246" t="s">
        <v>252</v>
      </c>
      <c r="AC246" s="9">
        <v>12</v>
      </c>
      <c r="AD246" s="9" t="str">
        <f t="shared" si="110"/>
        <v>N/A</v>
      </c>
      <c r="AE246" s="11" t="e">
        <f t="shared" si="111"/>
        <v>#VALUE!</v>
      </c>
    </row>
    <row r="247" spans="1:31" x14ac:dyDescent="0.3">
      <c r="A247">
        <v>17</v>
      </c>
      <c r="B247">
        <v>4863091</v>
      </c>
      <c r="C247" t="s">
        <v>91</v>
      </c>
      <c r="D247">
        <v>1819614</v>
      </c>
      <c r="E247" t="s">
        <v>1025</v>
      </c>
      <c r="F247" t="s">
        <v>19</v>
      </c>
      <c r="G247" t="s">
        <v>334</v>
      </c>
      <c r="H247" t="s">
        <v>335</v>
      </c>
      <c r="I247" t="s">
        <v>689</v>
      </c>
      <c r="J247">
        <v>51155103683</v>
      </c>
      <c r="K247" t="s">
        <v>657</v>
      </c>
      <c r="L247" t="s">
        <v>968</v>
      </c>
      <c r="M247">
        <v>33000</v>
      </c>
      <c r="N247" s="10">
        <v>2.7799999999999998E-2</v>
      </c>
      <c r="O247" s="10">
        <f t="shared" si="108"/>
        <v>917.4</v>
      </c>
      <c r="P247" s="10" t="s">
        <v>1062</v>
      </c>
      <c r="Q247" s="10" t="s">
        <v>1062</v>
      </c>
      <c r="R247" s="10" t="str">
        <f>IF(COUNTIF($J$2:J247,J247)=1,SUMIFS($O:$O,$J:$J,J247)+SUMIFS($P:$P,$J:$J,J247)+SUMIFS($Q:$Q,$J:$J,J247),"")</f>
        <v/>
      </c>
      <c r="S247" s="10" t="s">
        <v>1062</v>
      </c>
      <c r="T247" s="11" t="str">
        <f>IFERROR(INDEX(AD:AD,MATCH(J247,J:J,0)),"")</f>
        <v>Check</v>
      </c>
      <c r="U247" s="12">
        <v>46059</v>
      </c>
      <c r="V247" s="10">
        <v>27728.07</v>
      </c>
      <c r="W247" s="10" t="str">
        <f t="shared" si="109"/>
        <v>N/A</v>
      </c>
      <c r="X247" t="s">
        <v>207</v>
      </c>
      <c r="Y247" t="s">
        <v>27</v>
      </c>
      <c r="Z247">
        <v>100234</v>
      </c>
      <c r="AA247" t="s">
        <v>241</v>
      </c>
      <c r="AB247" t="s">
        <v>252</v>
      </c>
      <c r="AC247" s="9">
        <v>12</v>
      </c>
      <c r="AD247" s="9" t="str">
        <f t="shared" si="110"/>
        <v>N/A</v>
      </c>
      <c r="AE247" s="11" t="e">
        <f t="shared" si="111"/>
        <v>#VALUE!</v>
      </c>
    </row>
    <row r="248" spans="1:31" x14ac:dyDescent="0.3">
      <c r="A248">
        <v>17</v>
      </c>
      <c r="B248">
        <v>4863091</v>
      </c>
      <c r="C248" t="s">
        <v>91</v>
      </c>
      <c r="D248">
        <v>1819614</v>
      </c>
      <c r="E248" t="s">
        <v>1025</v>
      </c>
      <c r="F248" t="s">
        <v>19</v>
      </c>
      <c r="G248" t="s">
        <v>334</v>
      </c>
      <c r="H248" t="s">
        <v>335</v>
      </c>
      <c r="I248" t="s">
        <v>689</v>
      </c>
      <c r="J248">
        <v>51155103683</v>
      </c>
      <c r="K248" t="s">
        <v>711</v>
      </c>
      <c r="L248" t="s">
        <v>991</v>
      </c>
      <c r="M248">
        <v>85000</v>
      </c>
      <c r="N248" s="10">
        <v>1.09E-2</v>
      </c>
      <c r="O248" s="10">
        <f t="shared" si="108"/>
        <v>926.5</v>
      </c>
      <c r="P248" s="10" t="s">
        <v>1062</v>
      </c>
      <c r="Q248" s="10" t="s">
        <v>1062</v>
      </c>
      <c r="R248" s="10" t="str">
        <f>IF(COUNTIF($J$2:J248,J248)=1,SUMIFS($O:$O,$J:$J,J248)+SUMIFS($P:$P,$J:$J,J248)+SUMIFS($Q:$Q,$J:$J,J248),"")</f>
        <v/>
      </c>
      <c r="S248" s="10" t="s">
        <v>1062</v>
      </c>
      <c r="T248" s="11" t="str">
        <f>IFERROR(INDEX(AD:AD,MATCH(J248,J:J,0)),"")</f>
        <v>Check</v>
      </c>
      <c r="U248" s="12">
        <v>46059</v>
      </c>
      <c r="V248" s="10">
        <v>27728.07</v>
      </c>
      <c r="W248" s="10" t="str">
        <f t="shared" si="109"/>
        <v>N/A</v>
      </c>
      <c r="X248" t="s">
        <v>207</v>
      </c>
      <c r="Y248" t="s">
        <v>27</v>
      </c>
      <c r="Z248">
        <v>100234</v>
      </c>
      <c r="AA248" t="s">
        <v>241</v>
      </c>
      <c r="AB248" t="s">
        <v>252</v>
      </c>
      <c r="AC248" s="9">
        <v>12</v>
      </c>
      <c r="AD248" s="9" t="str">
        <f t="shared" si="110"/>
        <v>N/A</v>
      </c>
      <c r="AE248" s="11" t="e">
        <f t="shared" si="111"/>
        <v>#VALUE!</v>
      </c>
    </row>
    <row r="249" spans="1:31" x14ac:dyDescent="0.3">
      <c r="A249">
        <v>17</v>
      </c>
      <c r="B249">
        <v>4863091</v>
      </c>
      <c r="C249" t="s">
        <v>91</v>
      </c>
      <c r="D249">
        <v>1819614</v>
      </c>
      <c r="E249" t="s">
        <v>1025</v>
      </c>
      <c r="F249" t="s">
        <v>19</v>
      </c>
      <c r="G249" t="s">
        <v>334</v>
      </c>
      <c r="H249" t="s">
        <v>335</v>
      </c>
      <c r="I249" t="s">
        <v>689</v>
      </c>
      <c r="J249">
        <v>51155103683</v>
      </c>
      <c r="K249" t="s">
        <v>686</v>
      </c>
      <c r="L249" t="s">
        <v>992</v>
      </c>
      <c r="M249">
        <v>240000</v>
      </c>
      <c r="N249" s="10">
        <v>3.7999999999999999E-2</v>
      </c>
      <c r="O249" s="10">
        <f t="shared" si="108"/>
        <v>9120</v>
      </c>
      <c r="P249" s="10" t="s">
        <v>1062</v>
      </c>
      <c r="Q249" s="10" t="s">
        <v>1062</v>
      </c>
      <c r="R249" s="10" t="str">
        <f>IF(COUNTIF($J$2:J249,J249)=1,SUMIFS($O:$O,$J:$J,J249)+SUMIFS($P:$P,$J:$J,J249)+SUMIFS($Q:$Q,$J:$J,J249),"")</f>
        <v/>
      </c>
      <c r="S249" s="10" t="s">
        <v>1062</v>
      </c>
      <c r="T249" s="11" t="str">
        <f>IFERROR(INDEX(AD:AD,MATCH(J249,J:J,0)),"")</f>
        <v>Check</v>
      </c>
      <c r="U249" s="12">
        <v>46059</v>
      </c>
      <c r="V249" s="10">
        <v>27728.07</v>
      </c>
      <c r="W249" s="10" t="str">
        <f t="shared" si="109"/>
        <v>N/A</v>
      </c>
      <c r="X249" t="s">
        <v>207</v>
      </c>
      <c r="Y249" t="s">
        <v>27</v>
      </c>
      <c r="Z249">
        <v>100234</v>
      </c>
      <c r="AA249" t="s">
        <v>241</v>
      </c>
      <c r="AB249" t="s">
        <v>252</v>
      </c>
      <c r="AC249" s="9">
        <v>12</v>
      </c>
      <c r="AD249" s="9" t="str">
        <f t="shared" si="110"/>
        <v>N/A</v>
      </c>
      <c r="AE249" s="11" t="e">
        <f t="shared" si="111"/>
        <v>#VALUE!</v>
      </c>
    </row>
    <row r="250" spans="1:31" x14ac:dyDescent="0.3">
      <c r="A250">
        <v>17</v>
      </c>
      <c r="B250">
        <v>4863091</v>
      </c>
      <c r="C250" t="s">
        <v>91</v>
      </c>
      <c r="D250">
        <v>1819614</v>
      </c>
      <c r="E250" t="s">
        <v>1025</v>
      </c>
      <c r="F250" t="s">
        <v>19</v>
      </c>
      <c r="G250" t="s">
        <v>334</v>
      </c>
      <c r="H250" t="s">
        <v>335</v>
      </c>
      <c r="I250" t="s">
        <v>689</v>
      </c>
      <c r="J250">
        <v>51155103683</v>
      </c>
      <c r="K250" t="s">
        <v>687</v>
      </c>
      <c r="L250" t="s">
        <v>993</v>
      </c>
      <c r="M250">
        <v>20000</v>
      </c>
      <c r="N250" s="10">
        <v>2.2499999999999998E-3</v>
      </c>
      <c r="O250" s="10">
        <f t="shared" si="108"/>
        <v>45</v>
      </c>
      <c r="P250" s="10" t="s">
        <v>1062</v>
      </c>
      <c r="Q250" s="10" t="s">
        <v>1062</v>
      </c>
      <c r="R250" s="10" t="str">
        <f>IF(COUNTIF($J$2:J250,J250)=1,SUMIFS($O:$O,$J:$J,J250)+SUMIFS($P:$P,$J:$J,J250)+SUMIFS($Q:$Q,$J:$J,J250),"")</f>
        <v/>
      </c>
      <c r="S250" s="10" t="s">
        <v>1062</v>
      </c>
      <c r="T250" s="11" t="str">
        <f>IFERROR(INDEX(AD:AD,MATCH(J250,J:J,0)),"")</f>
        <v>Check</v>
      </c>
      <c r="U250" s="12">
        <v>46059</v>
      </c>
      <c r="V250" s="10">
        <v>27728.07</v>
      </c>
      <c r="W250" s="10" t="str">
        <f t="shared" si="109"/>
        <v>N/A</v>
      </c>
      <c r="X250" t="s">
        <v>207</v>
      </c>
      <c r="Y250" t="s">
        <v>27</v>
      </c>
      <c r="Z250">
        <v>100234</v>
      </c>
      <c r="AA250" t="s">
        <v>241</v>
      </c>
      <c r="AB250" t="s">
        <v>252</v>
      </c>
      <c r="AC250" s="9">
        <v>12</v>
      </c>
      <c r="AD250" s="9" t="str">
        <f t="shared" si="110"/>
        <v>N/A</v>
      </c>
      <c r="AE250" s="11" t="e">
        <f t="shared" si="111"/>
        <v>#VALUE!</v>
      </c>
    </row>
    <row r="251" spans="1:31" x14ac:dyDescent="0.3">
      <c r="A251">
        <v>17</v>
      </c>
      <c r="B251">
        <v>4863091</v>
      </c>
      <c r="C251" t="s">
        <v>91</v>
      </c>
      <c r="D251">
        <v>1819614</v>
      </c>
      <c r="E251" t="s">
        <v>1025</v>
      </c>
      <c r="F251" t="s">
        <v>19</v>
      </c>
      <c r="G251" t="s">
        <v>334</v>
      </c>
      <c r="H251" t="s">
        <v>335</v>
      </c>
      <c r="I251" t="s">
        <v>689</v>
      </c>
      <c r="J251">
        <v>51155103683</v>
      </c>
      <c r="K251" t="s">
        <v>687</v>
      </c>
      <c r="L251" t="s">
        <v>994</v>
      </c>
      <c r="M251">
        <v>40000</v>
      </c>
      <c r="N251" s="10">
        <v>2.16E-3</v>
      </c>
      <c r="O251" s="10">
        <f t="shared" si="108"/>
        <v>86.4</v>
      </c>
      <c r="P251" s="10" t="s">
        <v>1062</v>
      </c>
      <c r="Q251" s="10" t="s">
        <v>1062</v>
      </c>
      <c r="R251" s="10" t="str">
        <f>IF(COUNTIF($J$2:J251,J251)=1,SUMIFS($O:$O,$J:$J,J251)+SUMIFS($P:$P,$J:$J,J251)+SUMIFS($Q:$Q,$J:$J,J251),"")</f>
        <v/>
      </c>
      <c r="S251" s="10" t="s">
        <v>1062</v>
      </c>
      <c r="T251" s="11" t="str">
        <f>IFERROR(INDEX(AD:AD,MATCH(J251,J:J,0)),"")</f>
        <v>Check</v>
      </c>
      <c r="U251" s="12">
        <v>46059</v>
      </c>
      <c r="V251" s="10">
        <v>27728.07</v>
      </c>
      <c r="W251" s="10" t="str">
        <f t="shared" si="109"/>
        <v>N/A</v>
      </c>
      <c r="X251" t="s">
        <v>207</v>
      </c>
      <c r="Y251" t="s">
        <v>27</v>
      </c>
      <c r="Z251">
        <v>100234</v>
      </c>
      <c r="AA251" t="s">
        <v>241</v>
      </c>
      <c r="AB251" t="s">
        <v>252</v>
      </c>
      <c r="AC251" s="9">
        <v>12</v>
      </c>
      <c r="AD251" s="9" t="str">
        <f t="shared" si="110"/>
        <v>N/A</v>
      </c>
      <c r="AE251" s="11" t="e">
        <f t="shared" si="111"/>
        <v>#VALUE!</v>
      </c>
    </row>
    <row r="252" spans="1:31" x14ac:dyDescent="0.3">
      <c r="A252">
        <v>17</v>
      </c>
      <c r="B252">
        <v>4863091</v>
      </c>
      <c r="C252" t="s">
        <v>91</v>
      </c>
      <c r="D252">
        <v>1819614</v>
      </c>
      <c r="E252" t="s">
        <v>1025</v>
      </c>
      <c r="F252" t="s">
        <v>19</v>
      </c>
      <c r="G252" t="s">
        <v>334</v>
      </c>
      <c r="H252" t="s">
        <v>335</v>
      </c>
      <c r="I252" t="s">
        <v>689</v>
      </c>
      <c r="J252">
        <v>51155103683</v>
      </c>
      <c r="K252" t="s">
        <v>704</v>
      </c>
      <c r="L252" t="s">
        <v>995</v>
      </c>
      <c r="M252">
        <v>70000</v>
      </c>
      <c r="N252" s="10">
        <v>1.1000000000000001E-3</v>
      </c>
      <c r="O252" s="10">
        <f t="shared" si="108"/>
        <v>77</v>
      </c>
      <c r="P252" s="10" t="s">
        <v>1062</v>
      </c>
      <c r="Q252" s="10" t="s">
        <v>1062</v>
      </c>
      <c r="R252" s="10" t="str">
        <f>IF(COUNTIF($J$2:J252,J252)=1,SUMIFS($O:$O,$J:$J,J252)+SUMIFS($P:$P,$J:$J,J252)+SUMIFS($Q:$Q,$J:$J,J252),"")</f>
        <v/>
      </c>
      <c r="S252" s="10" t="s">
        <v>1062</v>
      </c>
      <c r="T252" s="11" t="str">
        <f>IFERROR(INDEX(AD:AD,MATCH(J252,J:J,0)),"")</f>
        <v>Check</v>
      </c>
      <c r="U252" s="12">
        <v>46059</v>
      </c>
      <c r="V252" s="10">
        <v>27728.07</v>
      </c>
      <c r="W252" s="10" t="str">
        <f t="shared" si="109"/>
        <v>N/A</v>
      </c>
      <c r="X252" t="s">
        <v>207</v>
      </c>
      <c r="Y252" t="s">
        <v>27</v>
      </c>
      <c r="Z252">
        <v>100234</v>
      </c>
      <c r="AA252" t="s">
        <v>241</v>
      </c>
      <c r="AB252" t="s">
        <v>252</v>
      </c>
      <c r="AC252" s="9">
        <v>12</v>
      </c>
      <c r="AD252" s="9" t="str">
        <f t="shared" si="110"/>
        <v>N/A</v>
      </c>
      <c r="AE252" s="11" t="e">
        <f t="shared" si="111"/>
        <v>#VALUE!</v>
      </c>
    </row>
    <row r="253" spans="1:31" x14ac:dyDescent="0.3">
      <c r="A253">
        <v>16</v>
      </c>
      <c r="B253">
        <v>4865596</v>
      </c>
      <c r="C253" t="s">
        <v>91</v>
      </c>
      <c r="D253">
        <v>1262308</v>
      </c>
      <c r="E253" t="s">
        <v>268</v>
      </c>
      <c r="F253" t="s">
        <v>24</v>
      </c>
      <c r="G253" t="s">
        <v>336</v>
      </c>
      <c r="H253" t="s">
        <v>337</v>
      </c>
      <c r="I253" t="s">
        <v>865</v>
      </c>
      <c r="J253">
        <v>51155653794</v>
      </c>
      <c r="K253" t="s">
        <v>665</v>
      </c>
      <c r="L253" t="s">
        <v>996</v>
      </c>
      <c r="M253">
        <v>2000</v>
      </c>
      <c r="N253" s="10">
        <v>0.24</v>
      </c>
      <c r="O253" s="10">
        <f t="shared" ref="O253:O257" si="112">M253*N253</f>
        <v>480</v>
      </c>
      <c r="P253" s="10">
        <v>0</v>
      </c>
      <c r="Q253" s="10">
        <v>45.6</v>
      </c>
      <c r="R253" s="10">
        <f>IF(COUNTIF($J$2:J253,J253)=1,SUMIFS($O:$O,$J:$J,J253)+SUMIFS($P:$P,$J:$J,J253)+SUMIFS($Q:$Q,$J:$J,J253),"")</f>
        <v>741.6</v>
      </c>
      <c r="S253" s="10">
        <v>741.6</v>
      </c>
      <c r="T253" s="11" t="str">
        <f>IFERROR(INDEX(AD:AD,MATCH(J253,J:J,0)),"")</f>
        <v>Ok</v>
      </c>
      <c r="U253" s="12">
        <v>46127</v>
      </c>
      <c r="V253" s="10">
        <v>480</v>
      </c>
      <c r="W253" s="10" t="str">
        <f t="shared" ref="W253:W257" si="113">IF(OR(S253="",V253=""),"N/A",IF(S253&lt;&gt;V253,"Short Paid","Not Paid"))</f>
        <v>Short Paid</v>
      </c>
      <c r="X253" t="s">
        <v>207</v>
      </c>
      <c r="Y253" t="s">
        <v>37</v>
      </c>
      <c r="Z253">
        <v>100264</v>
      </c>
      <c r="AA253" t="s">
        <v>651</v>
      </c>
      <c r="AB253" t="s">
        <v>250</v>
      </c>
      <c r="AC253" s="9">
        <v>2</v>
      </c>
      <c r="AD253" s="9" t="str">
        <f t="shared" ref="AD253:AD257" si="114">IF(AND(R253="",S253=""),"N/A",IF(R253=S253,"Ok","Check"))</f>
        <v>Ok</v>
      </c>
      <c r="AE253" s="11">
        <f t="shared" ref="AE253:AE257" si="115">R253-S253</f>
        <v>0</v>
      </c>
    </row>
    <row r="254" spans="1:31" x14ac:dyDescent="0.3">
      <c r="A254">
        <v>16</v>
      </c>
      <c r="B254">
        <v>4865596</v>
      </c>
      <c r="C254" t="s">
        <v>91</v>
      </c>
      <c r="D254">
        <v>1262308</v>
      </c>
      <c r="E254" t="s">
        <v>268</v>
      </c>
      <c r="F254" t="s">
        <v>24</v>
      </c>
      <c r="G254" t="s">
        <v>336</v>
      </c>
      <c r="H254" t="s">
        <v>337</v>
      </c>
      <c r="I254" t="s">
        <v>708</v>
      </c>
      <c r="J254">
        <v>51155653794</v>
      </c>
      <c r="K254" t="s">
        <v>781</v>
      </c>
      <c r="L254" t="s">
        <v>857</v>
      </c>
      <c r="M254">
        <v>3000</v>
      </c>
      <c r="N254" s="10">
        <v>7.1999999999999995E-2</v>
      </c>
      <c r="O254" s="10">
        <f t="shared" si="112"/>
        <v>215.99999999999997</v>
      </c>
      <c r="P254" s="10" t="s">
        <v>1062</v>
      </c>
      <c r="Q254" s="10" t="s">
        <v>1062</v>
      </c>
      <c r="R254" s="10" t="str">
        <f>IF(COUNTIF($J$2:J254,J254)=1,SUMIFS($O:$O,$J:$J,J254)+SUMIFS($P:$P,$J:$J,J254)+SUMIFS($Q:$Q,$J:$J,J254),"")</f>
        <v/>
      </c>
      <c r="S254" s="10" t="s">
        <v>1062</v>
      </c>
      <c r="T254" s="11" t="str">
        <f>IFERROR(INDEX(AD:AD,MATCH(J254,J:J,0)),"")</f>
        <v>Ok</v>
      </c>
      <c r="U254" s="12">
        <v>46127</v>
      </c>
      <c r="V254" s="10">
        <v>480</v>
      </c>
      <c r="W254" s="10" t="str">
        <f t="shared" si="113"/>
        <v>N/A</v>
      </c>
      <c r="X254" t="s">
        <v>207</v>
      </c>
      <c r="Y254" t="s">
        <v>37</v>
      </c>
      <c r="Z254">
        <v>100264</v>
      </c>
      <c r="AA254" t="s">
        <v>651</v>
      </c>
      <c r="AB254" t="s">
        <v>250</v>
      </c>
      <c r="AC254" s="9">
        <v>2</v>
      </c>
      <c r="AD254" s="9" t="str">
        <f t="shared" si="114"/>
        <v>N/A</v>
      </c>
      <c r="AE254" s="11" t="e">
        <f t="shared" si="115"/>
        <v>#VALUE!</v>
      </c>
    </row>
    <row r="255" spans="1:31" x14ac:dyDescent="0.3">
      <c r="A255">
        <v>22</v>
      </c>
      <c r="B255">
        <v>4837767</v>
      </c>
      <c r="C255" t="s">
        <v>91</v>
      </c>
      <c r="D255">
        <v>1507117</v>
      </c>
      <c r="E255" t="s">
        <v>92</v>
      </c>
      <c r="F255" t="s">
        <v>24</v>
      </c>
      <c r="G255" t="s">
        <v>584</v>
      </c>
      <c r="H255" t="s">
        <v>333</v>
      </c>
      <c r="I255" t="s">
        <v>795</v>
      </c>
      <c r="J255">
        <v>51155736614</v>
      </c>
      <c r="K255" t="s">
        <v>893</v>
      </c>
      <c r="L255" t="s">
        <v>997</v>
      </c>
      <c r="M255">
        <v>4000</v>
      </c>
      <c r="N255" s="10">
        <v>0.629</v>
      </c>
      <c r="O255" s="10">
        <f t="shared" si="112"/>
        <v>2516</v>
      </c>
      <c r="P255" s="10">
        <v>0</v>
      </c>
      <c r="Q255" s="10">
        <v>0</v>
      </c>
      <c r="R255" s="10">
        <f>IF(COUNTIF($J$2:J255,J255)=1,SUMIFS($O:$O,$J:$J,J255)+SUMIFS($P:$P,$J:$J,J255)+SUMIFS($Q:$Q,$J:$J,J255),"")</f>
        <v>3328</v>
      </c>
      <c r="S255" s="10">
        <v>3613</v>
      </c>
      <c r="T255" s="11" t="str">
        <f>IFERROR(INDEX(AD:AD,MATCH(J255,J:J,0)),"")</f>
        <v>Check</v>
      </c>
      <c r="U255" s="12">
        <v>46149</v>
      </c>
      <c r="V255" s="10">
        <v>527</v>
      </c>
      <c r="W255" s="10" t="str">
        <f t="shared" si="113"/>
        <v>Short Paid</v>
      </c>
      <c r="X255" t="s">
        <v>207</v>
      </c>
      <c r="Y255" t="s">
        <v>37</v>
      </c>
      <c r="Z255">
        <v>100224</v>
      </c>
      <c r="AA255" t="s">
        <v>626</v>
      </c>
      <c r="AB255" t="s">
        <v>250</v>
      </c>
      <c r="AC255" s="9">
        <v>3</v>
      </c>
      <c r="AD255" s="9" t="str">
        <f t="shared" si="114"/>
        <v>Check</v>
      </c>
      <c r="AE255" s="11">
        <f t="shared" si="115"/>
        <v>-285</v>
      </c>
    </row>
    <row r="256" spans="1:31" x14ac:dyDescent="0.3">
      <c r="A256">
        <v>22</v>
      </c>
      <c r="B256">
        <v>4837767</v>
      </c>
      <c r="C256" t="s">
        <v>91</v>
      </c>
      <c r="D256">
        <v>1507117</v>
      </c>
      <c r="E256" t="s">
        <v>92</v>
      </c>
      <c r="F256" t="s">
        <v>24</v>
      </c>
      <c r="G256" t="s">
        <v>584</v>
      </c>
      <c r="H256" t="s">
        <v>333</v>
      </c>
      <c r="I256" t="s">
        <v>763</v>
      </c>
      <c r="J256">
        <v>51155736614</v>
      </c>
      <c r="K256" t="s">
        <v>687</v>
      </c>
      <c r="L256" t="s">
        <v>998</v>
      </c>
      <c r="M256">
        <v>1</v>
      </c>
      <c r="N256" s="10">
        <v>285</v>
      </c>
      <c r="O256" s="10">
        <f t="shared" si="112"/>
        <v>285</v>
      </c>
      <c r="P256" s="10" t="s">
        <v>1062</v>
      </c>
      <c r="Q256" s="10" t="s">
        <v>1062</v>
      </c>
      <c r="R256" s="10" t="str">
        <f>IF(COUNTIF($J$2:J256,J256)=1,SUMIFS($O:$O,$J:$J,J256)+SUMIFS($P:$P,$J:$J,J256)+SUMIFS($Q:$Q,$J:$J,J256),"")</f>
        <v/>
      </c>
      <c r="S256" s="10" t="s">
        <v>1062</v>
      </c>
      <c r="T256" s="11" t="str">
        <f>IFERROR(INDEX(AD:AD,MATCH(J256,J:J,0)),"")</f>
        <v>Check</v>
      </c>
      <c r="U256" s="12">
        <v>46149</v>
      </c>
      <c r="V256" s="10">
        <v>527</v>
      </c>
      <c r="W256" s="10" t="str">
        <f t="shared" si="113"/>
        <v>N/A</v>
      </c>
      <c r="X256" t="s">
        <v>207</v>
      </c>
      <c r="Y256" t="s">
        <v>37</v>
      </c>
      <c r="Z256">
        <v>100224</v>
      </c>
      <c r="AA256" t="s">
        <v>626</v>
      </c>
      <c r="AB256" t="s">
        <v>250</v>
      </c>
      <c r="AC256" s="9">
        <v>3</v>
      </c>
      <c r="AD256" s="9" t="str">
        <f t="shared" si="114"/>
        <v>N/A</v>
      </c>
      <c r="AE256" s="11" t="e">
        <f t="shared" si="115"/>
        <v>#VALUE!</v>
      </c>
    </row>
    <row r="257" spans="1:31" x14ac:dyDescent="0.3">
      <c r="A257">
        <v>22</v>
      </c>
      <c r="B257">
        <v>4837767</v>
      </c>
      <c r="C257" t="s">
        <v>91</v>
      </c>
      <c r="D257">
        <v>1507117</v>
      </c>
      <c r="E257" t="s">
        <v>92</v>
      </c>
      <c r="F257" t="s">
        <v>24</v>
      </c>
      <c r="G257" t="s">
        <v>584</v>
      </c>
      <c r="H257" t="s">
        <v>333</v>
      </c>
      <c r="I257" t="s">
        <v>763</v>
      </c>
      <c r="J257">
        <v>51155736614</v>
      </c>
      <c r="K257" t="s">
        <v>687</v>
      </c>
      <c r="L257" t="s">
        <v>999</v>
      </c>
      <c r="M257">
        <v>50</v>
      </c>
      <c r="N257" s="10">
        <v>10.54</v>
      </c>
      <c r="O257" s="10">
        <f t="shared" si="112"/>
        <v>527</v>
      </c>
      <c r="P257" s="10" t="s">
        <v>1062</v>
      </c>
      <c r="Q257" s="10" t="s">
        <v>1062</v>
      </c>
      <c r="R257" s="10" t="str">
        <f>IF(COUNTIF($J$2:J257,J257)=1,SUMIFS($O:$O,$J:$J,J257)+SUMIFS($P:$P,$J:$J,J257)+SUMIFS($Q:$Q,$J:$J,J257),"")</f>
        <v/>
      </c>
      <c r="S257" s="10" t="s">
        <v>1062</v>
      </c>
      <c r="T257" s="11" t="str">
        <f>IFERROR(INDEX(AD:AD,MATCH(J257,J:J,0)),"")</f>
        <v>Check</v>
      </c>
      <c r="U257" s="12">
        <v>46149</v>
      </c>
      <c r="V257" s="10">
        <v>527</v>
      </c>
      <c r="W257" s="10" t="str">
        <f t="shared" si="113"/>
        <v>N/A</v>
      </c>
      <c r="X257" t="s">
        <v>207</v>
      </c>
      <c r="Y257" t="s">
        <v>37</v>
      </c>
      <c r="Z257">
        <v>100224</v>
      </c>
      <c r="AA257" t="s">
        <v>626</v>
      </c>
      <c r="AB257" t="s">
        <v>250</v>
      </c>
      <c r="AC257" s="9">
        <v>3</v>
      </c>
      <c r="AD257" s="9" t="str">
        <f t="shared" si="114"/>
        <v>N/A</v>
      </c>
      <c r="AE257" s="11" t="e">
        <f t="shared" si="115"/>
        <v>#VALUE!</v>
      </c>
    </row>
    <row r="258" spans="1:31" x14ac:dyDescent="0.3">
      <c r="A258">
        <v>6</v>
      </c>
      <c r="B258">
        <v>4934332</v>
      </c>
      <c r="C258" t="s">
        <v>91</v>
      </c>
      <c r="D258">
        <v>1359863</v>
      </c>
      <c r="E258" t="s">
        <v>266</v>
      </c>
      <c r="F258" t="s">
        <v>24</v>
      </c>
      <c r="G258" t="s">
        <v>594</v>
      </c>
      <c r="H258" t="s">
        <v>595</v>
      </c>
      <c r="I258" t="s">
        <v>705</v>
      </c>
      <c r="J258">
        <v>51156263927</v>
      </c>
      <c r="K258" t="s">
        <v>681</v>
      </c>
      <c r="L258" t="s">
        <v>1000</v>
      </c>
      <c r="M258">
        <v>56</v>
      </c>
      <c r="N258" s="10">
        <v>197.5</v>
      </c>
      <c r="O258" s="10">
        <f t="shared" ref="O258:O259" si="116">M258*N258</f>
        <v>11060</v>
      </c>
      <c r="P258" s="10">
        <v>0</v>
      </c>
      <c r="Q258" s="10">
        <v>0</v>
      </c>
      <c r="R258" s="10">
        <f>IF(COUNTIF($J$2:J258,J258)=1,SUMIFS($O:$O,$J:$J,J258)+SUMIFS($P:$P,$J:$J,J258)+SUMIFS($Q:$Q,$J:$J,J258),"")</f>
        <v>13883</v>
      </c>
      <c r="S258" s="10">
        <v>14156</v>
      </c>
      <c r="T258" s="11" t="str">
        <f>IFERROR(INDEX(AD:AD,MATCH(J258,J:J,0)),"")</f>
        <v>Check</v>
      </c>
      <c r="U258" s="12">
        <v>46148</v>
      </c>
      <c r="V258" s="10">
        <v>7307.5</v>
      </c>
      <c r="W258" s="10" t="str">
        <f t="shared" ref="W258:W259" si="117">IF(OR(S258="",V258=""),"N/A",IF(S258&lt;&gt;V258,"Short Paid","Not Paid"))</f>
        <v>Short Paid</v>
      </c>
      <c r="X258" t="s">
        <v>207</v>
      </c>
      <c r="Y258" t="s">
        <v>37</v>
      </c>
      <c r="Z258">
        <v>100224</v>
      </c>
      <c r="AA258" t="s">
        <v>626</v>
      </c>
      <c r="AB258" t="s">
        <v>250</v>
      </c>
      <c r="AC258" s="9">
        <v>2</v>
      </c>
      <c r="AD258" s="9" t="str">
        <f t="shared" ref="AD258:AD259" si="118">IF(AND(R258="",S258=""),"N/A",IF(R258=S258,"Ok","Check"))</f>
        <v>Check</v>
      </c>
      <c r="AE258" s="11">
        <f t="shared" ref="AE258:AE259" si="119">R258-S258</f>
        <v>-273</v>
      </c>
    </row>
    <row r="259" spans="1:31" x14ac:dyDescent="0.3">
      <c r="A259">
        <v>6</v>
      </c>
      <c r="B259">
        <v>4934332</v>
      </c>
      <c r="C259" t="s">
        <v>91</v>
      </c>
      <c r="D259">
        <v>1359863</v>
      </c>
      <c r="E259" t="s">
        <v>266</v>
      </c>
      <c r="F259" t="s">
        <v>24</v>
      </c>
      <c r="G259" t="s">
        <v>594</v>
      </c>
      <c r="H259" t="s">
        <v>595</v>
      </c>
      <c r="I259" t="s">
        <v>788</v>
      </c>
      <c r="J259">
        <v>51156263927</v>
      </c>
      <c r="K259" t="s">
        <v>657</v>
      </c>
      <c r="L259" t="s">
        <v>959</v>
      </c>
      <c r="M259">
        <v>30000</v>
      </c>
      <c r="N259" s="10">
        <v>9.4100000000000003E-2</v>
      </c>
      <c r="O259" s="10">
        <f t="shared" si="116"/>
        <v>2823</v>
      </c>
      <c r="P259" s="10" t="s">
        <v>1062</v>
      </c>
      <c r="Q259" s="10" t="s">
        <v>1062</v>
      </c>
      <c r="R259" s="10" t="str">
        <f>IF(COUNTIF($J$2:J259,J259)=1,SUMIFS($O:$O,$J:$J,J259)+SUMIFS($P:$P,$J:$J,J259)+SUMIFS($Q:$Q,$J:$J,J259),"")</f>
        <v/>
      </c>
      <c r="S259" s="10" t="s">
        <v>1062</v>
      </c>
      <c r="T259" s="11" t="str">
        <f>IFERROR(INDEX(AD:AD,MATCH(J259,J:J,0)),"")</f>
        <v>Check</v>
      </c>
      <c r="U259" s="12">
        <v>46148</v>
      </c>
      <c r="V259" s="10">
        <v>7307.5</v>
      </c>
      <c r="W259" s="10" t="str">
        <f t="shared" si="117"/>
        <v>N/A</v>
      </c>
      <c r="X259" t="s">
        <v>207</v>
      </c>
      <c r="Y259" t="s">
        <v>37</v>
      </c>
      <c r="Z259">
        <v>100224</v>
      </c>
      <c r="AA259" t="s">
        <v>626</v>
      </c>
      <c r="AB259" t="s">
        <v>250</v>
      </c>
      <c r="AC259" s="9">
        <v>2</v>
      </c>
      <c r="AD259" s="9" t="str">
        <f t="shared" si="118"/>
        <v>N/A</v>
      </c>
      <c r="AE259" s="11" t="e">
        <f t="shared" si="119"/>
        <v>#VALUE!</v>
      </c>
    </row>
    <row r="260" spans="1:31" x14ac:dyDescent="0.3">
      <c r="A260">
        <v>6</v>
      </c>
      <c r="B260">
        <v>4934054</v>
      </c>
      <c r="C260" t="s">
        <v>91</v>
      </c>
      <c r="D260">
        <v>1422097</v>
      </c>
      <c r="E260" t="s">
        <v>184</v>
      </c>
      <c r="F260" t="s">
        <v>19</v>
      </c>
      <c r="G260" t="s">
        <v>347</v>
      </c>
      <c r="H260" t="s">
        <v>348</v>
      </c>
      <c r="I260" t="s">
        <v>816</v>
      </c>
      <c r="J260">
        <v>51156568398</v>
      </c>
      <c r="K260" t="s">
        <v>665</v>
      </c>
      <c r="L260" t="s">
        <v>1001</v>
      </c>
      <c r="M260">
        <v>1</v>
      </c>
      <c r="N260" s="10">
        <v>760</v>
      </c>
      <c r="O260" s="10">
        <f t="shared" ref="O260:O262" si="120">M260*N260</f>
        <v>760</v>
      </c>
      <c r="P260" s="10">
        <v>0</v>
      </c>
      <c r="Q260" s="10">
        <v>3732.3599999999997</v>
      </c>
      <c r="R260" s="10">
        <f>IF(COUNTIF($J$2:J260,J260)=1,SUMIFS($O:$O,$J:$J,J260)+SUMIFS($P:$P,$J:$J,J260)+SUMIFS($Q:$Q,$J:$J,J260),"")</f>
        <v>32941.799999999996</v>
      </c>
      <c r="S260" s="10">
        <v>35466.949999999997</v>
      </c>
      <c r="T260" s="11" t="str">
        <f>IFERROR(INDEX(AD:AD,MATCH(J260,J:J,0)),"")</f>
        <v>Check</v>
      </c>
      <c r="U260" s="12">
        <v>46122</v>
      </c>
      <c r="V260" s="10">
        <v>6096.45</v>
      </c>
      <c r="W260" s="10" t="str">
        <f t="shared" ref="W260:W262" si="121">IF(OR(S260="",V260=""),"N/A",IF(S260&lt;&gt;V260,"Short Paid","Not Paid"))</f>
        <v>Short Paid</v>
      </c>
      <c r="X260" t="s">
        <v>207</v>
      </c>
      <c r="Y260" t="s">
        <v>27</v>
      </c>
      <c r="Z260">
        <v>100124</v>
      </c>
      <c r="AA260" t="s">
        <v>230</v>
      </c>
      <c r="AB260" t="s">
        <v>252</v>
      </c>
      <c r="AC260" s="9">
        <v>3</v>
      </c>
      <c r="AD260" s="9" t="str">
        <f t="shared" ref="AD260:AD262" si="122">IF(AND(R260="",S260=""),"N/A",IF(R260=S260,"Ok","Check"))</f>
        <v>Check</v>
      </c>
      <c r="AE260" s="11">
        <f t="shared" ref="AE260:AE262" si="123">R260-S260</f>
        <v>-2525.1500000000015</v>
      </c>
    </row>
    <row r="261" spans="1:31" x14ac:dyDescent="0.3">
      <c r="A261">
        <v>6</v>
      </c>
      <c r="B261">
        <v>4934054</v>
      </c>
      <c r="C261" t="s">
        <v>91</v>
      </c>
      <c r="D261">
        <v>1422097</v>
      </c>
      <c r="E261" t="s">
        <v>184</v>
      </c>
      <c r="F261" t="s">
        <v>19</v>
      </c>
      <c r="G261" t="s">
        <v>347</v>
      </c>
      <c r="H261" t="s">
        <v>348</v>
      </c>
      <c r="I261" t="s">
        <v>816</v>
      </c>
      <c r="J261">
        <v>51156568398</v>
      </c>
      <c r="K261" t="s">
        <v>665</v>
      </c>
      <c r="L261" t="s">
        <v>1002</v>
      </c>
      <c r="M261">
        <v>298</v>
      </c>
      <c r="N261" s="10">
        <v>88.28</v>
      </c>
      <c r="O261" s="10">
        <f t="shared" si="120"/>
        <v>26307.439999999999</v>
      </c>
      <c r="P261" s="10" t="s">
        <v>1062</v>
      </c>
      <c r="Q261" s="10" t="s">
        <v>1062</v>
      </c>
      <c r="R261" s="10" t="str">
        <f>IF(COUNTIF($J$2:J261,J261)=1,SUMIFS($O:$O,$J:$J,J261)+SUMIFS($P:$P,$J:$J,J261)+SUMIFS($Q:$Q,$J:$J,J261),"")</f>
        <v/>
      </c>
      <c r="S261" s="10" t="s">
        <v>1062</v>
      </c>
      <c r="T261" s="11" t="str">
        <f>IFERROR(INDEX(AD:AD,MATCH(J261,J:J,0)),"")</f>
        <v>Check</v>
      </c>
      <c r="U261" s="12">
        <v>46122</v>
      </c>
      <c r="V261" s="10">
        <v>6096.45</v>
      </c>
      <c r="W261" s="10" t="str">
        <f t="shared" si="121"/>
        <v>N/A</v>
      </c>
      <c r="X261" t="s">
        <v>207</v>
      </c>
      <c r="Y261" t="s">
        <v>27</v>
      </c>
      <c r="Z261">
        <v>100124</v>
      </c>
      <c r="AA261" t="s">
        <v>230</v>
      </c>
      <c r="AB261" t="s">
        <v>252</v>
      </c>
      <c r="AC261" s="9">
        <v>3</v>
      </c>
      <c r="AD261" s="9" t="str">
        <f t="shared" si="122"/>
        <v>N/A</v>
      </c>
      <c r="AE261" s="11" t="e">
        <f t="shared" si="123"/>
        <v>#VALUE!</v>
      </c>
    </row>
    <row r="262" spans="1:31" x14ac:dyDescent="0.3">
      <c r="A262">
        <v>6</v>
      </c>
      <c r="B262">
        <v>4934054</v>
      </c>
      <c r="C262" t="s">
        <v>91</v>
      </c>
      <c r="D262">
        <v>1422097</v>
      </c>
      <c r="E262" t="s">
        <v>184</v>
      </c>
      <c r="F262" t="s">
        <v>19</v>
      </c>
      <c r="G262" t="s">
        <v>347</v>
      </c>
      <c r="H262" t="s">
        <v>348</v>
      </c>
      <c r="I262" t="s">
        <v>772</v>
      </c>
      <c r="J262">
        <v>51156568398</v>
      </c>
      <c r="K262" t="s">
        <v>1004</v>
      </c>
      <c r="L262" t="s">
        <v>1003</v>
      </c>
      <c r="M262">
        <v>1000</v>
      </c>
      <c r="N262" s="10">
        <v>2.1419999999999999</v>
      </c>
      <c r="O262" s="10">
        <f t="shared" si="120"/>
        <v>2142</v>
      </c>
      <c r="P262" s="10" t="s">
        <v>1062</v>
      </c>
      <c r="Q262" s="10" t="s">
        <v>1062</v>
      </c>
      <c r="R262" s="10" t="str">
        <f>IF(COUNTIF($J$2:J262,J262)=1,SUMIFS($O:$O,$J:$J,J262)+SUMIFS($P:$P,$J:$J,J262)+SUMIFS($Q:$Q,$J:$J,J262),"")</f>
        <v/>
      </c>
      <c r="S262" s="10" t="s">
        <v>1062</v>
      </c>
      <c r="T262" s="11" t="str">
        <f>IFERROR(INDEX(AD:AD,MATCH(J262,J:J,0)),"")</f>
        <v>Check</v>
      </c>
      <c r="U262" s="12">
        <v>46122</v>
      </c>
      <c r="V262" s="10">
        <v>6096.45</v>
      </c>
      <c r="W262" s="10" t="str">
        <f t="shared" si="121"/>
        <v>N/A</v>
      </c>
      <c r="X262" t="s">
        <v>207</v>
      </c>
      <c r="Y262" t="s">
        <v>27</v>
      </c>
      <c r="Z262">
        <v>100124</v>
      </c>
      <c r="AA262" t="s">
        <v>230</v>
      </c>
      <c r="AB262" t="s">
        <v>252</v>
      </c>
      <c r="AC262" s="9">
        <v>3</v>
      </c>
      <c r="AD262" s="9" t="str">
        <f t="shared" si="122"/>
        <v>N/A</v>
      </c>
      <c r="AE262" s="11" t="e">
        <f t="shared" si="123"/>
        <v>#VALUE!</v>
      </c>
    </row>
    <row r="263" spans="1:31" x14ac:dyDescent="0.3">
      <c r="A263">
        <v>8</v>
      </c>
      <c r="B263">
        <v>4912348</v>
      </c>
      <c r="C263" t="s">
        <v>91</v>
      </c>
      <c r="D263">
        <v>1262308</v>
      </c>
      <c r="E263" t="s">
        <v>268</v>
      </c>
      <c r="F263" t="s">
        <v>24</v>
      </c>
      <c r="G263" t="s">
        <v>345</v>
      </c>
      <c r="H263" t="s">
        <v>346</v>
      </c>
      <c r="I263" t="s">
        <v>865</v>
      </c>
      <c r="J263">
        <v>51158230216</v>
      </c>
      <c r="K263" t="s">
        <v>888</v>
      </c>
      <c r="L263" t="s">
        <v>956</v>
      </c>
      <c r="M263">
        <v>1000</v>
      </c>
      <c r="N263" s="10">
        <v>22.93</v>
      </c>
      <c r="O263" s="10">
        <f t="shared" ref="O263:O264" si="124">M263*N263</f>
        <v>22930</v>
      </c>
      <c r="P263" s="10">
        <v>0</v>
      </c>
      <c r="Q263" s="10">
        <v>0</v>
      </c>
      <c r="R263" s="10">
        <f>IF(COUNTIF($J$2:J263,J263)=1,SUMIFS($O:$O,$J:$J,J263)+SUMIFS($P:$P,$J:$J,J263)+SUMIFS($Q:$Q,$J:$J,J263),"")</f>
        <v>23887</v>
      </c>
      <c r="S263" s="10">
        <v>23887</v>
      </c>
      <c r="T263" s="11" t="str">
        <f>IFERROR(INDEX(AD:AD,MATCH(J263,J:J,0)),"")</f>
        <v>Ok</v>
      </c>
      <c r="U263" s="12">
        <v>46130</v>
      </c>
      <c r="V263" s="10">
        <v>3770</v>
      </c>
      <c r="W263" s="10" t="str">
        <f t="shared" ref="W263:W264" si="125">IF(OR(S263="",V263=""),"N/A",IF(S263&lt;&gt;V263,"Short Paid","Not Paid"))</f>
        <v>Short Paid</v>
      </c>
      <c r="X263" t="s">
        <v>207</v>
      </c>
      <c r="Y263" t="s">
        <v>37</v>
      </c>
      <c r="Z263">
        <v>100184</v>
      </c>
      <c r="AA263" t="s">
        <v>627</v>
      </c>
      <c r="AB263" t="s">
        <v>250</v>
      </c>
      <c r="AC263" s="9">
        <v>2</v>
      </c>
      <c r="AD263" s="9" t="str">
        <f t="shared" ref="AD263:AD264" si="126">IF(AND(R263="",S263=""),"N/A",IF(R263=S263,"Ok","Check"))</f>
        <v>Ok</v>
      </c>
      <c r="AE263" s="11">
        <f t="shared" ref="AE263:AE264" si="127">R263-S263</f>
        <v>0</v>
      </c>
    </row>
    <row r="264" spans="1:31" x14ac:dyDescent="0.3">
      <c r="A264">
        <v>8</v>
      </c>
      <c r="B264">
        <v>4912348</v>
      </c>
      <c r="C264" t="s">
        <v>91</v>
      </c>
      <c r="D264">
        <v>1262308</v>
      </c>
      <c r="E264" t="s">
        <v>268</v>
      </c>
      <c r="F264" t="s">
        <v>24</v>
      </c>
      <c r="G264" t="s">
        <v>345</v>
      </c>
      <c r="H264" t="s">
        <v>346</v>
      </c>
      <c r="I264" t="s">
        <v>734</v>
      </c>
      <c r="J264">
        <v>51158230216</v>
      </c>
      <c r="K264" t="s">
        <v>669</v>
      </c>
      <c r="L264" t="s">
        <v>1006</v>
      </c>
      <c r="M264">
        <v>1500</v>
      </c>
      <c r="N264" s="10">
        <v>0.63800000000000001</v>
      </c>
      <c r="O264" s="10">
        <f t="shared" si="124"/>
        <v>957</v>
      </c>
      <c r="P264" s="10" t="s">
        <v>1062</v>
      </c>
      <c r="Q264" s="10" t="s">
        <v>1062</v>
      </c>
      <c r="R264" s="10" t="str">
        <f>IF(COUNTIF($J$2:J264,J264)=1,SUMIFS($O:$O,$J:$J,J264)+SUMIFS($P:$P,$J:$J,J264)+SUMIFS($Q:$Q,$J:$J,J264),"")</f>
        <v/>
      </c>
      <c r="S264" s="10" t="s">
        <v>1062</v>
      </c>
      <c r="T264" s="11" t="str">
        <f>IFERROR(INDEX(AD:AD,MATCH(J264,J:J,0)),"")</f>
        <v>Ok</v>
      </c>
      <c r="U264" s="12">
        <v>46130</v>
      </c>
      <c r="V264" s="10">
        <v>3770</v>
      </c>
      <c r="W264" s="10" t="str">
        <f t="shared" si="125"/>
        <v>N/A</v>
      </c>
      <c r="X264" t="s">
        <v>207</v>
      </c>
      <c r="Y264" t="s">
        <v>37</v>
      </c>
      <c r="Z264">
        <v>100184</v>
      </c>
      <c r="AA264" t="s">
        <v>627</v>
      </c>
      <c r="AB264" t="s">
        <v>250</v>
      </c>
      <c r="AC264" s="9">
        <v>2</v>
      </c>
      <c r="AD264" s="9" t="str">
        <f t="shared" si="126"/>
        <v>N/A</v>
      </c>
      <c r="AE264" s="11" t="e">
        <f t="shared" si="127"/>
        <v>#VALUE!</v>
      </c>
    </row>
    <row r="265" spans="1:31" x14ac:dyDescent="0.3">
      <c r="A265">
        <v>3</v>
      </c>
      <c r="B265">
        <v>4954925</v>
      </c>
      <c r="C265" t="s">
        <v>91</v>
      </c>
      <c r="D265">
        <v>1027819</v>
      </c>
      <c r="E265" t="s">
        <v>267</v>
      </c>
      <c r="F265" t="s">
        <v>19</v>
      </c>
      <c r="G265" t="s">
        <v>353</v>
      </c>
      <c r="H265" t="s">
        <v>354</v>
      </c>
      <c r="I265" t="s">
        <v>801</v>
      </c>
      <c r="J265">
        <v>51158565333</v>
      </c>
      <c r="K265" t="s">
        <v>665</v>
      </c>
      <c r="L265" t="s">
        <v>829</v>
      </c>
      <c r="M265">
        <v>48000</v>
      </c>
      <c r="N265" s="10">
        <v>1.273E-2</v>
      </c>
      <c r="O265" s="10">
        <f t="shared" ref="O265:O266" si="128">M265*N265</f>
        <v>611.04</v>
      </c>
      <c r="P265" s="10">
        <v>30.67</v>
      </c>
      <c r="Q265" s="10">
        <v>0</v>
      </c>
      <c r="R265" s="10">
        <f>IF(COUNTIF($J$2:J265,J265)=1,SUMIFS($O:$O,$J:$J,J265)+SUMIFS($P:$P,$J:$J,J265)+SUMIFS($Q:$Q,$J:$J,J265),"")</f>
        <v>1040.02</v>
      </c>
      <c r="S265" s="10">
        <v>1040.02</v>
      </c>
      <c r="T265" s="11" t="str">
        <f>IFERROR(INDEX(AD:AD,MATCH(J265,J:J,0)),"")</f>
        <v>Ok</v>
      </c>
      <c r="U265" s="12">
        <v>46094</v>
      </c>
      <c r="V265" s="10">
        <v>428.98</v>
      </c>
      <c r="W265" s="10" t="str">
        <f t="shared" ref="W265:W266" si="129">IF(OR(S265="",V265=""),"N/A",IF(S265&lt;&gt;V265,"Short Paid","Not Paid"))</f>
        <v>Short Paid</v>
      </c>
      <c r="X265" t="s">
        <v>207</v>
      </c>
      <c r="Y265" t="s">
        <v>27</v>
      </c>
      <c r="Z265">
        <v>100234</v>
      </c>
      <c r="AA265" t="s">
        <v>241</v>
      </c>
      <c r="AB265" t="s">
        <v>252</v>
      </c>
      <c r="AC265" s="9">
        <v>2</v>
      </c>
      <c r="AD265" s="9" t="str">
        <f t="shared" ref="AD265:AD266" si="130">IF(AND(R265="",S265=""),"N/A",IF(R265=S265,"Ok","Check"))</f>
        <v>Ok</v>
      </c>
      <c r="AE265" s="11">
        <f t="shared" ref="AE265:AE266" si="131">R265-S265</f>
        <v>0</v>
      </c>
    </row>
    <row r="266" spans="1:31" x14ac:dyDescent="0.3">
      <c r="A266">
        <v>3</v>
      </c>
      <c r="B266">
        <v>4954925</v>
      </c>
      <c r="C266" t="s">
        <v>91</v>
      </c>
      <c r="D266">
        <v>1027819</v>
      </c>
      <c r="E266" t="s">
        <v>267</v>
      </c>
      <c r="F266" t="s">
        <v>19</v>
      </c>
      <c r="G266" t="s">
        <v>353</v>
      </c>
      <c r="H266" t="s">
        <v>354</v>
      </c>
      <c r="I266" t="s">
        <v>819</v>
      </c>
      <c r="J266">
        <v>51158565333</v>
      </c>
      <c r="K266" t="s">
        <v>813</v>
      </c>
      <c r="L266" t="s">
        <v>1007</v>
      </c>
      <c r="M266">
        <v>51</v>
      </c>
      <c r="N266" s="10">
        <v>7.81</v>
      </c>
      <c r="O266" s="10">
        <f t="shared" si="128"/>
        <v>398.31</v>
      </c>
      <c r="P266" s="10" t="s">
        <v>1062</v>
      </c>
      <c r="Q266" s="10" t="s">
        <v>1062</v>
      </c>
      <c r="R266" s="10" t="str">
        <f>IF(COUNTIF($J$2:J266,J266)=1,SUMIFS($O:$O,$J:$J,J266)+SUMIFS($P:$P,$J:$J,J266)+SUMIFS($Q:$Q,$J:$J,J266),"")</f>
        <v/>
      </c>
      <c r="S266" s="10" t="s">
        <v>1062</v>
      </c>
      <c r="T266" s="11" t="str">
        <f>IFERROR(INDEX(AD:AD,MATCH(J266,J:J,0)),"")</f>
        <v>Ok</v>
      </c>
      <c r="U266" s="12">
        <v>46094</v>
      </c>
      <c r="V266" s="10">
        <v>428.98</v>
      </c>
      <c r="W266" s="10" t="str">
        <f t="shared" si="129"/>
        <v>N/A</v>
      </c>
      <c r="X266" t="s">
        <v>207</v>
      </c>
      <c r="Y266" t="s">
        <v>27</v>
      </c>
      <c r="Z266">
        <v>100234</v>
      </c>
      <c r="AA266" t="s">
        <v>241</v>
      </c>
      <c r="AB266" t="s">
        <v>252</v>
      </c>
      <c r="AC266" s="9">
        <v>2</v>
      </c>
      <c r="AD266" s="9" t="str">
        <f t="shared" si="130"/>
        <v>N/A</v>
      </c>
      <c r="AE266" s="11" t="e">
        <f t="shared" si="131"/>
        <v>#VALUE!</v>
      </c>
    </row>
    <row r="267" spans="1:31" x14ac:dyDescent="0.3">
      <c r="A267">
        <v>14</v>
      </c>
      <c r="B267">
        <v>4890085</v>
      </c>
      <c r="C267" t="s">
        <v>91</v>
      </c>
      <c r="D267">
        <v>1262308</v>
      </c>
      <c r="E267" t="s">
        <v>268</v>
      </c>
      <c r="F267" t="s">
        <v>24</v>
      </c>
      <c r="G267" t="s">
        <v>342</v>
      </c>
      <c r="H267" t="s">
        <v>343</v>
      </c>
      <c r="I267" t="s">
        <v>668</v>
      </c>
      <c r="J267">
        <v>51159431906</v>
      </c>
      <c r="K267" t="s">
        <v>783</v>
      </c>
      <c r="L267" t="s">
        <v>787</v>
      </c>
      <c r="M267">
        <v>7500</v>
      </c>
      <c r="N267" s="10">
        <v>0.27429999999999999</v>
      </c>
      <c r="O267" s="10">
        <f t="shared" ref="O267:O270" si="132">M267*N267</f>
        <v>2057.25</v>
      </c>
      <c r="P267" s="10">
        <v>71.569999999999993</v>
      </c>
      <c r="Q267" s="10">
        <v>185.05</v>
      </c>
      <c r="R267" s="10">
        <f>IF(COUNTIF($J$2:J267,J267)=1,SUMIFS($O:$O,$J:$J,J267)+SUMIFS($P:$P,$J:$J,J267)+SUMIFS($Q:$Q,$J:$J,J267),"")</f>
        <v>3336.2700000000004</v>
      </c>
      <c r="S267" s="10">
        <v>3336.27</v>
      </c>
      <c r="T267" s="11" t="str">
        <f>IFERROR(INDEX(AD:AD,MATCH(J267,J:J,0)),"")</f>
        <v>Ok</v>
      </c>
      <c r="U267" s="12">
        <v>46085</v>
      </c>
      <c r="V267" s="10">
        <v>1093.97</v>
      </c>
      <c r="W267" s="10" t="str">
        <f t="shared" ref="W267:W270" si="133">IF(OR(S267="",V267=""),"N/A",IF(S267&lt;&gt;V267,"Short Paid","Not Paid"))</f>
        <v>Short Paid</v>
      </c>
      <c r="X267" t="s">
        <v>207</v>
      </c>
      <c r="Y267" t="s">
        <v>37</v>
      </c>
      <c r="Z267">
        <v>100104</v>
      </c>
      <c r="AA267" t="s">
        <v>624</v>
      </c>
      <c r="AB267" t="s">
        <v>250</v>
      </c>
      <c r="AC267" s="9">
        <v>2</v>
      </c>
      <c r="AD267" s="9" t="str">
        <f t="shared" ref="AD267:AD270" si="134">IF(AND(R267="",S267=""),"N/A",IF(R267=S267,"Ok","Check"))</f>
        <v>Ok</v>
      </c>
      <c r="AE267" s="11">
        <f t="shared" ref="AE267:AE270" si="135">R267-S267</f>
        <v>0</v>
      </c>
    </row>
    <row r="268" spans="1:31" x14ac:dyDescent="0.3">
      <c r="A268">
        <v>14</v>
      </c>
      <c r="B268">
        <v>4890085</v>
      </c>
      <c r="C268" t="s">
        <v>91</v>
      </c>
      <c r="D268">
        <v>1262308</v>
      </c>
      <c r="E268" t="s">
        <v>268</v>
      </c>
      <c r="F268" t="s">
        <v>24</v>
      </c>
      <c r="G268" t="s">
        <v>342</v>
      </c>
      <c r="H268" t="s">
        <v>343</v>
      </c>
      <c r="I268" t="s">
        <v>841</v>
      </c>
      <c r="J268">
        <v>51159431906</v>
      </c>
      <c r="K268" t="s">
        <v>740</v>
      </c>
      <c r="L268" t="s">
        <v>1008</v>
      </c>
      <c r="M268">
        <v>3000</v>
      </c>
      <c r="N268" s="10">
        <v>0.34079999999999999</v>
      </c>
      <c r="O268" s="10">
        <f t="shared" si="132"/>
        <v>1022.4</v>
      </c>
      <c r="P268" s="10" t="s">
        <v>1062</v>
      </c>
      <c r="Q268" s="10" t="s">
        <v>1062</v>
      </c>
      <c r="R268" s="10" t="str">
        <f>IF(COUNTIF($J$2:J268,J268)=1,SUMIFS($O:$O,$J:$J,J268)+SUMIFS($P:$P,$J:$J,J268)+SUMIFS($Q:$Q,$J:$J,J268),"")</f>
        <v/>
      </c>
      <c r="S268" s="10" t="s">
        <v>1062</v>
      </c>
      <c r="T268" s="11" t="str">
        <f>IFERROR(INDEX(AD:AD,MATCH(J268,J:J,0)),"")</f>
        <v>Ok</v>
      </c>
      <c r="U268" s="12">
        <v>46085</v>
      </c>
      <c r="V268" s="10">
        <v>1093.97</v>
      </c>
      <c r="W268" s="10" t="str">
        <f t="shared" si="133"/>
        <v>N/A</v>
      </c>
      <c r="X268" t="s">
        <v>207</v>
      </c>
      <c r="Y268" t="s">
        <v>37</v>
      </c>
      <c r="Z268">
        <v>100104</v>
      </c>
      <c r="AA268" t="s">
        <v>624</v>
      </c>
      <c r="AB268" t="s">
        <v>250</v>
      </c>
      <c r="AC268" s="9">
        <v>2</v>
      </c>
      <c r="AD268" s="9" t="str">
        <f t="shared" si="134"/>
        <v>N/A</v>
      </c>
      <c r="AE268" s="11" t="e">
        <f t="shared" si="135"/>
        <v>#VALUE!</v>
      </c>
    </row>
    <row r="269" spans="1:31" x14ac:dyDescent="0.3">
      <c r="A269">
        <v>13</v>
      </c>
      <c r="B269">
        <v>4894816</v>
      </c>
      <c r="C269" t="s">
        <v>91</v>
      </c>
      <c r="D269">
        <v>1262308</v>
      </c>
      <c r="E269" t="s">
        <v>268</v>
      </c>
      <c r="F269" t="s">
        <v>24</v>
      </c>
      <c r="G269" t="s">
        <v>593</v>
      </c>
      <c r="H269" t="s">
        <v>344</v>
      </c>
      <c r="I269" t="s">
        <v>672</v>
      </c>
      <c r="J269">
        <v>51159783839</v>
      </c>
      <c r="K269" t="s">
        <v>687</v>
      </c>
      <c r="L269" t="s">
        <v>950</v>
      </c>
      <c r="M269">
        <v>20000</v>
      </c>
      <c r="N269" s="10">
        <v>0.11720000000000001</v>
      </c>
      <c r="O269" s="10">
        <f t="shared" si="132"/>
        <v>2344.0000000000005</v>
      </c>
      <c r="P269" s="10">
        <v>501.65999999999997</v>
      </c>
      <c r="Q269" s="10">
        <v>0</v>
      </c>
      <c r="R269" s="10">
        <f>IF(COUNTIF($J$2:J269,J269)=1,SUMIFS($O:$O,$J:$J,J269)+SUMIFS($P:$P,$J:$J,J269)+SUMIFS($Q:$Q,$J:$J,J269),"")</f>
        <v>7249.66</v>
      </c>
      <c r="S269" s="10">
        <v>7249.66</v>
      </c>
      <c r="T269" s="11" t="str">
        <f>IFERROR(INDEX(AD:AD,MATCH(J269,J:J,0)),"")</f>
        <v>Ok</v>
      </c>
      <c r="U269" s="12">
        <v>46086</v>
      </c>
      <c r="V269" s="10">
        <v>880.28</v>
      </c>
      <c r="W269" s="10" t="str">
        <f t="shared" si="133"/>
        <v>Short Paid</v>
      </c>
      <c r="X269" t="s">
        <v>207</v>
      </c>
      <c r="Y269" t="s">
        <v>37</v>
      </c>
      <c r="Z269">
        <v>100144</v>
      </c>
      <c r="AA269" t="s">
        <v>623</v>
      </c>
      <c r="AB269" t="s">
        <v>250</v>
      </c>
      <c r="AC269" s="9">
        <v>2</v>
      </c>
      <c r="AD269" s="9" t="str">
        <f t="shared" si="134"/>
        <v>Ok</v>
      </c>
      <c r="AE269" s="11">
        <f t="shared" si="135"/>
        <v>0</v>
      </c>
    </row>
    <row r="270" spans="1:31" x14ac:dyDescent="0.3">
      <c r="A270">
        <v>13</v>
      </c>
      <c r="B270">
        <v>4894816</v>
      </c>
      <c r="C270" t="s">
        <v>91</v>
      </c>
      <c r="D270">
        <v>1262308</v>
      </c>
      <c r="E270" t="s">
        <v>268</v>
      </c>
      <c r="F270" t="s">
        <v>24</v>
      </c>
      <c r="G270" t="s">
        <v>593</v>
      </c>
      <c r="H270" t="s">
        <v>344</v>
      </c>
      <c r="I270" t="s">
        <v>758</v>
      </c>
      <c r="J270">
        <v>51159783839</v>
      </c>
      <c r="K270" t="s">
        <v>888</v>
      </c>
      <c r="L270" t="s">
        <v>956</v>
      </c>
      <c r="M270">
        <v>200</v>
      </c>
      <c r="N270" s="10">
        <v>22.02</v>
      </c>
      <c r="O270" s="10">
        <f t="shared" si="132"/>
        <v>4404</v>
      </c>
      <c r="P270" s="10" t="s">
        <v>1062</v>
      </c>
      <c r="Q270" s="10" t="s">
        <v>1062</v>
      </c>
      <c r="R270" s="10" t="str">
        <f>IF(COUNTIF($J$2:J270,J270)=1,SUMIFS($O:$O,$J:$J,J270)+SUMIFS($P:$P,$J:$J,J270)+SUMIFS($Q:$Q,$J:$J,J270),"")</f>
        <v/>
      </c>
      <c r="S270" s="10" t="s">
        <v>1062</v>
      </c>
      <c r="T270" s="11" t="str">
        <f>IFERROR(INDEX(AD:AD,MATCH(J270,J:J,0)),"")</f>
        <v>Ok</v>
      </c>
      <c r="U270" s="12">
        <v>46086</v>
      </c>
      <c r="V270" s="10">
        <v>880.28</v>
      </c>
      <c r="W270" s="10" t="str">
        <f t="shared" si="133"/>
        <v>N/A</v>
      </c>
      <c r="X270" t="s">
        <v>207</v>
      </c>
      <c r="Y270" t="s">
        <v>37</v>
      </c>
      <c r="Z270">
        <v>100144</v>
      </c>
      <c r="AA270" t="s">
        <v>623</v>
      </c>
      <c r="AB270" t="s">
        <v>250</v>
      </c>
      <c r="AC270" s="9">
        <v>2</v>
      </c>
      <c r="AD270" s="9" t="str">
        <f t="shared" si="134"/>
        <v>N/A</v>
      </c>
      <c r="AE270" s="11" t="e">
        <f t="shared" si="135"/>
        <v>#VALUE!</v>
      </c>
    </row>
    <row r="271" spans="1:31" x14ac:dyDescent="0.3">
      <c r="A271">
        <v>0</v>
      </c>
      <c r="B271">
        <v>4979971</v>
      </c>
      <c r="C271" t="s">
        <v>91</v>
      </c>
      <c r="D271">
        <v>1262308</v>
      </c>
      <c r="E271" t="s">
        <v>268</v>
      </c>
      <c r="F271" t="s">
        <v>24</v>
      </c>
      <c r="G271" t="s">
        <v>358</v>
      </c>
      <c r="H271" t="s">
        <v>359</v>
      </c>
      <c r="I271" t="s">
        <v>668</v>
      </c>
      <c r="J271">
        <v>51160265053</v>
      </c>
      <c r="K271" t="s">
        <v>740</v>
      </c>
      <c r="L271" t="s">
        <v>1009</v>
      </c>
      <c r="M271">
        <v>25</v>
      </c>
      <c r="N271" s="10">
        <v>15.96</v>
      </c>
      <c r="O271" s="10">
        <f t="shared" ref="O271:O282" si="136">M271*N271</f>
        <v>399</v>
      </c>
      <c r="P271" s="10">
        <v>0</v>
      </c>
      <c r="Q271" s="10">
        <v>15.16</v>
      </c>
      <c r="R271" s="10">
        <f>IF(COUNTIF($J$2:J271,J271)=1,SUMIFS($O:$O,$J:$J,J271)+SUMIFS($P:$P,$J:$J,J271)+SUMIFS($Q:$Q,$J:$J,J271),"")</f>
        <v>573.76</v>
      </c>
      <c r="S271" s="10">
        <v>573.76</v>
      </c>
      <c r="T271" s="11" t="str">
        <f>IFERROR(INDEX(AD:AD,MATCH(J271,J:J,0)),"")</f>
        <v>Ok</v>
      </c>
      <c r="U271" s="12">
        <v>46144</v>
      </c>
      <c r="V271" s="10">
        <v>159.6</v>
      </c>
      <c r="W271" s="10" t="str">
        <f t="shared" ref="W271:W282" si="137">IF(OR(S271="",V271=""),"N/A",IF(S271&lt;&gt;V271,"Short Paid","Not Paid"))</f>
        <v>Short Paid</v>
      </c>
      <c r="X271" t="s">
        <v>207</v>
      </c>
      <c r="Y271" t="s">
        <v>37</v>
      </c>
      <c r="Z271">
        <v>100144</v>
      </c>
      <c r="AA271" t="s">
        <v>623</v>
      </c>
      <c r="AB271" t="s">
        <v>250</v>
      </c>
      <c r="AC271" s="9">
        <v>2</v>
      </c>
      <c r="AD271" s="9" t="str">
        <f t="shared" ref="AD271:AD282" si="138">IF(AND(R271="",S271=""),"N/A",IF(R271=S271,"Ok","Check"))</f>
        <v>Ok</v>
      </c>
      <c r="AE271" s="11">
        <f t="shared" ref="AE271:AE282" si="139">R271-S271</f>
        <v>0</v>
      </c>
    </row>
    <row r="272" spans="1:31" x14ac:dyDescent="0.3">
      <c r="A272">
        <v>0</v>
      </c>
      <c r="B272">
        <v>4979971</v>
      </c>
      <c r="C272" t="s">
        <v>91</v>
      </c>
      <c r="D272">
        <v>1262308</v>
      </c>
      <c r="E272" t="s">
        <v>268</v>
      </c>
      <c r="F272" t="s">
        <v>24</v>
      </c>
      <c r="G272" t="s">
        <v>358</v>
      </c>
      <c r="H272" t="s">
        <v>359</v>
      </c>
      <c r="I272" t="s">
        <v>797</v>
      </c>
      <c r="J272">
        <v>51160265053</v>
      </c>
      <c r="K272" t="s">
        <v>699</v>
      </c>
      <c r="L272" t="s">
        <v>1010</v>
      </c>
      <c r="M272">
        <v>12000</v>
      </c>
      <c r="N272" s="10">
        <v>1.3299999999999999E-2</v>
      </c>
      <c r="O272" s="10">
        <f t="shared" si="136"/>
        <v>159.6</v>
      </c>
      <c r="P272" s="10" t="s">
        <v>1062</v>
      </c>
      <c r="Q272" s="10" t="s">
        <v>1062</v>
      </c>
      <c r="R272" s="10" t="str">
        <f>IF(COUNTIF($J$2:J272,J272)=1,SUMIFS($O:$O,$J:$J,J272)+SUMIFS($P:$P,$J:$J,J272)+SUMIFS($Q:$Q,$J:$J,J272),"")</f>
        <v/>
      </c>
      <c r="S272" s="10" t="s">
        <v>1062</v>
      </c>
      <c r="T272" s="11" t="str">
        <f>IFERROR(INDEX(AD:AD,MATCH(J272,J:J,0)),"")</f>
        <v>Ok</v>
      </c>
      <c r="U272" s="12">
        <v>46144</v>
      </c>
      <c r="V272" s="10">
        <v>159.6</v>
      </c>
      <c r="W272" s="10" t="str">
        <f t="shared" si="137"/>
        <v>N/A</v>
      </c>
      <c r="X272" t="s">
        <v>207</v>
      </c>
      <c r="Y272" t="s">
        <v>37</v>
      </c>
      <c r="Z272">
        <v>100144</v>
      </c>
      <c r="AA272" t="s">
        <v>623</v>
      </c>
      <c r="AB272" t="s">
        <v>250</v>
      </c>
      <c r="AC272" s="9">
        <v>2</v>
      </c>
      <c r="AD272" s="9" t="str">
        <f t="shared" si="138"/>
        <v>N/A</v>
      </c>
      <c r="AE272" s="11" t="e">
        <f t="shared" si="139"/>
        <v>#VALUE!</v>
      </c>
    </row>
    <row r="273" spans="1:31" x14ac:dyDescent="0.3">
      <c r="A273">
        <v>3</v>
      </c>
      <c r="B273">
        <v>4953812</v>
      </c>
      <c r="C273" t="s">
        <v>91</v>
      </c>
      <c r="D273">
        <v>1422097</v>
      </c>
      <c r="E273" t="s">
        <v>184</v>
      </c>
      <c r="F273" t="s">
        <v>19</v>
      </c>
      <c r="G273" t="s">
        <v>351</v>
      </c>
      <c r="H273" t="s">
        <v>352</v>
      </c>
      <c r="I273" t="s">
        <v>807</v>
      </c>
      <c r="J273">
        <v>51160297887</v>
      </c>
      <c r="K273" t="s">
        <v>697</v>
      </c>
      <c r="L273" t="s">
        <v>696</v>
      </c>
      <c r="M273">
        <v>1000</v>
      </c>
      <c r="N273" s="10">
        <v>1.41882</v>
      </c>
      <c r="O273" s="10">
        <f t="shared" si="136"/>
        <v>1418.82</v>
      </c>
      <c r="P273" s="10">
        <v>0</v>
      </c>
      <c r="Q273" s="10">
        <v>0</v>
      </c>
      <c r="R273" s="10">
        <f>IF(COUNTIF($J$2:J273,J273)=1,SUMIFS($O:$O,$J:$J,J273)+SUMIFS($P:$P,$J:$J,J273)+SUMIFS($Q:$Q,$J:$J,J273),"")</f>
        <v>4495.0422399999998</v>
      </c>
      <c r="S273" s="10">
        <v>4495.04</v>
      </c>
      <c r="T273" s="11" t="str">
        <f>IFERROR(INDEX(AD:AD,MATCH(J273,J:J,0)),"")</f>
        <v>Check</v>
      </c>
      <c r="U273" s="12">
        <v>46127</v>
      </c>
      <c r="V273" s="10">
        <v>3076.22</v>
      </c>
      <c r="W273" s="10" t="str">
        <f t="shared" si="137"/>
        <v>Short Paid</v>
      </c>
      <c r="X273" t="s">
        <v>207</v>
      </c>
      <c r="Y273" t="s">
        <v>27</v>
      </c>
      <c r="Z273">
        <v>100154</v>
      </c>
      <c r="AA273" t="s">
        <v>224</v>
      </c>
      <c r="AB273" t="s">
        <v>252</v>
      </c>
      <c r="AC273" s="9">
        <v>2</v>
      </c>
      <c r="AD273" s="9" t="str">
        <f t="shared" si="138"/>
        <v>Check</v>
      </c>
      <c r="AE273" s="11">
        <f t="shared" si="139"/>
        <v>2.2399999998015119E-3</v>
      </c>
    </row>
    <row r="274" spans="1:31" x14ac:dyDescent="0.3">
      <c r="A274">
        <v>3</v>
      </c>
      <c r="B274">
        <v>4953812</v>
      </c>
      <c r="C274" t="s">
        <v>91</v>
      </c>
      <c r="D274">
        <v>1422097</v>
      </c>
      <c r="E274" t="s">
        <v>184</v>
      </c>
      <c r="F274" t="s">
        <v>19</v>
      </c>
      <c r="G274" t="s">
        <v>351</v>
      </c>
      <c r="H274" t="s">
        <v>352</v>
      </c>
      <c r="I274" t="s">
        <v>775</v>
      </c>
      <c r="J274">
        <v>51160297887</v>
      </c>
      <c r="K274" t="s">
        <v>858</v>
      </c>
      <c r="L274" t="s">
        <v>1011</v>
      </c>
      <c r="M274">
        <v>14</v>
      </c>
      <c r="N274" s="10">
        <v>219.73016000000001</v>
      </c>
      <c r="O274" s="10">
        <f t="shared" si="136"/>
        <v>3076.2222400000001</v>
      </c>
      <c r="P274" s="10" t="s">
        <v>1062</v>
      </c>
      <c r="Q274" s="10" t="s">
        <v>1062</v>
      </c>
      <c r="R274" s="10" t="str">
        <f>IF(COUNTIF($J$2:J274,J274)=1,SUMIFS($O:$O,$J:$J,J274)+SUMIFS($P:$P,$J:$J,J274)+SUMIFS($Q:$Q,$J:$J,J274),"")</f>
        <v/>
      </c>
      <c r="S274" s="10" t="s">
        <v>1062</v>
      </c>
      <c r="T274" s="11" t="str">
        <f>IFERROR(INDEX(AD:AD,MATCH(J274,J:J,0)),"")</f>
        <v>Check</v>
      </c>
      <c r="U274" s="12">
        <v>46127</v>
      </c>
      <c r="V274" s="10">
        <v>3076.22</v>
      </c>
      <c r="W274" s="10" t="str">
        <f t="shared" si="137"/>
        <v>N/A</v>
      </c>
      <c r="X274" t="s">
        <v>207</v>
      </c>
      <c r="Y274" t="s">
        <v>27</v>
      </c>
      <c r="Z274">
        <v>100154</v>
      </c>
      <c r="AA274" t="s">
        <v>224</v>
      </c>
      <c r="AB274" t="s">
        <v>252</v>
      </c>
      <c r="AC274" s="9">
        <v>2</v>
      </c>
      <c r="AD274" s="9" t="str">
        <f t="shared" si="138"/>
        <v>N/A</v>
      </c>
      <c r="AE274" s="11" t="e">
        <f t="shared" si="139"/>
        <v>#VALUE!</v>
      </c>
    </row>
    <row r="275" spans="1:31" x14ac:dyDescent="0.3">
      <c r="A275">
        <v>3</v>
      </c>
      <c r="B275">
        <v>4953534</v>
      </c>
      <c r="C275" t="s">
        <v>91</v>
      </c>
      <c r="D275">
        <v>1422097</v>
      </c>
      <c r="E275" t="s">
        <v>184</v>
      </c>
      <c r="F275" t="s">
        <v>19</v>
      </c>
      <c r="G275" t="s">
        <v>349</v>
      </c>
      <c r="H275" t="s">
        <v>350</v>
      </c>
      <c r="I275" t="s">
        <v>797</v>
      </c>
      <c r="J275">
        <v>51160297898</v>
      </c>
      <c r="K275" t="s">
        <v>768</v>
      </c>
      <c r="L275" t="s">
        <v>1012</v>
      </c>
      <c r="M275">
        <v>21</v>
      </c>
      <c r="N275" s="10">
        <v>8.4499999999999993</v>
      </c>
      <c r="O275" s="10">
        <f t="shared" si="136"/>
        <v>177.45</v>
      </c>
      <c r="P275" s="10">
        <v>0</v>
      </c>
      <c r="Q275" s="10">
        <v>11534.4</v>
      </c>
      <c r="R275" s="10">
        <f>IF(COUNTIF($J$2:J275,J275)=1,SUMIFS($O:$O,$J:$J,J275)+SUMIFS($P:$P,$J:$J,J275)+SUMIFS($Q:$Q,$J:$J,J275),"")</f>
        <v>44111.85</v>
      </c>
      <c r="S275" s="10">
        <v>44111.85</v>
      </c>
      <c r="T275" s="11" t="str">
        <f>IFERROR(INDEX(AD:AD,MATCH(J275,J:J,0)),"")</f>
        <v>Ok</v>
      </c>
      <c r="U275" s="12">
        <v>46120</v>
      </c>
      <c r="V275" s="10">
        <v>177.45</v>
      </c>
      <c r="W275" s="10" t="str">
        <f t="shared" si="137"/>
        <v>Short Paid</v>
      </c>
      <c r="X275" t="s">
        <v>207</v>
      </c>
      <c r="Y275" t="s">
        <v>27</v>
      </c>
      <c r="Z275">
        <v>100124</v>
      </c>
      <c r="AA275" t="s">
        <v>230</v>
      </c>
      <c r="AB275" t="s">
        <v>252</v>
      </c>
      <c r="AC275" s="9">
        <v>2</v>
      </c>
      <c r="AD275" s="9" t="str">
        <f t="shared" si="138"/>
        <v>Ok</v>
      </c>
      <c r="AE275" s="11">
        <f t="shared" si="139"/>
        <v>0</v>
      </c>
    </row>
    <row r="276" spans="1:31" x14ac:dyDescent="0.3">
      <c r="A276">
        <v>3</v>
      </c>
      <c r="B276">
        <v>4953534</v>
      </c>
      <c r="C276" t="s">
        <v>91</v>
      </c>
      <c r="D276">
        <v>1422097</v>
      </c>
      <c r="E276" t="s">
        <v>184</v>
      </c>
      <c r="F276" t="s">
        <v>19</v>
      </c>
      <c r="G276" t="s">
        <v>349</v>
      </c>
      <c r="H276" t="s">
        <v>350</v>
      </c>
      <c r="I276" t="s">
        <v>819</v>
      </c>
      <c r="J276">
        <v>51160297898</v>
      </c>
      <c r="K276" t="s">
        <v>719</v>
      </c>
      <c r="L276" t="s">
        <v>1013</v>
      </c>
      <c r="M276">
        <v>10800</v>
      </c>
      <c r="N276" s="10">
        <v>3</v>
      </c>
      <c r="O276" s="10">
        <f t="shared" si="136"/>
        <v>32400</v>
      </c>
      <c r="P276" s="10" t="s">
        <v>1062</v>
      </c>
      <c r="Q276" s="10" t="s">
        <v>1062</v>
      </c>
      <c r="R276" s="10" t="str">
        <f>IF(COUNTIF($J$2:J276,J276)=1,SUMIFS($O:$O,$J:$J,J276)+SUMIFS($P:$P,$J:$J,J276)+SUMIFS($Q:$Q,$J:$J,J276),"")</f>
        <v/>
      </c>
      <c r="S276" s="10" t="s">
        <v>1062</v>
      </c>
      <c r="T276" s="11" t="str">
        <f>IFERROR(INDEX(AD:AD,MATCH(J276,J:J,0)),"")</f>
        <v>Ok</v>
      </c>
      <c r="U276" s="12">
        <v>46120</v>
      </c>
      <c r="V276" s="10">
        <v>177.45</v>
      </c>
      <c r="W276" s="10" t="str">
        <f t="shared" si="137"/>
        <v>N/A</v>
      </c>
      <c r="X276" t="s">
        <v>207</v>
      </c>
      <c r="Y276" t="s">
        <v>27</v>
      </c>
      <c r="Z276">
        <v>100124</v>
      </c>
      <c r="AA276" t="s">
        <v>230</v>
      </c>
      <c r="AB276" t="s">
        <v>252</v>
      </c>
      <c r="AC276" s="9">
        <v>2</v>
      </c>
      <c r="AD276" s="9" t="str">
        <f t="shared" si="138"/>
        <v>N/A</v>
      </c>
      <c r="AE276" s="11" t="e">
        <f t="shared" si="139"/>
        <v>#VALUE!</v>
      </c>
    </row>
    <row r="277" spans="1:31" x14ac:dyDescent="0.3">
      <c r="A277">
        <v>0</v>
      </c>
      <c r="B277">
        <v>4982475</v>
      </c>
      <c r="C277" t="s">
        <v>91</v>
      </c>
      <c r="D277">
        <v>1709146</v>
      </c>
      <c r="E277" t="s">
        <v>271</v>
      </c>
      <c r="F277" t="s">
        <v>18</v>
      </c>
      <c r="G277" t="s">
        <v>597</v>
      </c>
      <c r="H277" t="s">
        <v>360</v>
      </c>
      <c r="I277" t="s">
        <v>708</v>
      </c>
      <c r="J277">
        <v>51160474624</v>
      </c>
      <c r="K277" t="s">
        <v>699</v>
      </c>
      <c r="L277" t="s">
        <v>1014</v>
      </c>
      <c r="M277">
        <v>500</v>
      </c>
      <c r="N277" s="10">
        <v>4.2300000000000004</v>
      </c>
      <c r="O277" s="10">
        <f t="shared" si="136"/>
        <v>2115</v>
      </c>
      <c r="P277" s="10">
        <v>0</v>
      </c>
      <c r="Q277" s="10">
        <v>0</v>
      </c>
      <c r="R277" s="10">
        <f>IF(COUNTIF($J$2:J277,J277)=1,SUMIFS($O:$O,$J:$J,J277)+SUMIFS($P:$P,$J:$J,J277)+SUMIFS($Q:$Q,$J:$J,J277),"")</f>
        <v>11215</v>
      </c>
      <c r="S277" s="10">
        <v>11215</v>
      </c>
      <c r="T277" s="11" t="str">
        <f>IFERROR(INDEX(AD:AD,MATCH(J277,J:J,0)),"")</f>
        <v>Ok</v>
      </c>
      <c r="U277" s="12">
        <v>46133</v>
      </c>
      <c r="V277" s="10">
        <v>9100</v>
      </c>
      <c r="W277" s="10" t="str">
        <f t="shared" si="137"/>
        <v>Short Paid</v>
      </c>
      <c r="X277" t="s">
        <v>207</v>
      </c>
      <c r="Y277" t="s">
        <v>27</v>
      </c>
      <c r="Z277">
        <v>100204</v>
      </c>
      <c r="AA277" t="s">
        <v>240</v>
      </c>
      <c r="AB277" t="s">
        <v>251</v>
      </c>
      <c r="AC277" s="9">
        <v>2</v>
      </c>
      <c r="AD277" s="9" t="str">
        <f t="shared" si="138"/>
        <v>Ok</v>
      </c>
      <c r="AE277" s="11">
        <f t="shared" si="139"/>
        <v>0</v>
      </c>
    </row>
    <row r="278" spans="1:31" x14ac:dyDescent="0.3">
      <c r="A278">
        <v>0</v>
      </c>
      <c r="B278">
        <v>4982475</v>
      </c>
      <c r="C278" t="s">
        <v>91</v>
      </c>
      <c r="D278">
        <v>1709146</v>
      </c>
      <c r="E278" t="s">
        <v>271</v>
      </c>
      <c r="F278" t="s">
        <v>18</v>
      </c>
      <c r="G278" t="s">
        <v>597</v>
      </c>
      <c r="H278" t="s">
        <v>360</v>
      </c>
      <c r="I278" t="s">
        <v>758</v>
      </c>
      <c r="J278">
        <v>51160474624</v>
      </c>
      <c r="K278" t="s">
        <v>773</v>
      </c>
      <c r="L278" t="s">
        <v>1015</v>
      </c>
      <c r="M278">
        <v>5000</v>
      </c>
      <c r="N278" s="10">
        <v>1.82</v>
      </c>
      <c r="O278" s="10">
        <f t="shared" si="136"/>
        <v>9100</v>
      </c>
      <c r="P278" s="10" t="s">
        <v>1062</v>
      </c>
      <c r="Q278" s="10" t="s">
        <v>1062</v>
      </c>
      <c r="R278" s="10" t="str">
        <f>IF(COUNTIF($J$2:J278,J278)=1,SUMIFS($O:$O,$J:$J,J278)+SUMIFS($P:$P,$J:$J,J278)+SUMIFS($Q:$Q,$J:$J,J278),"")</f>
        <v/>
      </c>
      <c r="S278" s="10" t="s">
        <v>1062</v>
      </c>
      <c r="T278" s="11" t="str">
        <f>IFERROR(INDEX(AD:AD,MATCH(J278,J:J,0)),"")</f>
        <v>Ok</v>
      </c>
      <c r="U278" s="12">
        <v>46133</v>
      </c>
      <c r="V278" s="10">
        <v>9100</v>
      </c>
      <c r="W278" s="10" t="str">
        <f t="shared" si="137"/>
        <v>N/A</v>
      </c>
      <c r="X278" t="s">
        <v>207</v>
      </c>
      <c r="Y278" t="s">
        <v>27</v>
      </c>
      <c r="Z278">
        <v>100204</v>
      </c>
      <c r="AA278" t="s">
        <v>240</v>
      </c>
      <c r="AB278" t="s">
        <v>251</v>
      </c>
      <c r="AC278" s="9">
        <v>2</v>
      </c>
      <c r="AD278" s="9" t="str">
        <f t="shared" si="138"/>
        <v>N/A</v>
      </c>
      <c r="AE278" s="11" t="e">
        <f t="shared" si="139"/>
        <v>#VALUE!</v>
      </c>
    </row>
    <row r="279" spans="1:31" x14ac:dyDescent="0.3">
      <c r="A279">
        <v>121</v>
      </c>
      <c r="B279">
        <v>4436411</v>
      </c>
      <c r="C279" t="s">
        <v>91</v>
      </c>
      <c r="D279">
        <v>1116250</v>
      </c>
      <c r="E279" t="s">
        <v>261</v>
      </c>
      <c r="F279" t="s">
        <v>20</v>
      </c>
      <c r="G279" t="s">
        <v>477</v>
      </c>
      <c r="H279" t="s">
        <v>478</v>
      </c>
      <c r="I279" t="s">
        <v>837</v>
      </c>
      <c r="J279">
        <v>51160562050</v>
      </c>
      <c r="K279" t="s">
        <v>786</v>
      </c>
      <c r="L279" t="s">
        <v>989</v>
      </c>
      <c r="M279">
        <v>10000</v>
      </c>
      <c r="N279" s="10">
        <v>2.7299999999999998E-3</v>
      </c>
      <c r="O279" s="10">
        <f t="shared" si="136"/>
        <v>27.299999999999997</v>
      </c>
      <c r="P279" s="10">
        <v>0</v>
      </c>
      <c r="Q279" s="10">
        <v>130.79999999999998</v>
      </c>
      <c r="R279" s="10">
        <f>IF(COUNTIF($J$2:J279,J279)=1,SUMIFS($O:$O,$J:$J,J279)+SUMIFS($P:$P,$J:$J,J279)+SUMIFS($Q:$Q,$J:$J,J279),"")</f>
        <v>1688.12</v>
      </c>
      <c r="S279" s="10">
        <v>1789.42</v>
      </c>
      <c r="T279" s="11" t="str">
        <f>IFERROR(INDEX(AD:AD,MATCH(J279,J:J,0)),"")</f>
        <v>Check</v>
      </c>
      <c r="U279" s="12">
        <v>45987</v>
      </c>
      <c r="V279" s="10">
        <v>1789.42</v>
      </c>
      <c r="W279" s="10" t="str">
        <f t="shared" si="137"/>
        <v>Not Paid</v>
      </c>
      <c r="X279" t="s">
        <v>207</v>
      </c>
      <c r="Y279" t="s">
        <v>27</v>
      </c>
      <c r="Z279">
        <v>100234</v>
      </c>
      <c r="AA279" t="s">
        <v>241</v>
      </c>
      <c r="AB279" t="s">
        <v>249</v>
      </c>
      <c r="AC279" s="9">
        <v>4</v>
      </c>
      <c r="AD279" s="9" t="str">
        <f t="shared" si="138"/>
        <v>Check</v>
      </c>
      <c r="AE279" s="11">
        <f t="shared" si="139"/>
        <v>-101.30000000000018</v>
      </c>
    </row>
    <row r="280" spans="1:31" x14ac:dyDescent="0.3">
      <c r="A280">
        <v>121</v>
      </c>
      <c r="B280">
        <v>4436411</v>
      </c>
      <c r="C280" t="s">
        <v>91</v>
      </c>
      <c r="D280">
        <v>1116250</v>
      </c>
      <c r="E280" t="s">
        <v>261</v>
      </c>
      <c r="F280" t="s">
        <v>20</v>
      </c>
      <c r="G280" t="s">
        <v>477</v>
      </c>
      <c r="H280" t="s">
        <v>478</v>
      </c>
      <c r="I280" t="s">
        <v>837</v>
      </c>
      <c r="J280">
        <v>51160562050</v>
      </c>
      <c r="K280" t="s">
        <v>786</v>
      </c>
      <c r="L280" t="s">
        <v>1016</v>
      </c>
      <c r="M280">
        <v>50000</v>
      </c>
      <c r="N280" s="10">
        <v>4.0299999999999997E-3</v>
      </c>
      <c r="O280" s="10">
        <f t="shared" si="136"/>
        <v>201.5</v>
      </c>
      <c r="P280" s="10" t="s">
        <v>1062</v>
      </c>
      <c r="Q280" s="10" t="s">
        <v>1062</v>
      </c>
      <c r="R280" s="10" t="str">
        <f>IF(COUNTIF($J$2:J280,J280)=1,SUMIFS($O:$O,$J:$J,J280)+SUMIFS($P:$P,$J:$J,J280)+SUMIFS($Q:$Q,$J:$J,J280),"")</f>
        <v/>
      </c>
      <c r="S280" s="10" t="s">
        <v>1062</v>
      </c>
      <c r="T280" s="11" t="str">
        <f>IFERROR(INDEX(AD:AD,MATCH(J280,J:J,0)),"")</f>
        <v>Check</v>
      </c>
      <c r="U280" s="12">
        <v>45987</v>
      </c>
      <c r="V280" s="10">
        <v>1789.42</v>
      </c>
      <c r="W280" s="10" t="str">
        <f t="shared" si="137"/>
        <v>N/A</v>
      </c>
      <c r="X280" t="s">
        <v>207</v>
      </c>
      <c r="Y280" t="s">
        <v>27</v>
      </c>
      <c r="Z280">
        <v>100234</v>
      </c>
      <c r="AA280" t="s">
        <v>241</v>
      </c>
      <c r="AB280" t="s">
        <v>249</v>
      </c>
      <c r="AC280" s="9">
        <v>4</v>
      </c>
      <c r="AD280" s="9" t="str">
        <f t="shared" si="138"/>
        <v>N/A</v>
      </c>
      <c r="AE280" s="11" t="e">
        <f t="shared" si="139"/>
        <v>#VALUE!</v>
      </c>
    </row>
    <row r="281" spans="1:31" x14ac:dyDescent="0.3">
      <c r="A281">
        <v>121</v>
      </c>
      <c r="B281">
        <v>4436411</v>
      </c>
      <c r="C281" t="s">
        <v>91</v>
      </c>
      <c r="D281">
        <v>1116250</v>
      </c>
      <c r="E281" t="s">
        <v>261</v>
      </c>
      <c r="F281" t="s">
        <v>20</v>
      </c>
      <c r="G281" t="s">
        <v>477</v>
      </c>
      <c r="H281" t="s">
        <v>478</v>
      </c>
      <c r="I281" t="s">
        <v>837</v>
      </c>
      <c r="J281">
        <v>51160562050</v>
      </c>
      <c r="K281" t="s">
        <v>786</v>
      </c>
      <c r="L281" t="s">
        <v>1017</v>
      </c>
      <c r="M281">
        <v>4000</v>
      </c>
      <c r="N281" s="10">
        <v>2.623E-2</v>
      </c>
      <c r="O281" s="10">
        <f t="shared" si="136"/>
        <v>104.92</v>
      </c>
      <c r="P281" s="10" t="s">
        <v>1062</v>
      </c>
      <c r="Q281" s="10" t="s">
        <v>1062</v>
      </c>
      <c r="R281" s="10" t="str">
        <f>IF(COUNTIF($J$2:J281,J281)=1,SUMIFS($O:$O,$J:$J,J281)+SUMIFS($P:$P,$J:$J,J281)+SUMIFS($Q:$Q,$J:$J,J281),"")</f>
        <v/>
      </c>
      <c r="S281" s="10" t="s">
        <v>1062</v>
      </c>
      <c r="T281" s="11" t="str">
        <f>IFERROR(INDEX(AD:AD,MATCH(J281,J:J,0)),"")</f>
        <v>Check</v>
      </c>
      <c r="U281" s="12">
        <v>45987</v>
      </c>
      <c r="V281" s="10">
        <v>1789.42</v>
      </c>
      <c r="W281" s="10" t="str">
        <f t="shared" si="137"/>
        <v>N/A</v>
      </c>
      <c r="X281" t="s">
        <v>207</v>
      </c>
      <c r="Y281" t="s">
        <v>27</v>
      </c>
      <c r="Z281">
        <v>100234</v>
      </c>
      <c r="AA281" t="s">
        <v>241</v>
      </c>
      <c r="AB281" t="s">
        <v>249</v>
      </c>
      <c r="AC281" s="9">
        <v>4</v>
      </c>
      <c r="AD281" s="9" t="str">
        <f t="shared" si="138"/>
        <v>N/A</v>
      </c>
      <c r="AE281" s="11" t="e">
        <f t="shared" si="139"/>
        <v>#VALUE!</v>
      </c>
    </row>
    <row r="282" spans="1:31" x14ac:dyDescent="0.3">
      <c r="A282">
        <v>121</v>
      </c>
      <c r="B282">
        <v>4436411</v>
      </c>
      <c r="C282" t="s">
        <v>91</v>
      </c>
      <c r="D282">
        <v>1116250</v>
      </c>
      <c r="E282" t="s">
        <v>261</v>
      </c>
      <c r="F282" t="s">
        <v>20</v>
      </c>
      <c r="G282" t="s">
        <v>477</v>
      </c>
      <c r="H282" t="s">
        <v>478</v>
      </c>
      <c r="I282" t="s">
        <v>837</v>
      </c>
      <c r="J282">
        <v>51160562050</v>
      </c>
      <c r="K282" t="s">
        <v>854</v>
      </c>
      <c r="L282" t="s">
        <v>1018</v>
      </c>
      <c r="M282">
        <v>2000</v>
      </c>
      <c r="N282" s="10">
        <v>0.61180000000000001</v>
      </c>
      <c r="O282" s="10">
        <f t="shared" si="136"/>
        <v>1223.5999999999999</v>
      </c>
      <c r="P282" s="10" t="s">
        <v>1062</v>
      </c>
      <c r="Q282" s="10" t="s">
        <v>1062</v>
      </c>
      <c r="R282" s="10" t="str">
        <f>IF(COUNTIF($J$2:J282,J282)=1,SUMIFS($O:$O,$J:$J,J282)+SUMIFS($P:$P,$J:$J,J282)+SUMIFS($Q:$Q,$J:$J,J282),"")</f>
        <v/>
      </c>
      <c r="S282" s="10" t="s">
        <v>1062</v>
      </c>
      <c r="T282" s="11" t="str">
        <f>IFERROR(INDEX(AD:AD,MATCH(J282,J:J,0)),"")</f>
        <v>Check</v>
      </c>
      <c r="U282" s="12">
        <v>45987</v>
      </c>
      <c r="V282" s="10">
        <v>1789.42</v>
      </c>
      <c r="W282" s="10" t="str">
        <f t="shared" si="137"/>
        <v>N/A</v>
      </c>
      <c r="X282" t="s">
        <v>207</v>
      </c>
      <c r="Y282" t="s">
        <v>27</v>
      </c>
      <c r="Z282">
        <v>100234</v>
      </c>
      <c r="AA282" t="s">
        <v>241</v>
      </c>
      <c r="AB282" t="s">
        <v>249</v>
      </c>
      <c r="AC282" s="9">
        <v>4</v>
      </c>
      <c r="AD282" s="9" t="str">
        <f t="shared" si="138"/>
        <v>N/A</v>
      </c>
      <c r="AE282" s="11" t="e">
        <f t="shared" si="139"/>
        <v>#VALUE!</v>
      </c>
    </row>
    <row r="283" spans="1:31" x14ac:dyDescent="0.3">
      <c r="A283">
        <v>1</v>
      </c>
      <c r="B283">
        <v>4978301</v>
      </c>
      <c r="C283" t="s">
        <v>91</v>
      </c>
      <c r="D283">
        <v>1440119</v>
      </c>
      <c r="E283" t="s">
        <v>270</v>
      </c>
      <c r="F283" t="s">
        <v>44</v>
      </c>
      <c r="G283" t="s">
        <v>596</v>
      </c>
      <c r="H283" t="s">
        <v>357</v>
      </c>
      <c r="I283" t="s">
        <v>713</v>
      </c>
      <c r="J283">
        <v>51161586339</v>
      </c>
      <c r="K283" t="s">
        <v>1020</v>
      </c>
      <c r="L283" t="s">
        <v>1019</v>
      </c>
      <c r="M283">
        <v>4</v>
      </c>
      <c r="N283" s="10">
        <v>549327.08250000002</v>
      </c>
      <c r="O283" s="10">
        <f t="shared" ref="O283:O284" si="140">M283*N283</f>
        <v>2197308.33</v>
      </c>
      <c r="P283" s="10">
        <v>21973.08</v>
      </c>
      <c r="Q283" s="10" t="s">
        <v>1062</v>
      </c>
      <c r="R283" s="10">
        <f>IF(COUNTIF($J$2:J283,J283)=1,SUMIFS($O:$O,$J:$J,J283)+SUMIFS($P:$P,$J:$J,J283)+SUMIFS($Q:$Q,$J:$J,J283),"")</f>
        <v>2282105.0100000002</v>
      </c>
      <c r="S283" s="10">
        <v>2282105.0100000002</v>
      </c>
      <c r="T283" s="11" t="str">
        <f>IFERROR(INDEX(AD:AD,MATCH(J283,J:J,0)),"")</f>
        <v>Ok</v>
      </c>
      <c r="U283" s="12">
        <v>46160</v>
      </c>
      <c r="V283" s="10">
        <v>21973.08</v>
      </c>
      <c r="W283" s="10" t="str">
        <f t="shared" ref="W283:W284" si="141">IF(OR(S283="",V283=""),"N/A",IF(S283&lt;&gt;V283,"Short Paid","Not Paid"))</f>
        <v>Short Paid</v>
      </c>
      <c r="X283" t="s">
        <v>207</v>
      </c>
      <c r="Y283" t="s">
        <v>28</v>
      </c>
      <c r="Z283">
        <v>100294</v>
      </c>
      <c r="AA283" t="s">
        <v>649</v>
      </c>
      <c r="AB283" t="s">
        <v>606</v>
      </c>
      <c r="AC283" s="9">
        <v>2</v>
      </c>
      <c r="AD283" s="9" t="str">
        <f t="shared" ref="AD283:AD284" si="142">IF(AND(R283="",S283=""),"N/A",IF(R283=S283,"Ok","Check"))</f>
        <v>Ok</v>
      </c>
      <c r="AE283" s="11">
        <f t="shared" ref="AE283:AE284" si="143">R283-S283</f>
        <v>0</v>
      </c>
    </row>
    <row r="284" spans="1:31" x14ac:dyDescent="0.3">
      <c r="A284">
        <v>1</v>
      </c>
      <c r="B284">
        <v>4978301</v>
      </c>
      <c r="C284" t="s">
        <v>91</v>
      </c>
      <c r="D284">
        <v>1440119</v>
      </c>
      <c r="E284" t="s">
        <v>270</v>
      </c>
      <c r="F284" t="s">
        <v>44</v>
      </c>
      <c r="G284" t="s">
        <v>596</v>
      </c>
      <c r="H284" t="s">
        <v>357</v>
      </c>
      <c r="I284" t="s">
        <v>767</v>
      </c>
      <c r="J284">
        <v>51161586339</v>
      </c>
      <c r="K284" t="s">
        <v>706</v>
      </c>
      <c r="L284" t="s">
        <v>866</v>
      </c>
      <c r="M284">
        <v>1260</v>
      </c>
      <c r="N284" s="10">
        <v>49.86</v>
      </c>
      <c r="O284" s="10">
        <f t="shared" si="140"/>
        <v>62823.6</v>
      </c>
      <c r="P284" s="10" t="s">
        <v>1062</v>
      </c>
      <c r="Q284" s="10" t="s">
        <v>1062</v>
      </c>
      <c r="R284" s="10" t="str">
        <f>IF(COUNTIF($J$2:J284,J284)=1,SUMIFS($O:$O,$J:$J,J284)+SUMIFS($P:$P,$J:$J,J284)+SUMIFS($Q:$Q,$J:$J,J284),"")</f>
        <v/>
      </c>
      <c r="S284" s="10" t="s">
        <v>1062</v>
      </c>
      <c r="T284" s="11" t="str">
        <f>IFERROR(INDEX(AD:AD,MATCH(J284,J:J,0)),"")</f>
        <v>Ok</v>
      </c>
      <c r="U284" s="12">
        <v>46160</v>
      </c>
      <c r="V284" s="10">
        <v>21973.08</v>
      </c>
      <c r="W284" s="10" t="str">
        <f t="shared" si="141"/>
        <v>N/A</v>
      </c>
      <c r="X284" t="s">
        <v>207</v>
      </c>
      <c r="Y284" t="s">
        <v>28</v>
      </c>
      <c r="Z284">
        <v>100294</v>
      </c>
      <c r="AA284" t="s">
        <v>649</v>
      </c>
      <c r="AB284" t="s">
        <v>606</v>
      </c>
      <c r="AC284" s="9">
        <v>2</v>
      </c>
      <c r="AD284" s="9" t="str">
        <f t="shared" si="142"/>
        <v>N/A</v>
      </c>
      <c r="AE284" s="11" t="e">
        <f t="shared" si="143"/>
        <v>#VALUE!</v>
      </c>
    </row>
    <row r="285" spans="1:31" x14ac:dyDescent="0.3">
      <c r="A285">
        <v>2</v>
      </c>
      <c r="B285">
        <v>4961604</v>
      </c>
      <c r="C285" t="s">
        <v>91</v>
      </c>
      <c r="D285">
        <v>1648570</v>
      </c>
      <c r="E285" t="s">
        <v>99</v>
      </c>
      <c r="F285" t="s">
        <v>18</v>
      </c>
      <c r="G285" t="s">
        <v>355</v>
      </c>
      <c r="H285" t="s">
        <v>356</v>
      </c>
      <c r="I285" t="s">
        <v>826</v>
      </c>
      <c r="J285">
        <v>51162168059</v>
      </c>
      <c r="K285" t="s">
        <v>654</v>
      </c>
      <c r="L285" t="s">
        <v>1021</v>
      </c>
      <c r="M285">
        <v>2</v>
      </c>
      <c r="N285" s="10">
        <v>2572.52</v>
      </c>
      <c r="O285" s="10">
        <f t="shared" ref="O285:O287" si="144">M285*N285</f>
        <v>5145.04</v>
      </c>
      <c r="P285" s="10">
        <v>0</v>
      </c>
      <c r="Q285" s="10">
        <v>0</v>
      </c>
      <c r="R285" s="10">
        <f>IF(COUNTIF($J$2:J285,J285)=1,SUMIFS($O:$O,$J:$J,J285)+SUMIFS($P:$P,$J:$J,J285)+SUMIFS($Q:$Q,$J:$J,J285),"")</f>
        <v>8999.7900000000009</v>
      </c>
      <c r="S285" s="10">
        <v>111537.90000000001</v>
      </c>
      <c r="T285" s="11" t="str">
        <f>IFERROR(INDEX(AD:AD,MATCH(J285,J:J,0)),"")</f>
        <v>Check</v>
      </c>
      <c r="U285" s="12">
        <v>46108</v>
      </c>
      <c r="V285" s="10">
        <v>10798.92</v>
      </c>
      <c r="W285" s="10" t="str">
        <f t="shared" ref="W285:W287" si="145">IF(OR(S285="",V285=""),"N/A",IF(S285&lt;&gt;V285,"Short Paid","Not Paid"))</f>
        <v>Short Paid</v>
      </c>
      <c r="X285" t="s">
        <v>207</v>
      </c>
      <c r="Y285" t="s">
        <v>27</v>
      </c>
      <c r="Z285">
        <v>100114</v>
      </c>
      <c r="AA285" t="s">
        <v>238</v>
      </c>
      <c r="AB285" t="s">
        <v>251</v>
      </c>
      <c r="AC285" s="9">
        <v>3</v>
      </c>
      <c r="AD285" s="9" t="str">
        <f t="shared" ref="AD285:AD287" si="146">IF(AND(R285="",S285=""),"N/A",IF(R285=S285,"Ok","Check"))</f>
        <v>Check</v>
      </c>
      <c r="AE285" s="11">
        <f t="shared" ref="AE285:AE287" si="147">R285-S285</f>
        <v>-102538.11000000002</v>
      </c>
    </row>
    <row r="286" spans="1:31" x14ac:dyDescent="0.3">
      <c r="A286">
        <v>2</v>
      </c>
      <c r="B286">
        <v>4961604</v>
      </c>
      <c r="C286" t="s">
        <v>91</v>
      </c>
      <c r="D286">
        <v>1648570</v>
      </c>
      <c r="E286" t="s">
        <v>99</v>
      </c>
      <c r="F286" t="s">
        <v>18</v>
      </c>
      <c r="G286" t="s">
        <v>355</v>
      </c>
      <c r="H286" t="s">
        <v>356</v>
      </c>
      <c r="I286" t="s">
        <v>826</v>
      </c>
      <c r="J286">
        <v>51162168059</v>
      </c>
      <c r="K286" t="s">
        <v>654</v>
      </c>
      <c r="L286" t="s">
        <v>1022</v>
      </c>
      <c r="M286">
        <v>3</v>
      </c>
      <c r="N286" s="10">
        <v>537.38</v>
      </c>
      <c r="O286" s="10">
        <f t="shared" si="144"/>
        <v>1612.1399999999999</v>
      </c>
      <c r="P286" s="10" t="s">
        <v>1062</v>
      </c>
      <c r="Q286" s="10" t="s">
        <v>1062</v>
      </c>
      <c r="R286" s="10" t="str">
        <f>IF(COUNTIF($J$2:J286,J286)=1,SUMIFS($O:$O,$J:$J,J286)+SUMIFS($P:$P,$J:$J,J286)+SUMIFS($Q:$Q,$J:$J,J286),"")</f>
        <v/>
      </c>
      <c r="S286" s="10" t="s">
        <v>1062</v>
      </c>
      <c r="T286" s="11" t="str">
        <f>IFERROR(INDEX(AD:AD,MATCH(J286,J:J,0)),"")</f>
        <v>Check</v>
      </c>
      <c r="U286" s="12">
        <v>46108</v>
      </c>
      <c r="V286" s="10">
        <v>10798.92</v>
      </c>
      <c r="W286" s="10" t="str">
        <f t="shared" si="145"/>
        <v>N/A</v>
      </c>
      <c r="X286" t="s">
        <v>207</v>
      </c>
      <c r="Y286" t="s">
        <v>27</v>
      </c>
      <c r="Z286">
        <v>100114</v>
      </c>
      <c r="AA286" t="s">
        <v>238</v>
      </c>
      <c r="AB286" t="s">
        <v>251</v>
      </c>
      <c r="AC286" s="9">
        <v>3</v>
      </c>
      <c r="AD286" s="9" t="str">
        <f t="shared" si="146"/>
        <v>N/A</v>
      </c>
      <c r="AE286" s="11" t="e">
        <f t="shared" si="147"/>
        <v>#VALUE!</v>
      </c>
    </row>
    <row r="287" spans="1:31" x14ac:dyDescent="0.3">
      <c r="A287">
        <v>2</v>
      </c>
      <c r="B287">
        <v>4961604</v>
      </c>
      <c r="C287" t="s">
        <v>91</v>
      </c>
      <c r="D287">
        <v>1648570</v>
      </c>
      <c r="E287" t="s">
        <v>99</v>
      </c>
      <c r="F287" t="s">
        <v>18</v>
      </c>
      <c r="G287" t="s">
        <v>355</v>
      </c>
      <c r="H287" t="s">
        <v>356</v>
      </c>
      <c r="I287" t="s">
        <v>826</v>
      </c>
      <c r="J287">
        <v>51162168059</v>
      </c>
      <c r="K287" t="s">
        <v>654</v>
      </c>
      <c r="L287" t="s">
        <v>1023</v>
      </c>
      <c r="M287">
        <v>1</v>
      </c>
      <c r="N287" s="10">
        <v>2242.61</v>
      </c>
      <c r="O287" s="10">
        <f t="shared" si="144"/>
        <v>2242.61</v>
      </c>
      <c r="P287" s="10" t="s">
        <v>1062</v>
      </c>
      <c r="Q287" s="10" t="s">
        <v>1062</v>
      </c>
      <c r="R287" s="10" t="str">
        <f>IF(COUNTIF($J$2:J287,J287)=1,SUMIFS($O:$O,$J:$J,J287)+SUMIFS($P:$P,$J:$J,J287)+SUMIFS($Q:$Q,$J:$J,J287),"")</f>
        <v/>
      </c>
      <c r="S287" s="10" t="s">
        <v>1062</v>
      </c>
      <c r="T287" s="11" t="str">
        <f>IFERROR(INDEX(AD:AD,MATCH(J287,J:J,0)),"")</f>
        <v>Check</v>
      </c>
      <c r="U287" s="12">
        <v>46108</v>
      </c>
      <c r="V287" s="10">
        <v>10798.92</v>
      </c>
      <c r="W287" s="10" t="str">
        <f t="shared" si="145"/>
        <v>N/A</v>
      </c>
      <c r="X287" t="s">
        <v>207</v>
      </c>
      <c r="Y287" t="s">
        <v>27</v>
      </c>
      <c r="Z287">
        <v>100114</v>
      </c>
      <c r="AA287" t="s">
        <v>238</v>
      </c>
      <c r="AB287" t="s">
        <v>251</v>
      </c>
      <c r="AC287" s="9">
        <v>3</v>
      </c>
      <c r="AD287" s="9" t="str">
        <f t="shared" si="146"/>
        <v>N/A</v>
      </c>
      <c r="AE287" s="11" t="e">
        <f t="shared" si="147"/>
        <v>#VALUE!</v>
      </c>
    </row>
    <row r="288" spans="1:31" x14ac:dyDescent="0.3">
      <c r="AD288" s="16"/>
      <c r="AE288" s="11"/>
    </row>
    <row r="289" spans="30:31" x14ac:dyDescent="0.3">
      <c r="AD289" s="16"/>
      <c r="AE289" s="11"/>
    </row>
    <row r="290" spans="30:31" x14ac:dyDescent="0.3">
      <c r="AD290" s="16"/>
      <c r="AE290" s="11"/>
    </row>
    <row r="291" spans="30:31" x14ac:dyDescent="0.3">
      <c r="AD291" s="16"/>
      <c r="AE291" s="11"/>
    </row>
    <row r="292" spans="30:31" x14ac:dyDescent="0.3">
      <c r="AD292" s="16"/>
      <c r="AE292" s="11"/>
    </row>
    <row r="293" spans="30:31" x14ac:dyDescent="0.3">
      <c r="AD293" s="16"/>
      <c r="AE293" s="11"/>
    </row>
    <row r="294" spans="30:31" x14ac:dyDescent="0.3">
      <c r="AD294" s="16"/>
      <c r="AE294" s="11"/>
    </row>
    <row r="295" spans="30:31" x14ac:dyDescent="0.3">
      <c r="AD295" s="16"/>
      <c r="AE295" s="11"/>
    </row>
    <row r="296" spans="30:31" x14ac:dyDescent="0.3">
      <c r="AD296" s="16"/>
      <c r="AE296" s="11"/>
    </row>
    <row r="297" spans="30:31" x14ac:dyDescent="0.3">
      <c r="AD297" s="16"/>
      <c r="AE297" s="11"/>
    </row>
    <row r="298" spans="30:31" x14ac:dyDescent="0.3">
      <c r="AD298" s="16"/>
      <c r="AE298" s="11"/>
    </row>
    <row r="299" spans="30:31" x14ac:dyDescent="0.3">
      <c r="AD299" s="16"/>
      <c r="AE299" s="11"/>
    </row>
    <row r="300" spans="30:31" x14ac:dyDescent="0.3">
      <c r="AD300" s="16"/>
      <c r="AE300" s="11"/>
    </row>
    <row r="301" spans="30:31" x14ac:dyDescent="0.3">
      <c r="AD301" s="16"/>
      <c r="AE301" s="11"/>
    </row>
    <row r="302" spans="30:31" x14ac:dyDescent="0.3">
      <c r="AD302" s="16"/>
      <c r="AE302" s="11"/>
    </row>
    <row r="303" spans="30:31" x14ac:dyDescent="0.3">
      <c r="AD303" s="16"/>
      <c r="AE303" s="11"/>
    </row>
    <row r="304" spans="30:31" x14ac:dyDescent="0.3">
      <c r="AD304" s="16"/>
      <c r="AE304" s="11"/>
    </row>
    <row r="305" spans="30:31" x14ac:dyDescent="0.3">
      <c r="AD305" s="16"/>
      <c r="AE305" s="11"/>
    </row>
    <row r="306" spans="30:31" x14ac:dyDescent="0.3">
      <c r="AD306" s="16"/>
      <c r="AE306" s="11"/>
    </row>
    <row r="307" spans="30:31" x14ac:dyDescent="0.3">
      <c r="AD307" s="16"/>
      <c r="AE307" s="11"/>
    </row>
    <row r="308" spans="30:31" x14ac:dyDescent="0.3">
      <c r="AD308" s="16"/>
      <c r="AE308" s="11"/>
    </row>
    <row r="309" spans="30:31" x14ac:dyDescent="0.3">
      <c r="AD309" s="16"/>
      <c r="AE309" s="11"/>
    </row>
    <row r="310" spans="30:31" x14ac:dyDescent="0.3">
      <c r="AD310" s="16"/>
      <c r="AE310" s="11"/>
    </row>
    <row r="311" spans="30:31" x14ac:dyDescent="0.3">
      <c r="AD311" s="16"/>
      <c r="AE311" s="11"/>
    </row>
    <row r="312" spans="30:31" x14ac:dyDescent="0.3">
      <c r="AD312" s="16"/>
      <c r="AE312" s="11"/>
    </row>
    <row r="313" spans="30:31" x14ac:dyDescent="0.3">
      <c r="AD313" s="16"/>
      <c r="AE313" s="11"/>
    </row>
    <row r="314" spans="30:31" x14ac:dyDescent="0.3">
      <c r="AD314" s="16"/>
      <c r="AE314" s="11"/>
    </row>
    <row r="315" spans="30:31" x14ac:dyDescent="0.3">
      <c r="AD315" s="16"/>
      <c r="AE315" s="11"/>
    </row>
    <row r="316" spans="30:31" x14ac:dyDescent="0.3">
      <c r="AD316" s="16"/>
      <c r="AE316" s="11"/>
    </row>
    <row r="317" spans="30:31" x14ac:dyDescent="0.3">
      <c r="AD317" s="16"/>
      <c r="AE317" s="11"/>
    </row>
    <row r="318" spans="30:31" x14ac:dyDescent="0.3">
      <c r="AD318" s="16"/>
      <c r="AE318" s="11"/>
    </row>
    <row r="319" spans="30:31" x14ac:dyDescent="0.3">
      <c r="AD319" s="16"/>
      <c r="AE319" s="11"/>
    </row>
    <row r="320" spans="30:31" x14ac:dyDescent="0.3">
      <c r="AD320" s="16"/>
      <c r="AE320" s="11"/>
    </row>
    <row r="321" spans="30:31" x14ac:dyDescent="0.3">
      <c r="AD321" s="16"/>
      <c r="AE321" s="11"/>
    </row>
    <row r="322" spans="30:31" x14ac:dyDescent="0.3">
      <c r="AD322" s="16"/>
      <c r="AE322" s="11"/>
    </row>
    <row r="323" spans="30:31" x14ac:dyDescent="0.3">
      <c r="AD323" s="16"/>
      <c r="AE323" s="11"/>
    </row>
    <row r="324" spans="30:31" x14ac:dyDescent="0.3">
      <c r="AD324" s="16"/>
      <c r="AE324" s="11"/>
    </row>
    <row r="325" spans="30:31" x14ac:dyDescent="0.3">
      <c r="AD325" s="16"/>
      <c r="AE325" s="11"/>
    </row>
    <row r="326" spans="30:31" x14ac:dyDescent="0.3">
      <c r="AD326" s="16"/>
      <c r="AE326" s="11"/>
    </row>
    <row r="327" spans="30:31" x14ac:dyDescent="0.3">
      <c r="AD327" s="16"/>
      <c r="AE327" s="11"/>
    </row>
    <row r="328" spans="30:31" x14ac:dyDescent="0.3">
      <c r="AD328" s="16"/>
      <c r="AE328" s="11"/>
    </row>
    <row r="329" spans="30:31" x14ac:dyDescent="0.3">
      <c r="AD329" s="16"/>
      <c r="AE329" s="11"/>
    </row>
    <row r="330" spans="30:31" x14ac:dyDescent="0.3">
      <c r="AD330" s="16"/>
      <c r="AE330" s="11"/>
    </row>
    <row r="331" spans="30:31" x14ac:dyDescent="0.3">
      <c r="AD331" s="16"/>
      <c r="AE331" s="11"/>
    </row>
    <row r="332" spans="30:31" x14ac:dyDescent="0.3">
      <c r="AD332" s="16"/>
      <c r="AE332" s="11"/>
    </row>
    <row r="333" spans="30:31" x14ac:dyDescent="0.3">
      <c r="AD333" s="16"/>
      <c r="AE333" s="11"/>
    </row>
    <row r="334" spans="30:31" x14ac:dyDescent="0.3">
      <c r="AD334" s="16"/>
      <c r="AE334" s="11"/>
    </row>
    <row r="335" spans="30:31" x14ac:dyDescent="0.3">
      <c r="AD335" s="16"/>
      <c r="AE335" s="11"/>
    </row>
    <row r="336" spans="30:31" x14ac:dyDescent="0.3">
      <c r="AD336" s="16"/>
      <c r="AE336" s="11"/>
    </row>
    <row r="337" spans="30:31" x14ac:dyDescent="0.3">
      <c r="AD337" s="16"/>
      <c r="AE337" s="11"/>
    </row>
    <row r="338" spans="30:31" x14ac:dyDescent="0.3">
      <c r="AD338" s="16"/>
      <c r="AE338" s="11"/>
    </row>
    <row r="339" spans="30:31" x14ac:dyDescent="0.3">
      <c r="AD339" s="16"/>
      <c r="AE339" s="11"/>
    </row>
    <row r="340" spans="30:31" x14ac:dyDescent="0.3">
      <c r="AD340" s="16"/>
      <c r="AE340" s="11"/>
    </row>
    <row r="341" spans="30:31" x14ac:dyDescent="0.3">
      <c r="AD341" s="16"/>
      <c r="AE341" s="11"/>
    </row>
    <row r="342" spans="30:31" x14ac:dyDescent="0.3">
      <c r="AD342" s="16"/>
      <c r="AE342" s="11"/>
    </row>
    <row r="343" spans="30:31" x14ac:dyDescent="0.3">
      <c r="AD343" s="16"/>
      <c r="AE343" s="11"/>
    </row>
    <row r="344" spans="30:31" x14ac:dyDescent="0.3">
      <c r="AD344" s="16"/>
      <c r="AE344" s="11"/>
    </row>
    <row r="345" spans="30:31" x14ac:dyDescent="0.3">
      <c r="AD345" s="16"/>
      <c r="AE345" s="11"/>
    </row>
    <row r="346" spans="30:31" x14ac:dyDescent="0.3">
      <c r="AD346" s="16"/>
      <c r="AE346" s="11"/>
    </row>
    <row r="347" spans="30:31" x14ac:dyDescent="0.3">
      <c r="AD347" s="16"/>
      <c r="AE347" s="11"/>
    </row>
    <row r="348" spans="30:31" x14ac:dyDescent="0.3">
      <c r="AD348" s="16"/>
      <c r="AE348" s="11"/>
    </row>
    <row r="349" spans="30:31" x14ac:dyDescent="0.3">
      <c r="AD349" s="16"/>
      <c r="AE349" s="11"/>
    </row>
    <row r="350" spans="30:31" x14ac:dyDescent="0.3">
      <c r="AD350" s="16"/>
      <c r="AE350" s="11"/>
    </row>
    <row r="351" spans="30:31" x14ac:dyDescent="0.3">
      <c r="AD351" s="16"/>
      <c r="AE351" s="11"/>
    </row>
    <row r="352" spans="30:31" x14ac:dyDescent="0.3">
      <c r="AD352" s="16"/>
      <c r="AE352" s="11"/>
    </row>
    <row r="353" spans="30:31" x14ac:dyDescent="0.3">
      <c r="AD353" s="16"/>
      <c r="AE353" s="11"/>
    </row>
    <row r="354" spans="30:31" x14ac:dyDescent="0.3">
      <c r="AD354" s="16"/>
      <c r="AE354" s="11"/>
    </row>
    <row r="355" spans="30:31" x14ac:dyDescent="0.3">
      <c r="AD355" s="16"/>
      <c r="AE355" s="11"/>
    </row>
    <row r="356" spans="30:31" x14ac:dyDescent="0.3">
      <c r="AD356" s="16"/>
      <c r="AE356" s="11"/>
    </row>
    <row r="357" spans="30:31" x14ac:dyDescent="0.3">
      <c r="AD357" s="16"/>
      <c r="AE357" s="11"/>
    </row>
    <row r="358" spans="30:31" x14ac:dyDescent="0.3">
      <c r="AD358" s="16"/>
      <c r="AE358" s="11"/>
    </row>
    <row r="359" spans="30:31" x14ac:dyDescent="0.3">
      <c r="AD359" s="16"/>
      <c r="AE359" s="11"/>
    </row>
    <row r="360" spans="30:31" x14ac:dyDescent="0.3">
      <c r="AD360" s="16"/>
      <c r="AE360" s="11"/>
    </row>
    <row r="361" spans="30:31" x14ac:dyDescent="0.3">
      <c r="AD361" s="16"/>
      <c r="AE361" s="11"/>
    </row>
    <row r="362" spans="30:31" x14ac:dyDescent="0.3">
      <c r="AD362" s="16"/>
      <c r="AE362" s="11"/>
    </row>
    <row r="363" spans="30:31" x14ac:dyDescent="0.3">
      <c r="AD363" s="16"/>
      <c r="AE363" s="11"/>
    </row>
    <row r="364" spans="30:31" x14ac:dyDescent="0.3">
      <c r="AD364" s="16"/>
      <c r="AE364" s="11"/>
    </row>
    <row r="365" spans="30:31" x14ac:dyDescent="0.3">
      <c r="AD365" s="16"/>
      <c r="AE365" s="11"/>
    </row>
    <row r="366" spans="30:31" x14ac:dyDescent="0.3">
      <c r="AD366" s="16"/>
      <c r="AE366" s="11"/>
    </row>
    <row r="367" spans="30:31" x14ac:dyDescent="0.3">
      <c r="AD367" s="16"/>
      <c r="AE367" s="11"/>
    </row>
    <row r="368" spans="30:31" x14ac:dyDescent="0.3">
      <c r="AD368" s="16"/>
      <c r="AE368" s="11"/>
    </row>
    <row r="369" spans="30:31" x14ac:dyDescent="0.3">
      <c r="AD369" s="16"/>
      <c r="AE369" s="11"/>
    </row>
    <row r="370" spans="30:31" x14ac:dyDescent="0.3">
      <c r="AD370" s="16"/>
      <c r="AE370" s="11"/>
    </row>
    <row r="371" spans="30:31" x14ac:dyDescent="0.3">
      <c r="AD371" s="16"/>
      <c r="AE371" s="11"/>
    </row>
    <row r="372" spans="30:31" x14ac:dyDescent="0.3">
      <c r="AD372" s="16"/>
      <c r="AE372" s="11"/>
    </row>
    <row r="373" spans="30:31" x14ac:dyDescent="0.3">
      <c r="AD373" s="16"/>
      <c r="AE373" s="11"/>
    </row>
    <row r="374" spans="30:31" x14ac:dyDescent="0.3">
      <c r="AD374" s="16"/>
      <c r="AE374" s="11"/>
    </row>
    <row r="375" spans="30:31" x14ac:dyDescent="0.3">
      <c r="AD375" s="16"/>
      <c r="AE375" s="11"/>
    </row>
    <row r="376" spans="30:31" x14ac:dyDescent="0.3">
      <c r="AD376" s="16"/>
      <c r="AE376" s="11"/>
    </row>
    <row r="377" spans="30:31" x14ac:dyDescent="0.3">
      <c r="AD377" s="16"/>
      <c r="AE377" s="11"/>
    </row>
    <row r="378" spans="30:31" x14ac:dyDescent="0.3">
      <c r="AD378" s="16"/>
      <c r="AE378" s="11"/>
    </row>
    <row r="379" spans="30:31" x14ac:dyDescent="0.3">
      <c r="AD379" s="16"/>
      <c r="AE379" s="11"/>
    </row>
    <row r="380" spans="30:31" x14ac:dyDescent="0.3">
      <c r="AD380" s="16"/>
      <c r="AE380" s="11"/>
    </row>
    <row r="381" spans="30:31" x14ac:dyDescent="0.3">
      <c r="AD381" s="16"/>
      <c r="AE381" s="11"/>
    </row>
    <row r="382" spans="30:31" x14ac:dyDescent="0.3">
      <c r="AD382" s="16"/>
      <c r="AE382" s="11"/>
    </row>
    <row r="383" spans="30:31" x14ac:dyDescent="0.3">
      <c r="AD383" s="16"/>
      <c r="AE383" s="11"/>
    </row>
    <row r="384" spans="30:31" x14ac:dyDescent="0.3">
      <c r="AD384" s="16"/>
      <c r="AE384" s="11"/>
    </row>
    <row r="385" spans="30:31" x14ac:dyDescent="0.3">
      <c r="AD385" s="16"/>
      <c r="AE385" s="11"/>
    </row>
    <row r="386" spans="30:31" x14ac:dyDescent="0.3">
      <c r="AD386" s="16"/>
      <c r="AE386" s="11"/>
    </row>
    <row r="387" spans="30:31" x14ac:dyDescent="0.3">
      <c r="AD387" s="16"/>
      <c r="AE387" s="11"/>
    </row>
    <row r="388" spans="30:31" x14ac:dyDescent="0.3">
      <c r="AD388" s="16"/>
      <c r="AE388" s="11"/>
    </row>
    <row r="389" spans="30:31" x14ac:dyDescent="0.3">
      <c r="AD389" s="16"/>
      <c r="AE389" s="11"/>
    </row>
    <row r="390" spans="30:31" x14ac:dyDescent="0.3">
      <c r="AD390" s="16"/>
      <c r="AE390" s="11"/>
    </row>
    <row r="391" spans="30:31" x14ac:dyDescent="0.3">
      <c r="AD391" s="16"/>
      <c r="AE391" s="11"/>
    </row>
    <row r="392" spans="30:31" x14ac:dyDescent="0.3">
      <c r="AD392" s="16"/>
      <c r="AE392" s="11"/>
    </row>
    <row r="393" spans="30:31" x14ac:dyDescent="0.3">
      <c r="AD393" s="16"/>
      <c r="AE393" s="11"/>
    </row>
    <row r="394" spans="30:31" x14ac:dyDescent="0.3">
      <c r="AD394" s="16"/>
      <c r="AE394" s="11"/>
    </row>
    <row r="395" spans="30:31" x14ac:dyDescent="0.3">
      <c r="AD395" s="16"/>
      <c r="AE395" s="11"/>
    </row>
    <row r="396" spans="30:31" x14ac:dyDescent="0.3">
      <c r="AD396" s="16"/>
      <c r="AE396" s="11"/>
    </row>
    <row r="397" spans="30:31" x14ac:dyDescent="0.3">
      <c r="AD397" s="16"/>
      <c r="AE397" s="11"/>
    </row>
    <row r="398" spans="30:31" x14ac:dyDescent="0.3">
      <c r="AD398" s="16"/>
      <c r="AE398" s="11"/>
    </row>
    <row r="399" spans="30:31" x14ac:dyDescent="0.3">
      <c r="AD399" s="16"/>
      <c r="AE399" s="11"/>
    </row>
    <row r="400" spans="30:31" x14ac:dyDescent="0.3">
      <c r="AD400" s="16"/>
      <c r="AE400" s="11"/>
    </row>
    <row r="401" spans="30:31" x14ac:dyDescent="0.3">
      <c r="AD401" s="16"/>
      <c r="AE401" s="11"/>
    </row>
    <row r="402" spans="30:31" x14ac:dyDescent="0.3">
      <c r="AD402" s="16"/>
      <c r="AE402" s="11"/>
    </row>
    <row r="403" spans="30:31" x14ac:dyDescent="0.3">
      <c r="AD403" s="16"/>
      <c r="AE403" s="11"/>
    </row>
    <row r="404" spans="30:31" x14ac:dyDescent="0.3">
      <c r="AD404" s="16"/>
      <c r="AE404" s="11"/>
    </row>
    <row r="405" spans="30:31" x14ac:dyDescent="0.3">
      <c r="AD405" s="16"/>
      <c r="AE405" s="11"/>
    </row>
    <row r="406" spans="30:31" x14ac:dyDescent="0.3">
      <c r="AD406" s="16"/>
      <c r="AE406" s="11"/>
    </row>
    <row r="407" spans="30:31" x14ac:dyDescent="0.3">
      <c r="AD407" s="16"/>
      <c r="AE407" s="11"/>
    </row>
    <row r="408" spans="30:31" x14ac:dyDescent="0.3">
      <c r="AD408" s="16"/>
      <c r="AE408" s="11"/>
    </row>
    <row r="409" spans="30:31" x14ac:dyDescent="0.3">
      <c r="AD409" s="16"/>
      <c r="AE409" s="11"/>
    </row>
    <row r="410" spans="30:31" x14ac:dyDescent="0.3">
      <c r="AD410" s="16"/>
      <c r="AE410" s="11"/>
    </row>
    <row r="411" spans="30:31" x14ac:dyDescent="0.3">
      <c r="AD411" s="16"/>
      <c r="AE411" s="11"/>
    </row>
    <row r="412" spans="30:31" x14ac:dyDescent="0.3">
      <c r="AD412" s="16"/>
      <c r="AE412" s="11"/>
    </row>
    <row r="413" spans="30:31" x14ac:dyDescent="0.3">
      <c r="AD413" s="16"/>
      <c r="AE413" s="11"/>
    </row>
    <row r="414" spans="30:31" x14ac:dyDescent="0.3">
      <c r="AD414" s="16"/>
      <c r="AE414" s="11"/>
    </row>
    <row r="415" spans="30:31" x14ac:dyDescent="0.3">
      <c r="AD415" s="16"/>
      <c r="AE415" s="11"/>
    </row>
    <row r="416" spans="30:31" x14ac:dyDescent="0.3">
      <c r="AD416" s="16"/>
      <c r="AE416" s="11"/>
    </row>
    <row r="417" spans="30:31" x14ac:dyDescent="0.3">
      <c r="AD417" s="16"/>
      <c r="AE417" s="11"/>
    </row>
    <row r="418" spans="30:31" x14ac:dyDescent="0.3">
      <c r="AD418" s="16"/>
      <c r="AE418" s="11"/>
    </row>
    <row r="419" spans="30:31" x14ac:dyDescent="0.3">
      <c r="AD419" s="16"/>
      <c r="AE419" s="11"/>
    </row>
    <row r="420" spans="30:31" x14ac:dyDescent="0.3">
      <c r="AD420" s="16"/>
      <c r="AE420" s="11"/>
    </row>
    <row r="421" spans="30:31" x14ac:dyDescent="0.3">
      <c r="AD421" s="16"/>
    </row>
    <row r="422" spans="30:31" x14ac:dyDescent="0.3">
      <c r="AD422" s="16"/>
    </row>
    <row r="423" spans="30:31" x14ac:dyDescent="0.3">
      <c r="AD423" s="16"/>
    </row>
    <row r="424" spans="30:31" x14ac:dyDescent="0.3">
      <c r="AD424" s="16"/>
    </row>
    <row r="425" spans="30:31" x14ac:dyDescent="0.3">
      <c r="AD425" s="16"/>
    </row>
    <row r="426" spans="30:31" x14ac:dyDescent="0.3">
      <c r="AD426" s="16"/>
    </row>
    <row r="427" spans="30:31" x14ac:dyDescent="0.3">
      <c r="AD427" s="16"/>
    </row>
    <row r="428" spans="30:31" x14ac:dyDescent="0.3">
      <c r="AD428" s="16"/>
    </row>
    <row r="429" spans="30:31" x14ac:dyDescent="0.3">
      <c r="AD429" s="16"/>
    </row>
    <row r="430" spans="30:31" x14ac:dyDescent="0.3">
      <c r="AD430" s="16"/>
    </row>
    <row r="431" spans="30:31" x14ac:dyDescent="0.3">
      <c r="AD431" s="16"/>
    </row>
    <row r="432" spans="30:31" x14ac:dyDescent="0.3">
      <c r="AD432" s="16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  <row r="27142" spans="30:30" x14ac:dyDescent="0.3">
      <c r="AD27142" s="16"/>
    </row>
    <row r="27143" spans="30:30" x14ac:dyDescent="0.3">
      <c r="AD27143" s="16"/>
    </row>
    <row r="27144" spans="30:30" x14ac:dyDescent="0.3">
      <c r="AD27144" s="16"/>
    </row>
    <row r="27145" spans="30:30" x14ac:dyDescent="0.3">
      <c r="AD27145" s="16"/>
    </row>
    <row r="27146" spans="30:30" x14ac:dyDescent="0.3">
      <c r="AD27146" s="16"/>
    </row>
    <row r="27147" spans="30:30" x14ac:dyDescent="0.3">
      <c r="AD27147" s="16"/>
    </row>
    <row r="27148" spans="30:30" x14ac:dyDescent="0.3">
      <c r="AD27148" s="16"/>
    </row>
    <row r="27149" spans="30:30" x14ac:dyDescent="0.3">
      <c r="AD27149" s="16"/>
    </row>
    <row r="27150" spans="30:30" x14ac:dyDescent="0.3">
      <c r="AD27150" s="16"/>
    </row>
    <row r="27151" spans="30:30" x14ac:dyDescent="0.3">
      <c r="AD27151" s="16"/>
    </row>
    <row r="27152" spans="30:30" x14ac:dyDescent="0.3">
      <c r="AD27152" s="16"/>
    </row>
    <row r="27153" spans="30:30" x14ac:dyDescent="0.3">
      <c r="AD27153" s="16"/>
    </row>
    <row r="27154" spans="30:30" x14ac:dyDescent="0.3">
      <c r="AD27154" s="16"/>
    </row>
    <row r="27155" spans="30:30" x14ac:dyDescent="0.3">
      <c r="AD27155" s="16"/>
    </row>
    <row r="27156" spans="30:30" x14ac:dyDescent="0.3">
      <c r="AD27156" s="16"/>
    </row>
    <row r="27157" spans="30:30" x14ac:dyDescent="0.3">
      <c r="AD27157" s="16"/>
    </row>
    <row r="27158" spans="30:30" x14ac:dyDescent="0.3">
      <c r="AD27158" s="16"/>
    </row>
    <row r="27159" spans="30:30" x14ac:dyDescent="0.3">
      <c r="AD27159" s="16"/>
    </row>
    <row r="27160" spans="30:30" x14ac:dyDescent="0.3">
      <c r="AD27160" s="16"/>
    </row>
    <row r="27161" spans="30:30" x14ac:dyDescent="0.3">
      <c r="AD27161" s="16"/>
    </row>
    <row r="27162" spans="30:30" x14ac:dyDescent="0.3">
      <c r="AD27162" s="16"/>
    </row>
    <row r="27163" spans="30:30" x14ac:dyDescent="0.3">
      <c r="AD27163" s="16"/>
    </row>
    <row r="27164" spans="30:30" x14ac:dyDescent="0.3">
      <c r="AD27164" s="16"/>
    </row>
    <row r="27165" spans="30:30" x14ac:dyDescent="0.3">
      <c r="AD27165" s="16"/>
    </row>
    <row r="27166" spans="30:30" x14ac:dyDescent="0.3">
      <c r="AD27166" s="16"/>
    </row>
    <row r="27167" spans="30:30" x14ac:dyDescent="0.3">
      <c r="AD27167" s="16"/>
    </row>
    <row r="27168" spans="30:30" x14ac:dyDescent="0.3">
      <c r="AD27168" s="16"/>
    </row>
    <row r="27169" spans="30:30" x14ac:dyDescent="0.3">
      <c r="AD27169" s="16"/>
    </row>
    <row r="27170" spans="30:30" x14ac:dyDescent="0.3">
      <c r="AD27170" s="16"/>
    </row>
    <row r="27171" spans="30:30" x14ac:dyDescent="0.3">
      <c r="AD27171" s="16"/>
    </row>
    <row r="27172" spans="30:30" x14ac:dyDescent="0.3">
      <c r="AD27172" s="16"/>
    </row>
    <row r="27173" spans="30:30" x14ac:dyDescent="0.3">
      <c r="AD27173" s="16"/>
    </row>
    <row r="27174" spans="30:30" x14ac:dyDescent="0.3">
      <c r="AD27174" s="16"/>
    </row>
    <row r="27175" spans="30:30" x14ac:dyDescent="0.3">
      <c r="AD27175" s="16"/>
    </row>
    <row r="27176" spans="30:30" x14ac:dyDescent="0.3">
      <c r="AD27176" s="16"/>
    </row>
    <row r="27177" spans="30:30" x14ac:dyDescent="0.3">
      <c r="AD27177" s="16"/>
    </row>
    <row r="27178" spans="30:30" x14ac:dyDescent="0.3">
      <c r="AD27178" s="16"/>
    </row>
    <row r="27179" spans="30:30" x14ac:dyDescent="0.3">
      <c r="AD27179" s="16"/>
    </row>
    <row r="27180" spans="30:30" x14ac:dyDescent="0.3">
      <c r="AD27180" s="16"/>
    </row>
    <row r="27181" spans="30:30" x14ac:dyDescent="0.3">
      <c r="AD27181" s="16"/>
    </row>
    <row r="27182" spans="30:30" x14ac:dyDescent="0.3">
      <c r="AD27182" s="16"/>
    </row>
    <row r="27183" spans="30:30" x14ac:dyDescent="0.3">
      <c r="AD27183" s="16"/>
    </row>
    <row r="27184" spans="30:30" x14ac:dyDescent="0.3">
      <c r="AD27184" s="16"/>
    </row>
    <row r="27185" spans="30:30" x14ac:dyDescent="0.3">
      <c r="AD27185" s="16"/>
    </row>
    <row r="27186" spans="30:30" x14ac:dyDescent="0.3">
      <c r="AD27186" s="16"/>
    </row>
    <row r="27187" spans="30:30" x14ac:dyDescent="0.3">
      <c r="AD27187" s="16"/>
    </row>
    <row r="27188" spans="30:30" x14ac:dyDescent="0.3">
      <c r="AD27188" s="16"/>
    </row>
    <row r="27189" spans="30:30" x14ac:dyDescent="0.3">
      <c r="AD27189" s="16"/>
    </row>
    <row r="27190" spans="30:30" x14ac:dyDescent="0.3">
      <c r="AD27190" s="16"/>
    </row>
    <row r="27191" spans="30:30" x14ac:dyDescent="0.3">
      <c r="AD27191" s="16"/>
    </row>
    <row r="27192" spans="30:30" x14ac:dyDescent="0.3">
      <c r="AD27192" s="16"/>
    </row>
    <row r="27193" spans="30:30" x14ac:dyDescent="0.3">
      <c r="AD27193" s="16"/>
    </row>
    <row r="27194" spans="30:30" x14ac:dyDescent="0.3">
      <c r="AD27194" s="16"/>
    </row>
    <row r="27195" spans="30:30" x14ac:dyDescent="0.3">
      <c r="AD27195" s="16"/>
    </row>
    <row r="27196" spans="30:30" x14ac:dyDescent="0.3">
      <c r="AD27196" s="16"/>
    </row>
    <row r="27197" spans="30:30" x14ac:dyDescent="0.3">
      <c r="AD27197" s="16"/>
    </row>
    <row r="27198" spans="30:30" x14ac:dyDescent="0.3">
      <c r="AD27198" s="16"/>
    </row>
    <row r="27199" spans="30:30" x14ac:dyDescent="0.3">
      <c r="AD27199" s="16"/>
    </row>
    <row r="27200" spans="30:30" x14ac:dyDescent="0.3">
      <c r="AD27200" s="16"/>
    </row>
    <row r="27201" spans="30:30" x14ac:dyDescent="0.3">
      <c r="AD27201" s="16"/>
    </row>
    <row r="27202" spans="30:30" x14ac:dyDescent="0.3">
      <c r="AD27202" s="16"/>
    </row>
    <row r="27203" spans="30:30" x14ac:dyDescent="0.3">
      <c r="AD27203" s="16"/>
    </row>
    <row r="27204" spans="30:30" x14ac:dyDescent="0.3">
      <c r="AD27204" s="16"/>
    </row>
    <row r="27205" spans="30:30" x14ac:dyDescent="0.3">
      <c r="AD27205" s="16"/>
    </row>
    <row r="27206" spans="30:30" x14ac:dyDescent="0.3">
      <c r="AD27206" s="16"/>
    </row>
    <row r="27207" spans="30:30" x14ac:dyDescent="0.3">
      <c r="AD27207" s="16"/>
    </row>
    <row r="27208" spans="30:30" x14ac:dyDescent="0.3">
      <c r="AD27208" s="16"/>
    </row>
    <row r="27209" spans="30:30" x14ac:dyDescent="0.3">
      <c r="AD27209" s="16"/>
    </row>
    <row r="27210" spans="30:30" x14ac:dyDescent="0.3">
      <c r="AD27210" s="16"/>
    </row>
    <row r="27211" spans="30:30" x14ac:dyDescent="0.3">
      <c r="AD27211" s="16"/>
    </row>
    <row r="27212" spans="30:30" x14ac:dyDescent="0.3">
      <c r="AD27212" s="16"/>
    </row>
    <row r="27213" spans="30:30" x14ac:dyDescent="0.3">
      <c r="AD27213" s="16"/>
    </row>
    <row r="27214" spans="30:30" x14ac:dyDescent="0.3">
      <c r="AD27214" s="16"/>
    </row>
    <row r="27215" spans="30:30" x14ac:dyDescent="0.3">
      <c r="AD27215" s="16"/>
    </row>
    <row r="27216" spans="30:30" x14ac:dyDescent="0.3">
      <c r="AD27216" s="16"/>
    </row>
    <row r="27217" spans="30:30" x14ac:dyDescent="0.3">
      <c r="AD27217" s="16"/>
    </row>
    <row r="27218" spans="30:30" x14ac:dyDescent="0.3">
      <c r="AD27218" s="16"/>
    </row>
    <row r="27219" spans="30:30" x14ac:dyDescent="0.3">
      <c r="AD27219" s="16"/>
    </row>
    <row r="27220" spans="30:30" x14ac:dyDescent="0.3">
      <c r="AD27220" s="16"/>
    </row>
    <row r="27221" spans="30:30" x14ac:dyDescent="0.3">
      <c r="AD27221" s="16"/>
    </row>
    <row r="27222" spans="30:30" x14ac:dyDescent="0.3">
      <c r="AD27222" s="16"/>
    </row>
    <row r="27223" spans="30:30" x14ac:dyDescent="0.3">
      <c r="AD27223" s="16"/>
    </row>
    <row r="27224" spans="30:30" x14ac:dyDescent="0.3">
      <c r="AD27224" s="16"/>
    </row>
    <row r="27225" spans="30:30" x14ac:dyDescent="0.3">
      <c r="AD27225" s="16"/>
    </row>
    <row r="27226" spans="30:30" x14ac:dyDescent="0.3">
      <c r="AD27226" s="16"/>
    </row>
    <row r="27227" spans="30:30" x14ac:dyDescent="0.3">
      <c r="AD27227" s="16"/>
    </row>
    <row r="27228" spans="30:30" x14ac:dyDescent="0.3">
      <c r="AD27228" s="16"/>
    </row>
    <row r="27229" spans="30:30" x14ac:dyDescent="0.3">
      <c r="AD27229" s="16"/>
    </row>
    <row r="27230" spans="30:30" x14ac:dyDescent="0.3">
      <c r="AD27230" s="16"/>
    </row>
    <row r="27231" spans="30:30" x14ac:dyDescent="0.3">
      <c r="AD27231" s="16"/>
    </row>
    <row r="27232" spans="30:30" x14ac:dyDescent="0.3">
      <c r="AD27232" s="16"/>
    </row>
    <row r="27233" spans="30:30" x14ac:dyDescent="0.3">
      <c r="AD27233" s="16"/>
    </row>
    <row r="27234" spans="30:30" x14ac:dyDescent="0.3">
      <c r="AD27234" s="16"/>
    </row>
    <row r="27235" spans="30:30" x14ac:dyDescent="0.3">
      <c r="AD27235" s="16"/>
    </row>
    <row r="27236" spans="30:30" x14ac:dyDescent="0.3">
      <c r="AD27236" s="16"/>
    </row>
    <row r="27237" spans="30:30" x14ac:dyDescent="0.3">
      <c r="AD27237" s="16"/>
    </row>
  </sheetData>
  <autoFilter ref="A1:AE287" xr:uid="{A292BA29-1C04-4166-9AAF-BBDF6942DD99}"/>
  <sortState xmlns:xlrd2="http://schemas.microsoft.com/office/spreadsheetml/2017/richdata2" ref="A2:AE134">
    <sortCondition descending="1" ref="A1:A13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A2" sqref="A2:XFD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34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29</v>
      </c>
      <c r="P1" s="4" t="s">
        <v>30</v>
      </c>
      <c r="Q1" s="4" t="s">
        <v>31</v>
      </c>
      <c r="R1" s="3" t="s">
        <v>32</v>
      </c>
      <c r="S1" s="4" t="s">
        <v>36</v>
      </c>
      <c r="T1" s="5" t="s">
        <v>35</v>
      </c>
      <c r="U1" s="6" t="s">
        <v>11</v>
      </c>
      <c r="V1" s="7" t="s">
        <v>12</v>
      </c>
      <c r="W1" s="5" t="s">
        <v>47</v>
      </c>
      <c r="X1" s="1" t="s">
        <v>13</v>
      </c>
      <c r="Y1" s="1" t="s">
        <v>38</v>
      </c>
      <c r="Z1" s="1" t="s">
        <v>14</v>
      </c>
      <c r="AA1" s="1" t="s">
        <v>39</v>
      </c>
      <c r="AB1" s="8" t="s">
        <v>33</v>
      </c>
      <c r="AC1" s="5" t="s">
        <v>40</v>
      </c>
      <c r="AD1" s="17" t="s">
        <v>49</v>
      </c>
    </row>
    <row r="2" spans="1:31" x14ac:dyDescent="0.3">
      <c r="A2">
        <v>240</v>
      </c>
      <c r="B2">
        <v>4383098</v>
      </c>
      <c r="C2" t="s">
        <v>91</v>
      </c>
      <c r="D2">
        <v>1963277</v>
      </c>
      <c r="E2" t="s">
        <v>107</v>
      </c>
      <c r="F2" t="s">
        <v>18</v>
      </c>
      <c r="G2" t="s">
        <v>361</v>
      </c>
      <c r="H2" t="s">
        <v>362</v>
      </c>
      <c r="I2" s="9" t="s">
        <v>832</v>
      </c>
      <c r="J2" s="9">
        <v>51161089675</v>
      </c>
      <c r="K2" s="14" t="s">
        <v>657</v>
      </c>
      <c r="L2" s="13" t="s">
        <v>886</v>
      </c>
      <c r="M2" s="14">
        <v>17500</v>
      </c>
      <c r="N2" s="14">
        <v>0.11824999999999999</v>
      </c>
      <c r="O2" s="10">
        <f t="shared" ref="O2" si="0">M2*N2</f>
        <v>2069.375</v>
      </c>
      <c r="P2" s="11">
        <v>0</v>
      </c>
      <c r="Q2" s="11">
        <v>0</v>
      </c>
      <c r="R2" s="10">
        <f>IF(COUNTIF($J$2:J2,J2)=1,SUMIFS($O:$O,$J:$J,J2)+SUMIFS($P:$P,$J:$J,J2)+SUMIFS($Q:$Q,$J:$J,J2),"")</f>
        <v>2069.375</v>
      </c>
      <c r="S2" s="10">
        <v>2069.38</v>
      </c>
      <c r="T2" s="11" t="str">
        <f>IFERROR(INDEX(AD:AD,MATCH(J2,J:J,0)),"")</f>
        <v>Check</v>
      </c>
      <c r="U2" s="12">
        <v>45848</v>
      </c>
      <c r="V2" s="10">
        <v>144.38</v>
      </c>
      <c r="W2" s="10" t="str">
        <f t="shared" ref="W2" si="1">IF(OR(S2="",V2=""),"N/A",IF(S2&lt;&gt;V2,"Short Paid","Not Paid"))</f>
        <v>Short Paid</v>
      </c>
      <c r="X2" t="s">
        <v>220</v>
      </c>
      <c r="Y2" t="s">
        <v>27</v>
      </c>
      <c r="Z2">
        <v>100129</v>
      </c>
      <c r="AA2" t="s">
        <v>236</v>
      </c>
      <c r="AB2" t="s">
        <v>251</v>
      </c>
      <c r="AC2" s="9">
        <f>COUNTIF(J:J,J2)</f>
        <v>1</v>
      </c>
      <c r="AD2" s="9" t="str">
        <f t="shared" ref="AD2" si="2">IF(AND(R2="",S2=""),"N/A",IF(R2=S2,"Ok","Check"))</f>
        <v>Check</v>
      </c>
      <c r="AE2" s="11">
        <f t="shared" ref="AE2" si="3">R2-S2</f>
        <v>-5.0000000001091394E-3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C5" sqref="C5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34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29</v>
      </c>
      <c r="P1" s="4" t="s">
        <v>30</v>
      </c>
      <c r="Q1" s="4" t="s">
        <v>31</v>
      </c>
      <c r="R1" s="3" t="s">
        <v>32</v>
      </c>
      <c r="S1" s="4" t="s">
        <v>36</v>
      </c>
      <c r="T1" s="5" t="s">
        <v>35</v>
      </c>
      <c r="U1" s="6" t="s">
        <v>11</v>
      </c>
      <c r="V1" s="7" t="s">
        <v>12</v>
      </c>
      <c r="W1" s="5" t="s">
        <v>47</v>
      </c>
      <c r="X1" s="1" t="s">
        <v>13</v>
      </c>
      <c r="Y1" s="1" t="s">
        <v>38</v>
      </c>
      <c r="Z1" s="1" t="s">
        <v>14</v>
      </c>
      <c r="AA1" s="1" t="s">
        <v>39</v>
      </c>
      <c r="AB1" s="8" t="s">
        <v>33</v>
      </c>
      <c r="AC1" s="5" t="s">
        <v>40</v>
      </c>
      <c r="AD1" s="15" t="s">
        <v>48</v>
      </c>
      <c r="AE1" s="15" t="s">
        <v>49</v>
      </c>
    </row>
    <row r="2" spans="1:31" x14ac:dyDescent="0.3">
      <c r="A2">
        <v>93</v>
      </c>
      <c r="B2">
        <v>4564213</v>
      </c>
      <c r="C2" t="s">
        <v>91</v>
      </c>
      <c r="D2">
        <v>1262308</v>
      </c>
      <c r="E2" t="s">
        <v>268</v>
      </c>
      <c r="F2" t="s">
        <v>20</v>
      </c>
      <c r="G2" t="s">
        <v>50</v>
      </c>
      <c r="H2" t="s">
        <v>51</v>
      </c>
      <c r="I2" t="s">
        <v>771</v>
      </c>
      <c r="J2">
        <v>51108086197</v>
      </c>
      <c r="K2" t="s">
        <v>654</v>
      </c>
      <c r="L2" t="s">
        <v>1027</v>
      </c>
      <c r="M2">
        <v>4000</v>
      </c>
      <c r="N2">
        <v>0.4</v>
      </c>
      <c r="O2" s="10">
        <f t="shared" ref="O2:O3" si="0">M2*N2</f>
        <v>1600</v>
      </c>
      <c r="P2">
        <v>0</v>
      </c>
      <c r="Q2">
        <v>0</v>
      </c>
      <c r="R2">
        <v>2797</v>
      </c>
      <c r="S2">
        <v>2799.6</v>
      </c>
      <c r="T2" s="11" t="str">
        <f>IFERROR(INDEX(AD:AD,MATCH(J2,J:J,0)),"")</f>
        <v>Check</v>
      </c>
      <c r="U2" s="12">
        <v>46098</v>
      </c>
      <c r="V2" s="10">
        <v>197.75</v>
      </c>
      <c r="W2" s="10" t="str">
        <f t="shared" ref="W2:W3" si="1">IF(OR(S2="",V2=""),"N/A",IF(S2&lt;&gt;V2,"Short Paid","Not Paid"))</f>
        <v>Short Paid</v>
      </c>
      <c r="X2" t="s">
        <v>207</v>
      </c>
      <c r="Y2" t="s">
        <v>27</v>
      </c>
      <c r="Z2">
        <v>100154</v>
      </c>
      <c r="AA2" t="s">
        <v>224</v>
      </c>
      <c r="AB2" t="s">
        <v>249</v>
      </c>
      <c r="AC2">
        <v>2</v>
      </c>
      <c r="AD2" s="9" t="str">
        <f t="shared" ref="AD2:AD3" si="2">IF(AND(R2="",S2=""),"N/A",IF(R2=S2,"Ok","Check"))</f>
        <v>Check</v>
      </c>
      <c r="AE2" s="11">
        <f t="shared" ref="AE2:AE3" si="3">R2-S2</f>
        <v>-2.5999999999999091</v>
      </c>
    </row>
    <row r="3" spans="1:31" x14ac:dyDescent="0.3">
      <c r="A3">
        <v>93</v>
      </c>
      <c r="B3">
        <v>4564213</v>
      </c>
      <c r="C3" t="s">
        <v>91</v>
      </c>
      <c r="D3">
        <v>1262308</v>
      </c>
      <c r="E3" t="s">
        <v>268</v>
      </c>
      <c r="F3" t="s">
        <v>20</v>
      </c>
      <c r="G3" t="s">
        <v>50</v>
      </c>
      <c r="H3" t="s">
        <v>51</v>
      </c>
      <c r="I3" t="s">
        <v>769</v>
      </c>
      <c r="J3">
        <v>51108086197</v>
      </c>
      <c r="K3" t="s">
        <v>654</v>
      </c>
      <c r="L3" t="s">
        <v>1031</v>
      </c>
      <c r="M3">
        <v>7</v>
      </c>
      <c r="N3">
        <v>171</v>
      </c>
      <c r="O3" s="10">
        <f t="shared" si="0"/>
        <v>1197</v>
      </c>
      <c r="P3" t="s">
        <v>1062</v>
      </c>
      <c r="Q3" t="s">
        <v>1062</v>
      </c>
      <c r="R3" t="s">
        <v>1062</v>
      </c>
      <c r="S3" t="s">
        <v>1062</v>
      </c>
      <c r="T3" s="11" t="str">
        <f>IFERROR(INDEX(AD:AD,MATCH(J3,J:J,0)),"")</f>
        <v>Check</v>
      </c>
      <c r="U3" s="12">
        <v>46098</v>
      </c>
      <c r="V3" s="10">
        <v>197.75</v>
      </c>
      <c r="W3" s="10" t="str">
        <f t="shared" si="1"/>
        <v>N/A</v>
      </c>
      <c r="X3" t="s">
        <v>207</v>
      </c>
      <c r="Y3" t="s">
        <v>27</v>
      </c>
      <c r="Z3">
        <v>100154</v>
      </c>
      <c r="AA3" t="s">
        <v>224</v>
      </c>
      <c r="AB3" t="s">
        <v>249</v>
      </c>
      <c r="AC3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34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29</v>
      </c>
      <c r="P1" s="4" t="s">
        <v>30</v>
      </c>
      <c r="Q1" s="4" t="s">
        <v>31</v>
      </c>
      <c r="R1" s="3" t="s">
        <v>32</v>
      </c>
      <c r="S1" s="4" t="s">
        <v>36</v>
      </c>
      <c r="T1" s="5" t="s">
        <v>35</v>
      </c>
      <c r="U1" s="6" t="s">
        <v>11</v>
      </c>
      <c r="V1" s="7" t="s">
        <v>12</v>
      </c>
      <c r="W1" s="5" t="s">
        <v>47</v>
      </c>
      <c r="X1" s="1" t="s">
        <v>13</v>
      </c>
      <c r="Y1" s="1" t="s">
        <v>38</v>
      </c>
      <c r="Z1" s="1" t="s">
        <v>14</v>
      </c>
      <c r="AA1" s="1" t="s">
        <v>39</v>
      </c>
      <c r="AB1" s="8" t="s">
        <v>33</v>
      </c>
      <c r="AC1" s="5" t="s">
        <v>40</v>
      </c>
      <c r="AD1" s="5" t="s">
        <v>48</v>
      </c>
    </row>
  </sheetData>
  <autoFilter ref="A1:AD1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2026-07-02T13:22:43Z</dcterms:modified>
</cp:coreProperties>
</file>